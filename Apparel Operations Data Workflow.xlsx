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iuka\Downloads\"/>
    </mc:Choice>
  </mc:AlternateContent>
  <xr:revisionPtr revIDLastSave="0" documentId="8_{AB446AED-BE91-4DCB-8C42-01CCAFAF2E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_Order" sheetId="2" r:id="rId1"/>
    <sheet name="Raw_Item" sheetId="3" r:id="rId2"/>
    <sheet name="Raw_BOM" sheetId="4" r:id="rId3"/>
    <sheet name="Raw_Price" sheetId="5" r:id="rId4"/>
    <sheet name="Raw_PO" sheetId="6" r:id="rId5"/>
    <sheet name="Raw_Cost" sheetId="7" r:id="rId6"/>
    <sheet name="Raw_Production" sheetId="8" r:id="rId7"/>
    <sheet name="Item_Master" sheetId="9" r:id="rId8"/>
    <sheet name="Calculations" sheetId="10" r:id="rId9"/>
    <sheet name="Order_Sheet" sheetId="11" r:id="rId10"/>
    <sheet name="BOM" sheetId="12" r:id="rId11"/>
    <sheet name="BOM_Estimation" sheetId="13" r:id="rId12"/>
    <sheet name="PO_Tracker" sheetId="14" r:id="rId13"/>
    <sheet name="Cost_Sheet" sheetId="15" r:id="rId14"/>
    <sheet name="Accuracy_Check" sheetId="16" r:id="rId15"/>
    <sheet name="Dashboard" sheetId="17" r:id="rId16"/>
  </sheets>
  <definedNames>
    <definedName name="_xlnm._FilterDatabase" localSheetId="14" hidden="1">Accuracy_Check!$A$1:$I$81</definedName>
    <definedName name="_xlnm._FilterDatabase" localSheetId="10" hidden="1">BOM!$A$1:$N$71</definedName>
    <definedName name="_xlnm._FilterDatabase" localSheetId="11" hidden="1">BOM_Estimation!$A$1:$N$81</definedName>
    <definedName name="_xlnm._FilterDatabase" localSheetId="8" hidden="1">Calculations!$A$1:$P$721</definedName>
    <definedName name="_xlnm._FilterDatabase" localSheetId="13" hidden="1">Cost_Sheet!$A$1:$J$81</definedName>
    <definedName name="_xlnm._FilterDatabase" localSheetId="7" hidden="1">Item_Master!$A$1:$G$36</definedName>
    <definedName name="_xlnm._FilterDatabase" localSheetId="9" hidden="1">Order_Sheet!$A$1:$L$81</definedName>
    <definedName name="_xlnm._FilterDatabase" localSheetId="12" hidden="1">PO_Tracker!$A$1:$M$181</definedName>
    <definedName name="_xlnm._FilterDatabase" localSheetId="2" hidden="1">Raw_BOM!$A$1:$G$71</definedName>
    <definedName name="_xlnm._FilterDatabase" localSheetId="5" hidden="1">Raw_Cost!$A$1:$H$81</definedName>
    <definedName name="_xlnm._FilterDatabase" localSheetId="1" hidden="1">Raw_Item!$A$1:$G$36</definedName>
    <definedName name="_xlnm._FilterDatabase" localSheetId="0" hidden="1">Raw_Order!$A$1:$J$81</definedName>
    <definedName name="_xlnm._FilterDatabase" localSheetId="4" hidden="1">Raw_PO!$A$1:$L$181</definedName>
    <definedName name="_xlnm._FilterDatabase" localSheetId="3" hidden="1">Raw_Price!$A$1:$F$65</definedName>
    <definedName name="_xlnm._FilterDatabase" localSheetId="6" hidden="1">Raw_Production!$A$1:$P$721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17" l="1"/>
  <c r="E4" i="17"/>
  <c r="C4" i="17"/>
  <c r="A4" i="17"/>
  <c r="A81" i="16"/>
  <c r="D81" i="16" s="1"/>
  <c r="A80" i="16"/>
  <c r="B80" i="16" s="1"/>
  <c r="A79" i="16"/>
  <c r="F79" i="16" s="1"/>
  <c r="A78" i="16"/>
  <c r="A77" i="16"/>
  <c r="A76" i="16"/>
  <c r="G76" i="16" s="1"/>
  <c r="A75" i="16"/>
  <c r="A74" i="16"/>
  <c r="A73" i="16"/>
  <c r="A72" i="16"/>
  <c r="B72" i="16" s="1"/>
  <c r="A71" i="16"/>
  <c r="G71" i="16" s="1"/>
  <c r="A70" i="16"/>
  <c r="F70" i="16" s="1"/>
  <c r="A69" i="16"/>
  <c r="D69" i="16" s="1"/>
  <c r="A68" i="16"/>
  <c r="F68" i="16" s="1"/>
  <c r="A67" i="16"/>
  <c r="D67" i="16" s="1"/>
  <c r="A66" i="16"/>
  <c r="F66" i="16" s="1"/>
  <c r="A65" i="16"/>
  <c r="G65" i="16" s="1"/>
  <c r="A64" i="16"/>
  <c r="G64" i="16" s="1"/>
  <c r="A63" i="16"/>
  <c r="G63" i="16" s="1"/>
  <c r="A62" i="16"/>
  <c r="F62" i="16" s="1"/>
  <c r="A61" i="16"/>
  <c r="D61" i="16" s="1"/>
  <c r="A60" i="16"/>
  <c r="G60" i="16" s="1"/>
  <c r="A59" i="16"/>
  <c r="D59" i="16" s="1"/>
  <c r="A58" i="16"/>
  <c r="B58" i="16" s="1"/>
  <c r="A57" i="16"/>
  <c r="A56" i="16"/>
  <c r="F56" i="16" s="1"/>
  <c r="A55" i="16"/>
  <c r="G55" i="16" s="1"/>
  <c r="A54" i="16"/>
  <c r="D54" i="16" s="1"/>
  <c r="A53" i="16"/>
  <c r="D53" i="16" s="1"/>
  <c r="A52" i="16"/>
  <c r="B52" i="16" s="1"/>
  <c r="A51" i="16"/>
  <c r="A50" i="16"/>
  <c r="A49" i="16"/>
  <c r="A48" i="16"/>
  <c r="C48" i="16" s="1"/>
  <c r="A47" i="16"/>
  <c r="A46" i="16"/>
  <c r="A45" i="16"/>
  <c r="D45" i="16" s="1"/>
  <c r="G44" i="16"/>
  <c r="B44" i="16"/>
  <c r="A44" i="16"/>
  <c r="F44" i="16" s="1"/>
  <c r="A43" i="16"/>
  <c r="D43" i="16" s="1"/>
  <c r="A42" i="16"/>
  <c r="A41" i="16"/>
  <c r="G41" i="16" s="1"/>
  <c r="A40" i="16"/>
  <c r="A39" i="16"/>
  <c r="G39" i="16" s="1"/>
  <c r="A38" i="16"/>
  <c r="A37" i="16"/>
  <c r="A36" i="16"/>
  <c r="D36" i="16" s="1"/>
  <c r="A35" i="16"/>
  <c r="D35" i="16" s="1"/>
  <c r="A34" i="16"/>
  <c r="B34" i="16" s="1"/>
  <c r="A33" i="16"/>
  <c r="G33" i="16" s="1"/>
  <c r="C32" i="16"/>
  <c r="A32" i="16"/>
  <c r="F32" i="16" s="1"/>
  <c r="A31" i="16"/>
  <c r="G31" i="16" s="1"/>
  <c r="A30" i="16"/>
  <c r="B29" i="16"/>
  <c r="A29" i="16"/>
  <c r="D29" i="16" s="1"/>
  <c r="A28" i="16"/>
  <c r="A27" i="16"/>
  <c r="C27" i="16" s="1"/>
  <c r="A26" i="16"/>
  <c r="A25" i="16"/>
  <c r="G25" i="16" s="1"/>
  <c r="A24" i="16"/>
  <c r="C24" i="16" s="1"/>
  <c r="A23" i="16"/>
  <c r="A22" i="16"/>
  <c r="F22" i="16" s="1"/>
  <c r="A21" i="16"/>
  <c r="D21" i="16" s="1"/>
  <c r="A20" i="16"/>
  <c r="C20" i="16" s="1"/>
  <c r="A19" i="16"/>
  <c r="D19" i="16" s="1"/>
  <c r="A18" i="16"/>
  <c r="B18" i="16" s="1"/>
  <c r="A17" i="16"/>
  <c r="G17" i="16" s="1"/>
  <c r="A16" i="16"/>
  <c r="G16" i="16" s="1"/>
  <c r="A15" i="16"/>
  <c r="G15" i="16" s="1"/>
  <c r="A14" i="16"/>
  <c r="F14" i="16" s="1"/>
  <c r="A13" i="16"/>
  <c r="D13" i="16" s="1"/>
  <c r="A12" i="16"/>
  <c r="A11" i="16"/>
  <c r="D11" i="16" s="1"/>
  <c r="A10" i="16"/>
  <c r="F10" i="16" s="1"/>
  <c r="A9" i="16"/>
  <c r="G9" i="16" s="1"/>
  <c r="F8" i="16"/>
  <c r="A8" i="16"/>
  <c r="C8" i="16" s="1"/>
  <c r="A7" i="16"/>
  <c r="G7" i="16" s="1"/>
  <c r="A6" i="16"/>
  <c r="F6" i="16" s="1"/>
  <c r="A5" i="16"/>
  <c r="A4" i="16"/>
  <c r="G4" i="16" s="1"/>
  <c r="A3" i="16"/>
  <c r="A2" i="16"/>
  <c r="F2" i="16" s="1"/>
  <c r="I81" i="15"/>
  <c r="J81" i="15" s="1"/>
  <c r="I80" i="15"/>
  <c r="J80" i="15" s="1"/>
  <c r="I79" i="15"/>
  <c r="J79" i="15" s="1"/>
  <c r="I78" i="15"/>
  <c r="J78" i="15" s="1"/>
  <c r="I77" i="15"/>
  <c r="J77" i="15" s="1"/>
  <c r="I76" i="15"/>
  <c r="J76" i="15" s="1"/>
  <c r="I75" i="15"/>
  <c r="J75" i="15" s="1"/>
  <c r="I74" i="15"/>
  <c r="J74" i="15" s="1"/>
  <c r="I73" i="15"/>
  <c r="J73" i="15" s="1"/>
  <c r="I72" i="15"/>
  <c r="J72" i="15" s="1"/>
  <c r="I71" i="15"/>
  <c r="J71" i="15" s="1"/>
  <c r="I70" i="15"/>
  <c r="J70" i="15" s="1"/>
  <c r="I69" i="15"/>
  <c r="J69" i="15" s="1"/>
  <c r="I68" i="15"/>
  <c r="J68" i="15" s="1"/>
  <c r="I67" i="15"/>
  <c r="J67" i="15" s="1"/>
  <c r="I66" i="15"/>
  <c r="J66" i="15" s="1"/>
  <c r="I65" i="15"/>
  <c r="J65" i="15" s="1"/>
  <c r="I64" i="15"/>
  <c r="J64" i="15" s="1"/>
  <c r="I63" i="15"/>
  <c r="J63" i="15" s="1"/>
  <c r="I62" i="15"/>
  <c r="J62" i="15" s="1"/>
  <c r="I61" i="15"/>
  <c r="J61" i="15" s="1"/>
  <c r="I60" i="15"/>
  <c r="J60" i="15" s="1"/>
  <c r="I59" i="15"/>
  <c r="J59" i="15" s="1"/>
  <c r="I58" i="15"/>
  <c r="J58" i="15" s="1"/>
  <c r="I57" i="15"/>
  <c r="J57" i="15" s="1"/>
  <c r="I56" i="15"/>
  <c r="J56" i="15" s="1"/>
  <c r="I55" i="15"/>
  <c r="J55" i="15" s="1"/>
  <c r="I54" i="15"/>
  <c r="J54" i="15" s="1"/>
  <c r="I53" i="15"/>
  <c r="J53" i="15" s="1"/>
  <c r="I52" i="15"/>
  <c r="J52" i="15" s="1"/>
  <c r="I51" i="15"/>
  <c r="J51" i="15" s="1"/>
  <c r="I50" i="15"/>
  <c r="J50" i="15" s="1"/>
  <c r="I49" i="15"/>
  <c r="J49" i="15" s="1"/>
  <c r="I48" i="15"/>
  <c r="J48" i="15" s="1"/>
  <c r="I47" i="15"/>
  <c r="J47" i="15" s="1"/>
  <c r="I46" i="15"/>
  <c r="J46" i="15" s="1"/>
  <c r="I45" i="15"/>
  <c r="J45" i="15" s="1"/>
  <c r="I44" i="15"/>
  <c r="J44" i="15" s="1"/>
  <c r="I43" i="15"/>
  <c r="J43" i="15" s="1"/>
  <c r="I42" i="15"/>
  <c r="J42" i="15" s="1"/>
  <c r="I41" i="15"/>
  <c r="J41" i="15" s="1"/>
  <c r="I40" i="15"/>
  <c r="J40" i="15" s="1"/>
  <c r="I39" i="15"/>
  <c r="J39" i="15" s="1"/>
  <c r="I38" i="15"/>
  <c r="J38" i="15" s="1"/>
  <c r="I37" i="15"/>
  <c r="J37" i="15" s="1"/>
  <c r="I36" i="15"/>
  <c r="J36" i="15" s="1"/>
  <c r="I35" i="15"/>
  <c r="J35" i="15" s="1"/>
  <c r="I34" i="15"/>
  <c r="J34" i="15" s="1"/>
  <c r="I33" i="15"/>
  <c r="J33" i="15" s="1"/>
  <c r="I32" i="15"/>
  <c r="J32" i="15" s="1"/>
  <c r="I31" i="15"/>
  <c r="J31" i="15" s="1"/>
  <c r="I30" i="15"/>
  <c r="J30" i="15" s="1"/>
  <c r="I29" i="15"/>
  <c r="J29" i="15" s="1"/>
  <c r="I28" i="15"/>
  <c r="J28" i="15" s="1"/>
  <c r="I27" i="15"/>
  <c r="J27" i="15" s="1"/>
  <c r="I26" i="15"/>
  <c r="J26" i="15" s="1"/>
  <c r="I25" i="15"/>
  <c r="J25" i="15" s="1"/>
  <c r="J24" i="15"/>
  <c r="I24" i="15"/>
  <c r="I23" i="15"/>
  <c r="J23" i="15" s="1"/>
  <c r="I22" i="15"/>
  <c r="J22" i="15" s="1"/>
  <c r="I21" i="15"/>
  <c r="J21" i="15" s="1"/>
  <c r="I20" i="15"/>
  <c r="J20" i="15" s="1"/>
  <c r="I19" i="15"/>
  <c r="J19" i="15" s="1"/>
  <c r="I18" i="15"/>
  <c r="J18" i="15" s="1"/>
  <c r="I17" i="15"/>
  <c r="J17" i="15" s="1"/>
  <c r="I16" i="15"/>
  <c r="J16" i="15" s="1"/>
  <c r="I15" i="15"/>
  <c r="J15" i="15" s="1"/>
  <c r="I14" i="15"/>
  <c r="J14" i="15" s="1"/>
  <c r="I13" i="15"/>
  <c r="J13" i="15" s="1"/>
  <c r="I12" i="15"/>
  <c r="J12" i="15" s="1"/>
  <c r="I11" i="15"/>
  <c r="J11" i="15" s="1"/>
  <c r="I10" i="15"/>
  <c r="J10" i="15" s="1"/>
  <c r="I9" i="15"/>
  <c r="J9" i="15" s="1"/>
  <c r="I8" i="15"/>
  <c r="J8" i="15" s="1"/>
  <c r="I7" i="15"/>
  <c r="J7" i="15" s="1"/>
  <c r="I6" i="15"/>
  <c r="J6" i="15" s="1"/>
  <c r="I5" i="15"/>
  <c r="J5" i="15" s="1"/>
  <c r="I4" i="15"/>
  <c r="J4" i="15" s="1"/>
  <c r="I3" i="15"/>
  <c r="J3" i="15" s="1"/>
  <c r="I2" i="15"/>
  <c r="J2" i="15" s="1"/>
  <c r="N181" i="14"/>
  <c r="N180" i="14"/>
  <c r="N179" i="14"/>
  <c r="N178" i="14"/>
  <c r="N177" i="14"/>
  <c r="N176" i="14"/>
  <c r="N175" i="14"/>
  <c r="N174" i="14"/>
  <c r="N173" i="14"/>
  <c r="N172" i="14"/>
  <c r="N171" i="14"/>
  <c r="N170" i="14"/>
  <c r="N169" i="14"/>
  <c r="N168" i="14"/>
  <c r="N167" i="14"/>
  <c r="N166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N152" i="14"/>
  <c r="N151" i="14"/>
  <c r="N150" i="14"/>
  <c r="N149" i="14"/>
  <c r="N148" i="14"/>
  <c r="N147" i="14"/>
  <c r="N146" i="14"/>
  <c r="N145" i="14"/>
  <c r="N144" i="14"/>
  <c r="N143" i="14"/>
  <c r="N142" i="14"/>
  <c r="N141" i="14"/>
  <c r="N140" i="14"/>
  <c r="N139" i="14"/>
  <c r="N138" i="14"/>
  <c r="N137" i="14"/>
  <c r="N136" i="14"/>
  <c r="N135" i="14"/>
  <c r="N134" i="14"/>
  <c r="N133" i="14"/>
  <c r="N132" i="14"/>
  <c r="N131" i="14"/>
  <c r="N130" i="14"/>
  <c r="N129" i="14"/>
  <c r="N128" i="14"/>
  <c r="N127" i="14"/>
  <c r="N126" i="14"/>
  <c r="N125" i="14"/>
  <c r="N124" i="14"/>
  <c r="N123" i="14"/>
  <c r="N122" i="14"/>
  <c r="N121" i="14"/>
  <c r="N120" i="14"/>
  <c r="N119" i="14"/>
  <c r="N118" i="14"/>
  <c r="N117" i="14"/>
  <c r="N116" i="14"/>
  <c r="N115" i="14"/>
  <c r="N114" i="14"/>
  <c r="N113" i="14"/>
  <c r="N112" i="14"/>
  <c r="N111" i="14"/>
  <c r="N110" i="14"/>
  <c r="N109" i="14"/>
  <c r="N108" i="14"/>
  <c r="N107" i="14"/>
  <c r="N106" i="14"/>
  <c r="N105" i="14"/>
  <c r="N104" i="14"/>
  <c r="N103" i="14"/>
  <c r="N102" i="14"/>
  <c r="N101" i="14"/>
  <c r="N100" i="14"/>
  <c r="N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N4" i="14"/>
  <c r="N3" i="14"/>
  <c r="N2" i="14"/>
  <c r="D81" i="13"/>
  <c r="C81" i="13"/>
  <c r="B81" i="13"/>
  <c r="D80" i="13"/>
  <c r="C80" i="13"/>
  <c r="B80" i="13"/>
  <c r="D79" i="13"/>
  <c r="C79" i="13"/>
  <c r="B79" i="13"/>
  <c r="D78" i="13"/>
  <c r="J78" i="13" s="1"/>
  <c r="C78" i="13"/>
  <c r="B78" i="13"/>
  <c r="D77" i="13"/>
  <c r="C77" i="13"/>
  <c r="B77" i="13"/>
  <c r="D76" i="13"/>
  <c r="C76" i="13"/>
  <c r="B76" i="13"/>
  <c r="D75" i="13"/>
  <c r="C75" i="13"/>
  <c r="B75" i="13"/>
  <c r="D74" i="13"/>
  <c r="C74" i="13"/>
  <c r="B74" i="13"/>
  <c r="D73" i="13"/>
  <c r="C73" i="13"/>
  <c r="B73" i="13"/>
  <c r="D72" i="13"/>
  <c r="C72" i="13"/>
  <c r="B72" i="13"/>
  <c r="D71" i="13"/>
  <c r="C71" i="13"/>
  <c r="B71" i="13"/>
  <c r="D70" i="13"/>
  <c r="C70" i="13"/>
  <c r="B70" i="13"/>
  <c r="D69" i="13"/>
  <c r="C69" i="13"/>
  <c r="B69" i="13"/>
  <c r="D68" i="13"/>
  <c r="C68" i="13"/>
  <c r="B68" i="13"/>
  <c r="D67" i="13"/>
  <c r="C67" i="13"/>
  <c r="B67" i="13"/>
  <c r="D66" i="13"/>
  <c r="C66" i="13"/>
  <c r="B66" i="13"/>
  <c r="D65" i="13"/>
  <c r="C65" i="13"/>
  <c r="B65" i="13"/>
  <c r="D64" i="13"/>
  <c r="C64" i="13"/>
  <c r="G64" i="13" s="1"/>
  <c r="B64" i="13"/>
  <c r="D63" i="13"/>
  <c r="C63" i="13"/>
  <c r="B63" i="13"/>
  <c r="D62" i="13"/>
  <c r="C62" i="13"/>
  <c r="B62" i="13"/>
  <c r="D61" i="13"/>
  <c r="H61" i="13" s="1"/>
  <c r="C61" i="13"/>
  <c r="B61" i="13"/>
  <c r="D60" i="13"/>
  <c r="C60" i="13"/>
  <c r="B60" i="13"/>
  <c r="D59" i="13"/>
  <c r="C59" i="13"/>
  <c r="B59" i="13"/>
  <c r="D58" i="13"/>
  <c r="C58" i="13"/>
  <c r="B58" i="13"/>
  <c r="D57" i="13"/>
  <c r="C57" i="13"/>
  <c r="B57" i="13"/>
  <c r="D56" i="13"/>
  <c r="C56" i="13"/>
  <c r="B56" i="13"/>
  <c r="D55" i="13"/>
  <c r="C55" i="13"/>
  <c r="B55" i="13"/>
  <c r="D54" i="13"/>
  <c r="C54" i="13"/>
  <c r="B54" i="13"/>
  <c r="D53" i="13"/>
  <c r="C53" i="13"/>
  <c r="B53" i="13"/>
  <c r="D52" i="13"/>
  <c r="C52" i="13"/>
  <c r="B52" i="13"/>
  <c r="D51" i="13"/>
  <c r="C51" i="13"/>
  <c r="B51" i="13"/>
  <c r="D50" i="13"/>
  <c r="C50" i="13"/>
  <c r="B50" i="13"/>
  <c r="D49" i="13"/>
  <c r="C49" i="13"/>
  <c r="B49" i="13"/>
  <c r="D48" i="13"/>
  <c r="C48" i="13"/>
  <c r="G48" i="13" s="1"/>
  <c r="B48" i="13"/>
  <c r="D47" i="13"/>
  <c r="C47" i="13"/>
  <c r="B47" i="13"/>
  <c r="D46" i="13"/>
  <c r="C46" i="13"/>
  <c r="B46" i="13"/>
  <c r="D45" i="13"/>
  <c r="C45" i="13"/>
  <c r="B45" i="13"/>
  <c r="D44" i="13"/>
  <c r="C44" i="13"/>
  <c r="B44" i="13"/>
  <c r="D43" i="13"/>
  <c r="C43" i="13"/>
  <c r="B43" i="13"/>
  <c r="D42" i="13"/>
  <c r="C42" i="13"/>
  <c r="B42" i="13"/>
  <c r="D41" i="13"/>
  <c r="C41" i="13"/>
  <c r="B41" i="13"/>
  <c r="D40" i="13"/>
  <c r="C40" i="13"/>
  <c r="B40" i="13"/>
  <c r="D39" i="13"/>
  <c r="C39" i="13"/>
  <c r="B39" i="13"/>
  <c r="D38" i="13"/>
  <c r="C38" i="13"/>
  <c r="B38" i="13"/>
  <c r="D37" i="13"/>
  <c r="H37" i="13" s="1"/>
  <c r="C37" i="13"/>
  <c r="B37" i="13"/>
  <c r="D36" i="13"/>
  <c r="C36" i="13"/>
  <c r="B36" i="13"/>
  <c r="D35" i="13"/>
  <c r="C35" i="13"/>
  <c r="B35" i="13"/>
  <c r="D34" i="13"/>
  <c r="C34" i="13"/>
  <c r="B34" i="13"/>
  <c r="D33" i="13"/>
  <c r="C33" i="13"/>
  <c r="B33" i="13"/>
  <c r="D32" i="13"/>
  <c r="C32" i="13"/>
  <c r="B32" i="13"/>
  <c r="D31" i="13"/>
  <c r="C31" i="13"/>
  <c r="B31" i="13"/>
  <c r="D30" i="13"/>
  <c r="C30" i="13"/>
  <c r="B30" i="13"/>
  <c r="E29" i="13"/>
  <c r="D29" i="13"/>
  <c r="C29" i="13"/>
  <c r="G29" i="13" s="1"/>
  <c r="B29" i="13"/>
  <c r="D28" i="13"/>
  <c r="C28" i="13"/>
  <c r="B28" i="13"/>
  <c r="D27" i="13"/>
  <c r="G27" i="13" s="1"/>
  <c r="C27" i="13"/>
  <c r="B27" i="13"/>
  <c r="D26" i="13"/>
  <c r="C26" i="13"/>
  <c r="B26" i="13"/>
  <c r="D25" i="13"/>
  <c r="H25" i="13" s="1"/>
  <c r="C25" i="13"/>
  <c r="B25" i="13"/>
  <c r="D24" i="13"/>
  <c r="C24" i="13"/>
  <c r="B24" i="13"/>
  <c r="D23" i="13"/>
  <c r="C23" i="13"/>
  <c r="B23" i="13"/>
  <c r="D22" i="13"/>
  <c r="C22" i="13"/>
  <c r="B22" i="13"/>
  <c r="D21" i="13"/>
  <c r="C21" i="13"/>
  <c r="B21" i="13"/>
  <c r="D20" i="13"/>
  <c r="C20" i="13"/>
  <c r="B20" i="13"/>
  <c r="D19" i="13"/>
  <c r="C19" i="13"/>
  <c r="B19" i="13"/>
  <c r="D18" i="13"/>
  <c r="C18" i="13"/>
  <c r="B18" i="13"/>
  <c r="D17" i="13"/>
  <c r="C17" i="13"/>
  <c r="B17" i="13"/>
  <c r="D16" i="13"/>
  <c r="E16" i="13" s="1"/>
  <c r="C16" i="13"/>
  <c r="B16" i="13"/>
  <c r="D15" i="13"/>
  <c r="C15" i="13"/>
  <c r="B15" i="13"/>
  <c r="D14" i="13"/>
  <c r="C14" i="13"/>
  <c r="B14" i="13"/>
  <c r="D13" i="13"/>
  <c r="C13" i="13"/>
  <c r="B13" i="13"/>
  <c r="D12" i="13"/>
  <c r="C12" i="13"/>
  <c r="B12" i="13"/>
  <c r="D11" i="13"/>
  <c r="C11" i="13"/>
  <c r="B11" i="13"/>
  <c r="D10" i="13"/>
  <c r="C10" i="13"/>
  <c r="B10" i="13"/>
  <c r="D9" i="13"/>
  <c r="C9" i="13"/>
  <c r="B9" i="13"/>
  <c r="D8" i="13"/>
  <c r="C8" i="13"/>
  <c r="B8" i="13"/>
  <c r="D7" i="13"/>
  <c r="C7" i="13"/>
  <c r="B7" i="13"/>
  <c r="D6" i="13"/>
  <c r="C6" i="13"/>
  <c r="B6" i="13"/>
  <c r="D5" i="13"/>
  <c r="C5" i="13"/>
  <c r="B5" i="13"/>
  <c r="D4" i="13"/>
  <c r="C4" i="13"/>
  <c r="B4" i="13"/>
  <c r="D3" i="13"/>
  <c r="C3" i="13"/>
  <c r="B3" i="13"/>
  <c r="D2" i="13"/>
  <c r="C2" i="13"/>
  <c r="B2" i="13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P721" i="10"/>
  <c r="O721" i="10"/>
  <c r="N721" i="10"/>
  <c r="M721" i="10"/>
  <c r="L721" i="10"/>
  <c r="K721" i="10"/>
  <c r="J721" i="10"/>
  <c r="I721" i="10"/>
  <c r="G721" i="10"/>
  <c r="F721" i="10"/>
  <c r="E721" i="10"/>
  <c r="D721" i="10"/>
  <c r="C721" i="10"/>
  <c r="B721" i="10"/>
  <c r="A721" i="10"/>
  <c r="P720" i="10"/>
  <c r="O720" i="10"/>
  <c r="N720" i="10"/>
  <c r="M720" i="10"/>
  <c r="L720" i="10"/>
  <c r="K720" i="10"/>
  <c r="J720" i="10"/>
  <c r="I720" i="10"/>
  <c r="G720" i="10"/>
  <c r="F720" i="10"/>
  <c r="E720" i="10"/>
  <c r="D720" i="10"/>
  <c r="C720" i="10"/>
  <c r="B720" i="10"/>
  <c r="A720" i="10"/>
  <c r="P719" i="10"/>
  <c r="O719" i="10"/>
  <c r="N719" i="10"/>
  <c r="M719" i="10"/>
  <c r="L719" i="10"/>
  <c r="K719" i="10"/>
  <c r="J719" i="10"/>
  <c r="I719" i="10"/>
  <c r="G719" i="10"/>
  <c r="F719" i="10"/>
  <c r="E719" i="10"/>
  <c r="D719" i="10"/>
  <c r="C719" i="10"/>
  <c r="B719" i="10"/>
  <c r="A719" i="10"/>
  <c r="P718" i="10"/>
  <c r="O718" i="10"/>
  <c r="N718" i="10"/>
  <c r="M718" i="10"/>
  <c r="L718" i="10"/>
  <c r="K718" i="10"/>
  <c r="J718" i="10"/>
  <c r="I718" i="10"/>
  <c r="G718" i="10"/>
  <c r="F718" i="10"/>
  <c r="E718" i="10"/>
  <c r="D718" i="10"/>
  <c r="C718" i="10"/>
  <c r="B718" i="10"/>
  <c r="A718" i="10"/>
  <c r="P717" i="10"/>
  <c r="O717" i="10"/>
  <c r="N717" i="10"/>
  <c r="M717" i="10"/>
  <c r="L717" i="10"/>
  <c r="K717" i="10"/>
  <c r="J717" i="10"/>
  <c r="I717" i="10"/>
  <c r="G717" i="10"/>
  <c r="F717" i="10"/>
  <c r="E717" i="10"/>
  <c r="D717" i="10"/>
  <c r="C717" i="10"/>
  <c r="B717" i="10"/>
  <c r="A717" i="10"/>
  <c r="P716" i="10"/>
  <c r="O716" i="10"/>
  <c r="N716" i="10"/>
  <c r="M716" i="10"/>
  <c r="L716" i="10"/>
  <c r="K716" i="10"/>
  <c r="J716" i="10"/>
  <c r="I716" i="10"/>
  <c r="G716" i="10"/>
  <c r="F716" i="10"/>
  <c r="E716" i="10"/>
  <c r="D716" i="10"/>
  <c r="C716" i="10"/>
  <c r="B716" i="10"/>
  <c r="A716" i="10"/>
  <c r="P715" i="10"/>
  <c r="O715" i="10"/>
  <c r="N715" i="10"/>
  <c r="M715" i="10"/>
  <c r="L715" i="10"/>
  <c r="K715" i="10"/>
  <c r="J715" i="10"/>
  <c r="I715" i="10"/>
  <c r="G715" i="10"/>
  <c r="F715" i="10"/>
  <c r="E715" i="10"/>
  <c r="D715" i="10"/>
  <c r="C715" i="10"/>
  <c r="B715" i="10"/>
  <c r="A715" i="10"/>
  <c r="P714" i="10"/>
  <c r="O714" i="10"/>
  <c r="N714" i="10"/>
  <c r="M714" i="10"/>
  <c r="L714" i="10"/>
  <c r="K714" i="10"/>
  <c r="J714" i="10"/>
  <c r="I714" i="10"/>
  <c r="G714" i="10"/>
  <c r="F714" i="10"/>
  <c r="E714" i="10"/>
  <c r="D714" i="10"/>
  <c r="C714" i="10"/>
  <c r="B714" i="10"/>
  <c r="A714" i="10"/>
  <c r="P713" i="10"/>
  <c r="O713" i="10"/>
  <c r="N713" i="10"/>
  <c r="M713" i="10"/>
  <c r="L713" i="10"/>
  <c r="K713" i="10"/>
  <c r="J713" i="10"/>
  <c r="I713" i="10"/>
  <c r="G713" i="10"/>
  <c r="F713" i="10"/>
  <c r="E713" i="10"/>
  <c r="D713" i="10"/>
  <c r="C713" i="10"/>
  <c r="B713" i="10"/>
  <c r="A713" i="10"/>
  <c r="P712" i="10"/>
  <c r="O712" i="10"/>
  <c r="N712" i="10"/>
  <c r="M712" i="10"/>
  <c r="L712" i="10"/>
  <c r="K712" i="10"/>
  <c r="J712" i="10"/>
  <c r="I712" i="10"/>
  <c r="G712" i="10"/>
  <c r="F712" i="10"/>
  <c r="E712" i="10"/>
  <c r="D712" i="10"/>
  <c r="C712" i="10"/>
  <c r="B712" i="10"/>
  <c r="A712" i="10"/>
  <c r="P711" i="10"/>
  <c r="O711" i="10"/>
  <c r="N711" i="10"/>
  <c r="M711" i="10"/>
  <c r="L711" i="10"/>
  <c r="K711" i="10"/>
  <c r="J711" i="10"/>
  <c r="I711" i="10"/>
  <c r="G711" i="10"/>
  <c r="F711" i="10"/>
  <c r="E711" i="10"/>
  <c r="D711" i="10"/>
  <c r="C711" i="10"/>
  <c r="B711" i="10"/>
  <c r="A711" i="10"/>
  <c r="P710" i="10"/>
  <c r="O710" i="10"/>
  <c r="N710" i="10"/>
  <c r="M710" i="10"/>
  <c r="L710" i="10"/>
  <c r="K710" i="10"/>
  <c r="J710" i="10"/>
  <c r="I710" i="10"/>
  <c r="G710" i="10"/>
  <c r="F710" i="10"/>
  <c r="E710" i="10"/>
  <c r="D710" i="10"/>
  <c r="C710" i="10"/>
  <c r="B710" i="10"/>
  <c r="A710" i="10"/>
  <c r="P709" i="10"/>
  <c r="O709" i="10"/>
  <c r="N709" i="10"/>
  <c r="M709" i="10"/>
  <c r="L709" i="10"/>
  <c r="K709" i="10"/>
  <c r="J709" i="10"/>
  <c r="I709" i="10"/>
  <c r="G709" i="10"/>
  <c r="F709" i="10"/>
  <c r="E709" i="10"/>
  <c r="D709" i="10"/>
  <c r="C709" i="10"/>
  <c r="B709" i="10"/>
  <c r="A709" i="10"/>
  <c r="P708" i="10"/>
  <c r="O708" i="10"/>
  <c r="N708" i="10"/>
  <c r="M708" i="10"/>
  <c r="L708" i="10"/>
  <c r="K708" i="10"/>
  <c r="J708" i="10"/>
  <c r="I708" i="10"/>
  <c r="G708" i="10"/>
  <c r="F708" i="10"/>
  <c r="E708" i="10"/>
  <c r="D708" i="10"/>
  <c r="C708" i="10"/>
  <c r="B708" i="10"/>
  <c r="A708" i="10"/>
  <c r="P707" i="10"/>
  <c r="O707" i="10"/>
  <c r="N707" i="10"/>
  <c r="M707" i="10"/>
  <c r="L707" i="10"/>
  <c r="K707" i="10"/>
  <c r="J707" i="10"/>
  <c r="I707" i="10"/>
  <c r="G707" i="10"/>
  <c r="F707" i="10"/>
  <c r="E707" i="10"/>
  <c r="D707" i="10"/>
  <c r="C707" i="10"/>
  <c r="B707" i="10"/>
  <c r="A707" i="10"/>
  <c r="P706" i="10"/>
  <c r="O706" i="10"/>
  <c r="N706" i="10"/>
  <c r="M706" i="10"/>
  <c r="L706" i="10"/>
  <c r="K706" i="10"/>
  <c r="J706" i="10"/>
  <c r="I706" i="10"/>
  <c r="G706" i="10"/>
  <c r="F706" i="10"/>
  <c r="E706" i="10"/>
  <c r="D706" i="10"/>
  <c r="C706" i="10"/>
  <c r="B706" i="10"/>
  <c r="A706" i="10"/>
  <c r="P705" i="10"/>
  <c r="O705" i="10"/>
  <c r="N705" i="10"/>
  <c r="M705" i="10"/>
  <c r="L705" i="10"/>
  <c r="K705" i="10"/>
  <c r="J705" i="10"/>
  <c r="I705" i="10"/>
  <c r="G705" i="10"/>
  <c r="F705" i="10"/>
  <c r="E705" i="10"/>
  <c r="D705" i="10"/>
  <c r="C705" i="10"/>
  <c r="B705" i="10"/>
  <c r="A705" i="10"/>
  <c r="P704" i="10"/>
  <c r="O704" i="10"/>
  <c r="N704" i="10"/>
  <c r="M704" i="10"/>
  <c r="L704" i="10"/>
  <c r="K704" i="10"/>
  <c r="J704" i="10"/>
  <c r="I704" i="10"/>
  <c r="G704" i="10"/>
  <c r="F704" i="10"/>
  <c r="E704" i="10"/>
  <c r="D704" i="10"/>
  <c r="C704" i="10"/>
  <c r="B704" i="10"/>
  <c r="A704" i="10"/>
  <c r="P703" i="10"/>
  <c r="O703" i="10"/>
  <c r="N703" i="10"/>
  <c r="M703" i="10"/>
  <c r="L703" i="10"/>
  <c r="K703" i="10"/>
  <c r="J703" i="10"/>
  <c r="I703" i="10"/>
  <c r="G703" i="10"/>
  <c r="F703" i="10"/>
  <c r="E703" i="10"/>
  <c r="D703" i="10"/>
  <c r="C703" i="10"/>
  <c r="B703" i="10"/>
  <c r="A703" i="10"/>
  <c r="P702" i="10"/>
  <c r="O702" i="10"/>
  <c r="N702" i="10"/>
  <c r="M702" i="10"/>
  <c r="L702" i="10"/>
  <c r="K702" i="10"/>
  <c r="J702" i="10"/>
  <c r="I702" i="10"/>
  <c r="G702" i="10"/>
  <c r="F702" i="10"/>
  <c r="E702" i="10"/>
  <c r="D702" i="10"/>
  <c r="C702" i="10"/>
  <c r="B702" i="10"/>
  <c r="A702" i="10"/>
  <c r="P701" i="10"/>
  <c r="O701" i="10"/>
  <c r="N701" i="10"/>
  <c r="M701" i="10"/>
  <c r="L701" i="10"/>
  <c r="K701" i="10"/>
  <c r="J701" i="10"/>
  <c r="I701" i="10"/>
  <c r="G701" i="10"/>
  <c r="F701" i="10"/>
  <c r="E701" i="10"/>
  <c r="D701" i="10"/>
  <c r="C701" i="10"/>
  <c r="B701" i="10"/>
  <c r="A701" i="10"/>
  <c r="P700" i="10"/>
  <c r="O700" i="10"/>
  <c r="N700" i="10"/>
  <c r="M700" i="10"/>
  <c r="L700" i="10"/>
  <c r="K700" i="10"/>
  <c r="J700" i="10"/>
  <c r="I700" i="10"/>
  <c r="G700" i="10"/>
  <c r="F700" i="10"/>
  <c r="E700" i="10"/>
  <c r="D700" i="10"/>
  <c r="C700" i="10"/>
  <c r="B700" i="10"/>
  <c r="A700" i="10"/>
  <c r="P699" i="10"/>
  <c r="O699" i="10"/>
  <c r="N699" i="10"/>
  <c r="M699" i="10"/>
  <c r="L699" i="10"/>
  <c r="K699" i="10"/>
  <c r="J699" i="10"/>
  <c r="I699" i="10"/>
  <c r="G699" i="10"/>
  <c r="F699" i="10"/>
  <c r="E699" i="10"/>
  <c r="D699" i="10"/>
  <c r="C699" i="10"/>
  <c r="B699" i="10"/>
  <c r="A699" i="10"/>
  <c r="P698" i="10"/>
  <c r="O698" i="10"/>
  <c r="N698" i="10"/>
  <c r="M698" i="10"/>
  <c r="L698" i="10"/>
  <c r="K698" i="10"/>
  <c r="J698" i="10"/>
  <c r="I698" i="10"/>
  <c r="G698" i="10"/>
  <c r="F698" i="10"/>
  <c r="E698" i="10"/>
  <c r="D698" i="10"/>
  <c r="C698" i="10"/>
  <c r="B698" i="10"/>
  <c r="A698" i="10"/>
  <c r="P697" i="10"/>
  <c r="O697" i="10"/>
  <c r="N697" i="10"/>
  <c r="M697" i="10"/>
  <c r="L697" i="10"/>
  <c r="K697" i="10"/>
  <c r="J697" i="10"/>
  <c r="I697" i="10"/>
  <c r="G697" i="10"/>
  <c r="F697" i="10"/>
  <c r="E697" i="10"/>
  <c r="D697" i="10"/>
  <c r="C697" i="10"/>
  <c r="B697" i="10"/>
  <c r="A697" i="10"/>
  <c r="P696" i="10"/>
  <c r="O696" i="10"/>
  <c r="N696" i="10"/>
  <c r="M696" i="10"/>
  <c r="L696" i="10"/>
  <c r="K696" i="10"/>
  <c r="J696" i="10"/>
  <c r="I696" i="10"/>
  <c r="G696" i="10"/>
  <c r="F696" i="10"/>
  <c r="E696" i="10"/>
  <c r="D696" i="10"/>
  <c r="C696" i="10"/>
  <c r="B696" i="10"/>
  <c r="A696" i="10"/>
  <c r="P695" i="10"/>
  <c r="O695" i="10"/>
  <c r="N695" i="10"/>
  <c r="M695" i="10"/>
  <c r="L695" i="10"/>
  <c r="K695" i="10"/>
  <c r="J695" i="10"/>
  <c r="I695" i="10"/>
  <c r="G695" i="10"/>
  <c r="F695" i="10"/>
  <c r="E695" i="10"/>
  <c r="D695" i="10"/>
  <c r="C695" i="10"/>
  <c r="B695" i="10"/>
  <c r="A695" i="10"/>
  <c r="P694" i="10"/>
  <c r="O694" i="10"/>
  <c r="N694" i="10"/>
  <c r="M694" i="10"/>
  <c r="L694" i="10"/>
  <c r="K694" i="10"/>
  <c r="J694" i="10"/>
  <c r="I694" i="10"/>
  <c r="G694" i="10"/>
  <c r="F694" i="10"/>
  <c r="E694" i="10"/>
  <c r="D694" i="10"/>
  <c r="C694" i="10"/>
  <c r="B694" i="10"/>
  <c r="A694" i="10"/>
  <c r="P693" i="10"/>
  <c r="O693" i="10"/>
  <c r="N693" i="10"/>
  <c r="M693" i="10"/>
  <c r="L693" i="10"/>
  <c r="K693" i="10"/>
  <c r="J693" i="10"/>
  <c r="I693" i="10"/>
  <c r="G693" i="10"/>
  <c r="F693" i="10"/>
  <c r="E693" i="10"/>
  <c r="D693" i="10"/>
  <c r="C693" i="10"/>
  <c r="B693" i="10"/>
  <c r="A693" i="10"/>
  <c r="P692" i="10"/>
  <c r="O692" i="10"/>
  <c r="N692" i="10"/>
  <c r="M692" i="10"/>
  <c r="L692" i="10"/>
  <c r="K692" i="10"/>
  <c r="J692" i="10"/>
  <c r="I692" i="10"/>
  <c r="G692" i="10"/>
  <c r="F692" i="10"/>
  <c r="E692" i="10"/>
  <c r="D692" i="10"/>
  <c r="C692" i="10"/>
  <c r="B692" i="10"/>
  <c r="A692" i="10"/>
  <c r="P691" i="10"/>
  <c r="O691" i="10"/>
  <c r="N691" i="10"/>
  <c r="M691" i="10"/>
  <c r="L691" i="10"/>
  <c r="K691" i="10"/>
  <c r="J691" i="10"/>
  <c r="I691" i="10"/>
  <c r="G691" i="10"/>
  <c r="F691" i="10"/>
  <c r="E691" i="10"/>
  <c r="D691" i="10"/>
  <c r="C691" i="10"/>
  <c r="B691" i="10"/>
  <c r="A691" i="10"/>
  <c r="P690" i="10"/>
  <c r="O690" i="10"/>
  <c r="N690" i="10"/>
  <c r="M690" i="10"/>
  <c r="L690" i="10"/>
  <c r="K690" i="10"/>
  <c r="J690" i="10"/>
  <c r="I690" i="10"/>
  <c r="G690" i="10"/>
  <c r="F690" i="10"/>
  <c r="E690" i="10"/>
  <c r="D690" i="10"/>
  <c r="C690" i="10"/>
  <c r="B690" i="10"/>
  <c r="A690" i="10"/>
  <c r="P689" i="10"/>
  <c r="O689" i="10"/>
  <c r="N689" i="10"/>
  <c r="M689" i="10"/>
  <c r="L689" i="10"/>
  <c r="K689" i="10"/>
  <c r="J689" i="10"/>
  <c r="I689" i="10"/>
  <c r="G689" i="10"/>
  <c r="F689" i="10"/>
  <c r="E689" i="10"/>
  <c r="D689" i="10"/>
  <c r="C689" i="10"/>
  <c r="B689" i="10"/>
  <c r="A689" i="10"/>
  <c r="P688" i="10"/>
  <c r="O688" i="10"/>
  <c r="N688" i="10"/>
  <c r="M688" i="10"/>
  <c r="L688" i="10"/>
  <c r="K688" i="10"/>
  <c r="J688" i="10"/>
  <c r="I688" i="10"/>
  <c r="G688" i="10"/>
  <c r="F688" i="10"/>
  <c r="E688" i="10"/>
  <c r="D688" i="10"/>
  <c r="C688" i="10"/>
  <c r="B688" i="10"/>
  <c r="A688" i="10"/>
  <c r="P687" i="10"/>
  <c r="O687" i="10"/>
  <c r="N687" i="10"/>
  <c r="M687" i="10"/>
  <c r="L687" i="10"/>
  <c r="K687" i="10"/>
  <c r="J687" i="10"/>
  <c r="I687" i="10"/>
  <c r="G687" i="10"/>
  <c r="F687" i="10"/>
  <c r="E687" i="10"/>
  <c r="D687" i="10"/>
  <c r="C687" i="10"/>
  <c r="B687" i="10"/>
  <c r="A687" i="10"/>
  <c r="P686" i="10"/>
  <c r="O686" i="10"/>
  <c r="N686" i="10"/>
  <c r="M686" i="10"/>
  <c r="L686" i="10"/>
  <c r="K686" i="10"/>
  <c r="J686" i="10"/>
  <c r="I686" i="10"/>
  <c r="G686" i="10"/>
  <c r="F686" i="10"/>
  <c r="E686" i="10"/>
  <c r="D686" i="10"/>
  <c r="C686" i="10"/>
  <c r="B686" i="10"/>
  <c r="A686" i="10"/>
  <c r="P685" i="10"/>
  <c r="O685" i="10"/>
  <c r="N685" i="10"/>
  <c r="M685" i="10"/>
  <c r="L685" i="10"/>
  <c r="K685" i="10"/>
  <c r="J685" i="10"/>
  <c r="I685" i="10"/>
  <c r="G685" i="10"/>
  <c r="F685" i="10"/>
  <c r="E685" i="10"/>
  <c r="D685" i="10"/>
  <c r="C685" i="10"/>
  <c r="B685" i="10"/>
  <c r="A685" i="10"/>
  <c r="P684" i="10"/>
  <c r="O684" i="10"/>
  <c r="N684" i="10"/>
  <c r="M684" i="10"/>
  <c r="L684" i="10"/>
  <c r="K684" i="10"/>
  <c r="J684" i="10"/>
  <c r="I684" i="10"/>
  <c r="G684" i="10"/>
  <c r="F684" i="10"/>
  <c r="E684" i="10"/>
  <c r="D684" i="10"/>
  <c r="C684" i="10"/>
  <c r="B684" i="10"/>
  <c r="A684" i="10"/>
  <c r="P683" i="10"/>
  <c r="O683" i="10"/>
  <c r="N683" i="10"/>
  <c r="M683" i="10"/>
  <c r="L683" i="10"/>
  <c r="K683" i="10"/>
  <c r="J683" i="10"/>
  <c r="I683" i="10"/>
  <c r="G683" i="10"/>
  <c r="F683" i="10"/>
  <c r="E683" i="10"/>
  <c r="D683" i="10"/>
  <c r="C683" i="10"/>
  <c r="B683" i="10"/>
  <c r="A683" i="10"/>
  <c r="P682" i="10"/>
  <c r="O682" i="10"/>
  <c r="N682" i="10"/>
  <c r="M682" i="10"/>
  <c r="L682" i="10"/>
  <c r="K682" i="10"/>
  <c r="J682" i="10"/>
  <c r="I682" i="10"/>
  <c r="G682" i="10"/>
  <c r="F682" i="10"/>
  <c r="E682" i="10"/>
  <c r="D682" i="10"/>
  <c r="C682" i="10"/>
  <c r="B682" i="10"/>
  <c r="A682" i="10"/>
  <c r="P681" i="10"/>
  <c r="O681" i="10"/>
  <c r="N681" i="10"/>
  <c r="M681" i="10"/>
  <c r="L681" i="10"/>
  <c r="K681" i="10"/>
  <c r="J681" i="10"/>
  <c r="I681" i="10"/>
  <c r="G681" i="10"/>
  <c r="F681" i="10"/>
  <c r="E681" i="10"/>
  <c r="D681" i="10"/>
  <c r="C681" i="10"/>
  <c r="B681" i="10"/>
  <c r="A681" i="10"/>
  <c r="P680" i="10"/>
  <c r="O680" i="10"/>
  <c r="N680" i="10"/>
  <c r="M680" i="10"/>
  <c r="L680" i="10"/>
  <c r="K680" i="10"/>
  <c r="J680" i="10"/>
  <c r="I680" i="10"/>
  <c r="G680" i="10"/>
  <c r="F680" i="10"/>
  <c r="E680" i="10"/>
  <c r="D680" i="10"/>
  <c r="C680" i="10"/>
  <c r="B680" i="10"/>
  <c r="A680" i="10"/>
  <c r="P679" i="10"/>
  <c r="O679" i="10"/>
  <c r="N679" i="10"/>
  <c r="M679" i="10"/>
  <c r="L679" i="10"/>
  <c r="K679" i="10"/>
  <c r="J679" i="10"/>
  <c r="I679" i="10"/>
  <c r="G679" i="10"/>
  <c r="F679" i="10"/>
  <c r="E679" i="10"/>
  <c r="D679" i="10"/>
  <c r="C679" i="10"/>
  <c r="B679" i="10"/>
  <c r="A679" i="10"/>
  <c r="P678" i="10"/>
  <c r="O678" i="10"/>
  <c r="N678" i="10"/>
  <c r="M678" i="10"/>
  <c r="L678" i="10"/>
  <c r="K678" i="10"/>
  <c r="J678" i="10"/>
  <c r="I678" i="10"/>
  <c r="G678" i="10"/>
  <c r="F678" i="10"/>
  <c r="E678" i="10"/>
  <c r="D678" i="10"/>
  <c r="C678" i="10"/>
  <c r="B678" i="10"/>
  <c r="A678" i="10"/>
  <c r="P677" i="10"/>
  <c r="O677" i="10"/>
  <c r="N677" i="10"/>
  <c r="M677" i="10"/>
  <c r="L677" i="10"/>
  <c r="K677" i="10"/>
  <c r="J677" i="10"/>
  <c r="I677" i="10"/>
  <c r="G677" i="10"/>
  <c r="F677" i="10"/>
  <c r="E677" i="10"/>
  <c r="D677" i="10"/>
  <c r="C677" i="10"/>
  <c r="B677" i="10"/>
  <c r="A677" i="10"/>
  <c r="P676" i="10"/>
  <c r="O676" i="10"/>
  <c r="N676" i="10"/>
  <c r="M676" i="10"/>
  <c r="L676" i="10"/>
  <c r="K676" i="10"/>
  <c r="J676" i="10"/>
  <c r="I676" i="10"/>
  <c r="G676" i="10"/>
  <c r="F676" i="10"/>
  <c r="E676" i="10"/>
  <c r="D676" i="10"/>
  <c r="C676" i="10"/>
  <c r="B676" i="10"/>
  <c r="A676" i="10"/>
  <c r="P675" i="10"/>
  <c r="O675" i="10"/>
  <c r="N675" i="10"/>
  <c r="M675" i="10"/>
  <c r="L675" i="10"/>
  <c r="K675" i="10"/>
  <c r="J675" i="10"/>
  <c r="I675" i="10"/>
  <c r="G675" i="10"/>
  <c r="F675" i="10"/>
  <c r="E675" i="10"/>
  <c r="D675" i="10"/>
  <c r="C675" i="10"/>
  <c r="B675" i="10"/>
  <c r="A675" i="10"/>
  <c r="P674" i="10"/>
  <c r="O674" i="10"/>
  <c r="N674" i="10"/>
  <c r="M674" i="10"/>
  <c r="L674" i="10"/>
  <c r="K674" i="10"/>
  <c r="J674" i="10"/>
  <c r="I674" i="10"/>
  <c r="G674" i="10"/>
  <c r="F674" i="10"/>
  <c r="E674" i="10"/>
  <c r="D674" i="10"/>
  <c r="C674" i="10"/>
  <c r="B674" i="10"/>
  <c r="A674" i="10"/>
  <c r="P673" i="10"/>
  <c r="O673" i="10"/>
  <c r="N673" i="10"/>
  <c r="M673" i="10"/>
  <c r="L673" i="10"/>
  <c r="K673" i="10"/>
  <c r="J673" i="10"/>
  <c r="I673" i="10"/>
  <c r="G673" i="10"/>
  <c r="F673" i="10"/>
  <c r="E673" i="10"/>
  <c r="D673" i="10"/>
  <c r="C673" i="10"/>
  <c r="B673" i="10"/>
  <c r="A673" i="10"/>
  <c r="P672" i="10"/>
  <c r="O672" i="10"/>
  <c r="N672" i="10"/>
  <c r="M672" i="10"/>
  <c r="L672" i="10"/>
  <c r="K672" i="10"/>
  <c r="J672" i="10"/>
  <c r="I672" i="10"/>
  <c r="G672" i="10"/>
  <c r="F672" i="10"/>
  <c r="E672" i="10"/>
  <c r="D672" i="10"/>
  <c r="C672" i="10"/>
  <c r="B672" i="10"/>
  <c r="A672" i="10"/>
  <c r="P671" i="10"/>
  <c r="O671" i="10"/>
  <c r="N671" i="10"/>
  <c r="M671" i="10"/>
  <c r="L671" i="10"/>
  <c r="K671" i="10"/>
  <c r="J671" i="10"/>
  <c r="I671" i="10"/>
  <c r="G671" i="10"/>
  <c r="F671" i="10"/>
  <c r="E671" i="10"/>
  <c r="D671" i="10"/>
  <c r="C671" i="10"/>
  <c r="B671" i="10"/>
  <c r="A671" i="10"/>
  <c r="P670" i="10"/>
  <c r="O670" i="10"/>
  <c r="N670" i="10"/>
  <c r="M670" i="10"/>
  <c r="L670" i="10"/>
  <c r="K670" i="10"/>
  <c r="J670" i="10"/>
  <c r="I670" i="10"/>
  <c r="G670" i="10"/>
  <c r="F670" i="10"/>
  <c r="E670" i="10"/>
  <c r="D670" i="10"/>
  <c r="C670" i="10"/>
  <c r="B670" i="10"/>
  <c r="A670" i="10"/>
  <c r="P669" i="10"/>
  <c r="O669" i="10"/>
  <c r="N669" i="10"/>
  <c r="M669" i="10"/>
  <c r="L669" i="10"/>
  <c r="K669" i="10"/>
  <c r="J669" i="10"/>
  <c r="I669" i="10"/>
  <c r="G669" i="10"/>
  <c r="F669" i="10"/>
  <c r="E669" i="10"/>
  <c r="D669" i="10"/>
  <c r="C669" i="10"/>
  <c r="B669" i="10"/>
  <c r="A669" i="10"/>
  <c r="P668" i="10"/>
  <c r="O668" i="10"/>
  <c r="N668" i="10"/>
  <c r="M668" i="10"/>
  <c r="L668" i="10"/>
  <c r="K668" i="10"/>
  <c r="J668" i="10"/>
  <c r="I668" i="10"/>
  <c r="G668" i="10"/>
  <c r="F668" i="10"/>
  <c r="E668" i="10"/>
  <c r="D668" i="10"/>
  <c r="C668" i="10"/>
  <c r="B668" i="10"/>
  <c r="A668" i="10"/>
  <c r="P667" i="10"/>
  <c r="O667" i="10"/>
  <c r="N667" i="10"/>
  <c r="M667" i="10"/>
  <c r="L667" i="10"/>
  <c r="K667" i="10"/>
  <c r="J667" i="10"/>
  <c r="I667" i="10"/>
  <c r="G667" i="10"/>
  <c r="F667" i="10"/>
  <c r="E667" i="10"/>
  <c r="D667" i="10"/>
  <c r="C667" i="10"/>
  <c r="B667" i="10"/>
  <c r="A667" i="10"/>
  <c r="P666" i="10"/>
  <c r="O666" i="10"/>
  <c r="N666" i="10"/>
  <c r="M666" i="10"/>
  <c r="L666" i="10"/>
  <c r="K666" i="10"/>
  <c r="J666" i="10"/>
  <c r="I666" i="10"/>
  <c r="G666" i="10"/>
  <c r="F666" i="10"/>
  <c r="E666" i="10"/>
  <c r="D666" i="10"/>
  <c r="C666" i="10"/>
  <c r="B666" i="10"/>
  <c r="A666" i="10"/>
  <c r="P665" i="10"/>
  <c r="O665" i="10"/>
  <c r="N665" i="10"/>
  <c r="M665" i="10"/>
  <c r="L665" i="10"/>
  <c r="K665" i="10"/>
  <c r="J665" i="10"/>
  <c r="I665" i="10"/>
  <c r="G665" i="10"/>
  <c r="F665" i="10"/>
  <c r="E665" i="10"/>
  <c r="D665" i="10"/>
  <c r="C665" i="10"/>
  <c r="B665" i="10"/>
  <c r="A665" i="10"/>
  <c r="P664" i="10"/>
  <c r="O664" i="10"/>
  <c r="N664" i="10"/>
  <c r="M664" i="10"/>
  <c r="L664" i="10"/>
  <c r="K664" i="10"/>
  <c r="J664" i="10"/>
  <c r="I664" i="10"/>
  <c r="G664" i="10"/>
  <c r="F664" i="10"/>
  <c r="E664" i="10"/>
  <c r="D664" i="10"/>
  <c r="C664" i="10"/>
  <c r="B664" i="10"/>
  <c r="A664" i="10"/>
  <c r="P663" i="10"/>
  <c r="O663" i="10"/>
  <c r="N663" i="10"/>
  <c r="M663" i="10"/>
  <c r="L663" i="10"/>
  <c r="K663" i="10"/>
  <c r="J663" i="10"/>
  <c r="I663" i="10"/>
  <c r="G663" i="10"/>
  <c r="F663" i="10"/>
  <c r="E663" i="10"/>
  <c r="D663" i="10"/>
  <c r="C663" i="10"/>
  <c r="B663" i="10"/>
  <c r="A663" i="10"/>
  <c r="P662" i="10"/>
  <c r="O662" i="10"/>
  <c r="N662" i="10"/>
  <c r="M662" i="10"/>
  <c r="L662" i="10"/>
  <c r="K662" i="10"/>
  <c r="J662" i="10"/>
  <c r="I662" i="10"/>
  <c r="G662" i="10"/>
  <c r="F662" i="10"/>
  <c r="E662" i="10"/>
  <c r="D662" i="10"/>
  <c r="C662" i="10"/>
  <c r="B662" i="10"/>
  <c r="A662" i="10"/>
  <c r="P661" i="10"/>
  <c r="O661" i="10"/>
  <c r="N661" i="10"/>
  <c r="M661" i="10"/>
  <c r="L661" i="10"/>
  <c r="K661" i="10"/>
  <c r="J661" i="10"/>
  <c r="I661" i="10"/>
  <c r="G661" i="10"/>
  <c r="F661" i="10"/>
  <c r="E661" i="10"/>
  <c r="D661" i="10"/>
  <c r="C661" i="10"/>
  <c r="B661" i="10"/>
  <c r="A661" i="10"/>
  <c r="P660" i="10"/>
  <c r="O660" i="10"/>
  <c r="N660" i="10"/>
  <c r="M660" i="10"/>
  <c r="L660" i="10"/>
  <c r="K660" i="10"/>
  <c r="J660" i="10"/>
  <c r="I660" i="10"/>
  <c r="G660" i="10"/>
  <c r="F660" i="10"/>
  <c r="E660" i="10"/>
  <c r="D660" i="10"/>
  <c r="C660" i="10"/>
  <c r="B660" i="10"/>
  <c r="A660" i="10"/>
  <c r="P659" i="10"/>
  <c r="O659" i="10"/>
  <c r="N659" i="10"/>
  <c r="M659" i="10"/>
  <c r="L659" i="10"/>
  <c r="K659" i="10"/>
  <c r="J659" i="10"/>
  <c r="I659" i="10"/>
  <c r="G659" i="10"/>
  <c r="F659" i="10"/>
  <c r="E659" i="10"/>
  <c r="D659" i="10"/>
  <c r="C659" i="10"/>
  <c r="B659" i="10"/>
  <c r="A659" i="10"/>
  <c r="P658" i="10"/>
  <c r="O658" i="10"/>
  <c r="N658" i="10"/>
  <c r="M658" i="10"/>
  <c r="L658" i="10"/>
  <c r="K658" i="10"/>
  <c r="J658" i="10"/>
  <c r="I658" i="10"/>
  <c r="G658" i="10"/>
  <c r="F658" i="10"/>
  <c r="E658" i="10"/>
  <c r="D658" i="10"/>
  <c r="C658" i="10"/>
  <c r="B658" i="10"/>
  <c r="A658" i="10"/>
  <c r="P657" i="10"/>
  <c r="O657" i="10"/>
  <c r="N657" i="10"/>
  <c r="M657" i="10"/>
  <c r="L657" i="10"/>
  <c r="K657" i="10"/>
  <c r="J657" i="10"/>
  <c r="I657" i="10"/>
  <c r="G657" i="10"/>
  <c r="F657" i="10"/>
  <c r="E657" i="10"/>
  <c r="D657" i="10"/>
  <c r="C657" i="10"/>
  <c r="B657" i="10"/>
  <c r="A657" i="10"/>
  <c r="P656" i="10"/>
  <c r="O656" i="10"/>
  <c r="N656" i="10"/>
  <c r="M656" i="10"/>
  <c r="L656" i="10"/>
  <c r="K656" i="10"/>
  <c r="J656" i="10"/>
  <c r="I656" i="10"/>
  <c r="G656" i="10"/>
  <c r="F656" i="10"/>
  <c r="E656" i="10"/>
  <c r="D656" i="10"/>
  <c r="C656" i="10"/>
  <c r="B656" i="10"/>
  <c r="A656" i="10"/>
  <c r="P655" i="10"/>
  <c r="O655" i="10"/>
  <c r="N655" i="10"/>
  <c r="M655" i="10"/>
  <c r="L655" i="10"/>
  <c r="K655" i="10"/>
  <c r="J655" i="10"/>
  <c r="I655" i="10"/>
  <c r="G655" i="10"/>
  <c r="F655" i="10"/>
  <c r="E655" i="10"/>
  <c r="D655" i="10"/>
  <c r="C655" i="10"/>
  <c r="B655" i="10"/>
  <c r="A655" i="10"/>
  <c r="P654" i="10"/>
  <c r="O654" i="10"/>
  <c r="N654" i="10"/>
  <c r="M654" i="10"/>
  <c r="L654" i="10"/>
  <c r="K654" i="10"/>
  <c r="J654" i="10"/>
  <c r="I654" i="10"/>
  <c r="G654" i="10"/>
  <c r="F654" i="10"/>
  <c r="E654" i="10"/>
  <c r="D654" i="10"/>
  <c r="C654" i="10"/>
  <c r="B654" i="10"/>
  <c r="A654" i="10"/>
  <c r="P653" i="10"/>
  <c r="O653" i="10"/>
  <c r="N653" i="10"/>
  <c r="M653" i="10"/>
  <c r="L653" i="10"/>
  <c r="K653" i="10"/>
  <c r="J653" i="10"/>
  <c r="I653" i="10"/>
  <c r="G653" i="10"/>
  <c r="F653" i="10"/>
  <c r="E653" i="10"/>
  <c r="D653" i="10"/>
  <c r="C653" i="10"/>
  <c r="B653" i="10"/>
  <c r="A653" i="10"/>
  <c r="P652" i="10"/>
  <c r="O652" i="10"/>
  <c r="N652" i="10"/>
  <c r="M652" i="10"/>
  <c r="L652" i="10"/>
  <c r="K652" i="10"/>
  <c r="J652" i="10"/>
  <c r="I652" i="10"/>
  <c r="G652" i="10"/>
  <c r="F652" i="10"/>
  <c r="E652" i="10"/>
  <c r="D652" i="10"/>
  <c r="C652" i="10"/>
  <c r="B652" i="10"/>
  <c r="A652" i="10"/>
  <c r="P651" i="10"/>
  <c r="O651" i="10"/>
  <c r="N651" i="10"/>
  <c r="M651" i="10"/>
  <c r="L651" i="10"/>
  <c r="K651" i="10"/>
  <c r="J651" i="10"/>
  <c r="I651" i="10"/>
  <c r="G651" i="10"/>
  <c r="F651" i="10"/>
  <c r="E651" i="10"/>
  <c r="D651" i="10"/>
  <c r="C651" i="10"/>
  <c r="B651" i="10"/>
  <c r="A651" i="10"/>
  <c r="P650" i="10"/>
  <c r="O650" i="10"/>
  <c r="N650" i="10"/>
  <c r="M650" i="10"/>
  <c r="L650" i="10"/>
  <c r="K650" i="10"/>
  <c r="J650" i="10"/>
  <c r="I650" i="10"/>
  <c r="G650" i="10"/>
  <c r="F650" i="10"/>
  <c r="E650" i="10"/>
  <c r="D650" i="10"/>
  <c r="C650" i="10"/>
  <c r="B650" i="10"/>
  <c r="A650" i="10"/>
  <c r="P649" i="10"/>
  <c r="O649" i="10"/>
  <c r="N649" i="10"/>
  <c r="M649" i="10"/>
  <c r="L649" i="10"/>
  <c r="K649" i="10"/>
  <c r="J649" i="10"/>
  <c r="I649" i="10"/>
  <c r="G649" i="10"/>
  <c r="F649" i="10"/>
  <c r="E649" i="10"/>
  <c r="D649" i="10"/>
  <c r="C649" i="10"/>
  <c r="B649" i="10"/>
  <c r="A649" i="10"/>
  <c r="P648" i="10"/>
  <c r="O648" i="10"/>
  <c r="N648" i="10"/>
  <c r="M648" i="10"/>
  <c r="L648" i="10"/>
  <c r="K648" i="10"/>
  <c r="J648" i="10"/>
  <c r="I648" i="10"/>
  <c r="G648" i="10"/>
  <c r="F648" i="10"/>
  <c r="E648" i="10"/>
  <c r="D648" i="10"/>
  <c r="C648" i="10"/>
  <c r="B648" i="10"/>
  <c r="A648" i="10"/>
  <c r="P647" i="10"/>
  <c r="O647" i="10"/>
  <c r="N647" i="10"/>
  <c r="M647" i="10"/>
  <c r="L647" i="10"/>
  <c r="K647" i="10"/>
  <c r="J647" i="10"/>
  <c r="I647" i="10"/>
  <c r="G647" i="10"/>
  <c r="F647" i="10"/>
  <c r="E647" i="10"/>
  <c r="D647" i="10"/>
  <c r="C647" i="10"/>
  <c r="B647" i="10"/>
  <c r="A647" i="10"/>
  <c r="P646" i="10"/>
  <c r="O646" i="10"/>
  <c r="N646" i="10"/>
  <c r="M646" i="10"/>
  <c r="L646" i="10"/>
  <c r="K646" i="10"/>
  <c r="J646" i="10"/>
  <c r="I646" i="10"/>
  <c r="G646" i="10"/>
  <c r="F646" i="10"/>
  <c r="E646" i="10"/>
  <c r="D646" i="10"/>
  <c r="C646" i="10"/>
  <c r="B646" i="10"/>
  <c r="A646" i="10"/>
  <c r="P645" i="10"/>
  <c r="O645" i="10"/>
  <c r="N645" i="10"/>
  <c r="M645" i="10"/>
  <c r="L645" i="10"/>
  <c r="K645" i="10"/>
  <c r="J645" i="10"/>
  <c r="I645" i="10"/>
  <c r="G645" i="10"/>
  <c r="F645" i="10"/>
  <c r="E645" i="10"/>
  <c r="D645" i="10"/>
  <c r="C645" i="10"/>
  <c r="B645" i="10"/>
  <c r="A645" i="10"/>
  <c r="P644" i="10"/>
  <c r="O644" i="10"/>
  <c r="N644" i="10"/>
  <c r="M644" i="10"/>
  <c r="L644" i="10"/>
  <c r="K644" i="10"/>
  <c r="J644" i="10"/>
  <c r="I644" i="10"/>
  <c r="G644" i="10"/>
  <c r="F644" i="10"/>
  <c r="E644" i="10"/>
  <c r="D644" i="10"/>
  <c r="C644" i="10"/>
  <c r="B644" i="10"/>
  <c r="A644" i="10"/>
  <c r="P643" i="10"/>
  <c r="O643" i="10"/>
  <c r="N643" i="10"/>
  <c r="M643" i="10"/>
  <c r="L643" i="10"/>
  <c r="K643" i="10"/>
  <c r="J643" i="10"/>
  <c r="I643" i="10"/>
  <c r="G643" i="10"/>
  <c r="F643" i="10"/>
  <c r="E643" i="10"/>
  <c r="D643" i="10"/>
  <c r="C643" i="10"/>
  <c r="B643" i="10"/>
  <c r="A643" i="10"/>
  <c r="P642" i="10"/>
  <c r="O642" i="10"/>
  <c r="N642" i="10"/>
  <c r="M642" i="10"/>
  <c r="L642" i="10"/>
  <c r="K642" i="10"/>
  <c r="J642" i="10"/>
  <c r="I642" i="10"/>
  <c r="G642" i="10"/>
  <c r="F642" i="10"/>
  <c r="E642" i="10"/>
  <c r="D642" i="10"/>
  <c r="C642" i="10"/>
  <c r="B642" i="10"/>
  <c r="A642" i="10"/>
  <c r="P641" i="10"/>
  <c r="O641" i="10"/>
  <c r="N641" i="10"/>
  <c r="M641" i="10"/>
  <c r="L641" i="10"/>
  <c r="K641" i="10"/>
  <c r="J641" i="10"/>
  <c r="I641" i="10"/>
  <c r="G641" i="10"/>
  <c r="F641" i="10"/>
  <c r="E641" i="10"/>
  <c r="D641" i="10"/>
  <c r="C641" i="10"/>
  <c r="B641" i="10"/>
  <c r="A641" i="10"/>
  <c r="P640" i="10"/>
  <c r="O640" i="10"/>
  <c r="N640" i="10"/>
  <c r="M640" i="10"/>
  <c r="L640" i="10"/>
  <c r="K640" i="10"/>
  <c r="J640" i="10"/>
  <c r="I640" i="10"/>
  <c r="G640" i="10"/>
  <c r="F640" i="10"/>
  <c r="E640" i="10"/>
  <c r="D640" i="10"/>
  <c r="C640" i="10"/>
  <c r="B640" i="10"/>
  <c r="A640" i="10"/>
  <c r="P639" i="10"/>
  <c r="O639" i="10"/>
  <c r="N639" i="10"/>
  <c r="M639" i="10"/>
  <c r="L639" i="10"/>
  <c r="K639" i="10"/>
  <c r="J639" i="10"/>
  <c r="I639" i="10"/>
  <c r="G639" i="10"/>
  <c r="F639" i="10"/>
  <c r="E639" i="10"/>
  <c r="D639" i="10"/>
  <c r="C639" i="10"/>
  <c r="B639" i="10"/>
  <c r="A639" i="10"/>
  <c r="P638" i="10"/>
  <c r="O638" i="10"/>
  <c r="N638" i="10"/>
  <c r="M638" i="10"/>
  <c r="L638" i="10"/>
  <c r="K638" i="10"/>
  <c r="J638" i="10"/>
  <c r="I638" i="10"/>
  <c r="G638" i="10"/>
  <c r="F638" i="10"/>
  <c r="E638" i="10"/>
  <c r="D638" i="10"/>
  <c r="C638" i="10"/>
  <c r="B638" i="10"/>
  <c r="A638" i="10"/>
  <c r="P637" i="10"/>
  <c r="O637" i="10"/>
  <c r="N637" i="10"/>
  <c r="M637" i="10"/>
  <c r="L637" i="10"/>
  <c r="K637" i="10"/>
  <c r="J637" i="10"/>
  <c r="I637" i="10"/>
  <c r="G637" i="10"/>
  <c r="F637" i="10"/>
  <c r="E637" i="10"/>
  <c r="D637" i="10"/>
  <c r="C637" i="10"/>
  <c r="B637" i="10"/>
  <c r="A637" i="10"/>
  <c r="P636" i="10"/>
  <c r="O636" i="10"/>
  <c r="N636" i="10"/>
  <c r="M636" i="10"/>
  <c r="L636" i="10"/>
  <c r="K636" i="10"/>
  <c r="J636" i="10"/>
  <c r="I636" i="10"/>
  <c r="G636" i="10"/>
  <c r="F636" i="10"/>
  <c r="E636" i="10"/>
  <c r="D636" i="10"/>
  <c r="C636" i="10"/>
  <c r="B636" i="10"/>
  <c r="A636" i="10"/>
  <c r="P635" i="10"/>
  <c r="O635" i="10"/>
  <c r="N635" i="10"/>
  <c r="M635" i="10"/>
  <c r="L635" i="10"/>
  <c r="K635" i="10"/>
  <c r="J635" i="10"/>
  <c r="I635" i="10"/>
  <c r="G635" i="10"/>
  <c r="F635" i="10"/>
  <c r="E635" i="10"/>
  <c r="D635" i="10"/>
  <c r="C635" i="10"/>
  <c r="B635" i="10"/>
  <c r="A635" i="10"/>
  <c r="P634" i="10"/>
  <c r="O634" i="10"/>
  <c r="N634" i="10"/>
  <c r="M634" i="10"/>
  <c r="L634" i="10"/>
  <c r="K634" i="10"/>
  <c r="J634" i="10"/>
  <c r="I634" i="10"/>
  <c r="G634" i="10"/>
  <c r="F634" i="10"/>
  <c r="E634" i="10"/>
  <c r="D634" i="10"/>
  <c r="C634" i="10"/>
  <c r="B634" i="10"/>
  <c r="A634" i="10"/>
  <c r="P633" i="10"/>
  <c r="O633" i="10"/>
  <c r="N633" i="10"/>
  <c r="M633" i="10"/>
  <c r="L633" i="10"/>
  <c r="K633" i="10"/>
  <c r="J633" i="10"/>
  <c r="I633" i="10"/>
  <c r="G633" i="10"/>
  <c r="F633" i="10"/>
  <c r="E633" i="10"/>
  <c r="D633" i="10"/>
  <c r="C633" i="10"/>
  <c r="B633" i="10"/>
  <c r="A633" i="10"/>
  <c r="P632" i="10"/>
  <c r="O632" i="10"/>
  <c r="N632" i="10"/>
  <c r="M632" i="10"/>
  <c r="L632" i="10"/>
  <c r="K632" i="10"/>
  <c r="J632" i="10"/>
  <c r="I632" i="10"/>
  <c r="G632" i="10"/>
  <c r="F632" i="10"/>
  <c r="E632" i="10"/>
  <c r="D632" i="10"/>
  <c r="C632" i="10"/>
  <c r="B632" i="10"/>
  <c r="A632" i="10"/>
  <c r="P631" i="10"/>
  <c r="O631" i="10"/>
  <c r="N631" i="10"/>
  <c r="M631" i="10"/>
  <c r="L631" i="10"/>
  <c r="K631" i="10"/>
  <c r="J631" i="10"/>
  <c r="I631" i="10"/>
  <c r="G631" i="10"/>
  <c r="F631" i="10"/>
  <c r="E631" i="10"/>
  <c r="D631" i="10"/>
  <c r="C631" i="10"/>
  <c r="B631" i="10"/>
  <c r="A631" i="10"/>
  <c r="P630" i="10"/>
  <c r="O630" i="10"/>
  <c r="N630" i="10"/>
  <c r="M630" i="10"/>
  <c r="L630" i="10"/>
  <c r="K630" i="10"/>
  <c r="J630" i="10"/>
  <c r="I630" i="10"/>
  <c r="G630" i="10"/>
  <c r="F630" i="10"/>
  <c r="E630" i="10"/>
  <c r="D630" i="10"/>
  <c r="C630" i="10"/>
  <c r="B630" i="10"/>
  <c r="A630" i="10"/>
  <c r="P629" i="10"/>
  <c r="O629" i="10"/>
  <c r="N629" i="10"/>
  <c r="M629" i="10"/>
  <c r="L629" i="10"/>
  <c r="K629" i="10"/>
  <c r="J629" i="10"/>
  <c r="I629" i="10"/>
  <c r="G629" i="10"/>
  <c r="F629" i="10"/>
  <c r="E629" i="10"/>
  <c r="D629" i="10"/>
  <c r="C629" i="10"/>
  <c r="B629" i="10"/>
  <c r="A629" i="10"/>
  <c r="P628" i="10"/>
  <c r="O628" i="10"/>
  <c r="N628" i="10"/>
  <c r="M628" i="10"/>
  <c r="L628" i="10"/>
  <c r="K628" i="10"/>
  <c r="J628" i="10"/>
  <c r="I628" i="10"/>
  <c r="G628" i="10"/>
  <c r="F628" i="10"/>
  <c r="E628" i="10"/>
  <c r="D628" i="10"/>
  <c r="C628" i="10"/>
  <c r="B628" i="10"/>
  <c r="A628" i="10"/>
  <c r="P627" i="10"/>
  <c r="O627" i="10"/>
  <c r="N627" i="10"/>
  <c r="M627" i="10"/>
  <c r="L627" i="10"/>
  <c r="K627" i="10"/>
  <c r="J627" i="10"/>
  <c r="I627" i="10"/>
  <c r="G627" i="10"/>
  <c r="F627" i="10"/>
  <c r="E627" i="10"/>
  <c r="D627" i="10"/>
  <c r="C627" i="10"/>
  <c r="B627" i="10"/>
  <c r="A627" i="10"/>
  <c r="P626" i="10"/>
  <c r="O626" i="10"/>
  <c r="N626" i="10"/>
  <c r="M626" i="10"/>
  <c r="L626" i="10"/>
  <c r="K626" i="10"/>
  <c r="J626" i="10"/>
  <c r="I626" i="10"/>
  <c r="G626" i="10"/>
  <c r="F626" i="10"/>
  <c r="E626" i="10"/>
  <c r="D626" i="10"/>
  <c r="C626" i="10"/>
  <c r="B626" i="10"/>
  <c r="A626" i="10"/>
  <c r="P625" i="10"/>
  <c r="O625" i="10"/>
  <c r="N625" i="10"/>
  <c r="M625" i="10"/>
  <c r="L625" i="10"/>
  <c r="K625" i="10"/>
  <c r="J625" i="10"/>
  <c r="I625" i="10"/>
  <c r="G625" i="10"/>
  <c r="F625" i="10"/>
  <c r="E625" i="10"/>
  <c r="D625" i="10"/>
  <c r="C625" i="10"/>
  <c r="B625" i="10"/>
  <c r="A625" i="10"/>
  <c r="P624" i="10"/>
  <c r="O624" i="10"/>
  <c r="N624" i="10"/>
  <c r="M624" i="10"/>
  <c r="L624" i="10"/>
  <c r="K624" i="10"/>
  <c r="J624" i="10"/>
  <c r="I624" i="10"/>
  <c r="G624" i="10"/>
  <c r="F624" i="10"/>
  <c r="E624" i="10"/>
  <c r="D624" i="10"/>
  <c r="C624" i="10"/>
  <c r="B624" i="10"/>
  <c r="A624" i="10"/>
  <c r="P623" i="10"/>
  <c r="O623" i="10"/>
  <c r="N623" i="10"/>
  <c r="M623" i="10"/>
  <c r="L623" i="10"/>
  <c r="K623" i="10"/>
  <c r="J623" i="10"/>
  <c r="I623" i="10"/>
  <c r="G623" i="10"/>
  <c r="F623" i="10"/>
  <c r="E623" i="10"/>
  <c r="D623" i="10"/>
  <c r="C623" i="10"/>
  <c r="B623" i="10"/>
  <c r="A623" i="10"/>
  <c r="P622" i="10"/>
  <c r="O622" i="10"/>
  <c r="N622" i="10"/>
  <c r="M622" i="10"/>
  <c r="L622" i="10"/>
  <c r="K622" i="10"/>
  <c r="J622" i="10"/>
  <c r="I622" i="10"/>
  <c r="G622" i="10"/>
  <c r="F622" i="10"/>
  <c r="E622" i="10"/>
  <c r="D622" i="10"/>
  <c r="C622" i="10"/>
  <c r="B622" i="10"/>
  <c r="A622" i="10"/>
  <c r="P621" i="10"/>
  <c r="O621" i="10"/>
  <c r="N621" i="10"/>
  <c r="M621" i="10"/>
  <c r="L621" i="10"/>
  <c r="K621" i="10"/>
  <c r="J621" i="10"/>
  <c r="I621" i="10"/>
  <c r="G621" i="10"/>
  <c r="F621" i="10"/>
  <c r="E621" i="10"/>
  <c r="D621" i="10"/>
  <c r="C621" i="10"/>
  <c r="B621" i="10"/>
  <c r="A621" i="10"/>
  <c r="P620" i="10"/>
  <c r="O620" i="10"/>
  <c r="N620" i="10"/>
  <c r="M620" i="10"/>
  <c r="L620" i="10"/>
  <c r="K620" i="10"/>
  <c r="J620" i="10"/>
  <c r="I620" i="10"/>
  <c r="G620" i="10"/>
  <c r="F620" i="10"/>
  <c r="E620" i="10"/>
  <c r="D620" i="10"/>
  <c r="C620" i="10"/>
  <c r="B620" i="10"/>
  <c r="A620" i="10"/>
  <c r="P619" i="10"/>
  <c r="O619" i="10"/>
  <c r="N619" i="10"/>
  <c r="M619" i="10"/>
  <c r="L619" i="10"/>
  <c r="K619" i="10"/>
  <c r="J619" i="10"/>
  <c r="I619" i="10"/>
  <c r="G619" i="10"/>
  <c r="F619" i="10"/>
  <c r="E619" i="10"/>
  <c r="D619" i="10"/>
  <c r="C619" i="10"/>
  <c r="B619" i="10"/>
  <c r="A619" i="10"/>
  <c r="P618" i="10"/>
  <c r="O618" i="10"/>
  <c r="N618" i="10"/>
  <c r="M618" i="10"/>
  <c r="L618" i="10"/>
  <c r="K618" i="10"/>
  <c r="J618" i="10"/>
  <c r="I618" i="10"/>
  <c r="G618" i="10"/>
  <c r="F618" i="10"/>
  <c r="E618" i="10"/>
  <c r="D618" i="10"/>
  <c r="C618" i="10"/>
  <c r="B618" i="10"/>
  <c r="A618" i="10"/>
  <c r="P617" i="10"/>
  <c r="O617" i="10"/>
  <c r="N617" i="10"/>
  <c r="M617" i="10"/>
  <c r="L617" i="10"/>
  <c r="K617" i="10"/>
  <c r="J617" i="10"/>
  <c r="I617" i="10"/>
  <c r="G617" i="10"/>
  <c r="F617" i="10"/>
  <c r="E617" i="10"/>
  <c r="D617" i="10"/>
  <c r="C617" i="10"/>
  <c r="B617" i="10"/>
  <c r="A617" i="10"/>
  <c r="P616" i="10"/>
  <c r="O616" i="10"/>
  <c r="N616" i="10"/>
  <c r="M616" i="10"/>
  <c r="L616" i="10"/>
  <c r="K616" i="10"/>
  <c r="J616" i="10"/>
  <c r="I616" i="10"/>
  <c r="G616" i="10"/>
  <c r="F616" i="10"/>
  <c r="E616" i="10"/>
  <c r="D616" i="10"/>
  <c r="C616" i="10"/>
  <c r="B616" i="10"/>
  <c r="A616" i="10"/>
  <c r="P615" i="10"/>
  <c r="O615" i="10"/>
  <c r="N615" i="10"/>
  <c r="M615" i="10"/>
  <c r="L615" i="10"/>
  <c r="K615" i="10"/>
  <c r="J615" i="10"/>
  <c r="I615" i="10"/>
  <c r="G615" i="10"/>
  <c r="F615" i="10"/>
  <c r="E615" i="10"/>
  <c r="D615" i="10"/>
  <c r="C615" i="10"/>
  <c r="B615" i="10"/>
  <c r="A615" i="10"/>
  <c r="P614" i="10"/>
  <c r="O614" i="10"/>
  <c r="N614" i="10"/>
  <c r="M614" i="10"/>
  <c r="L614" i="10"/>
  <c r="K614" i="10"/>
  <c r="J614" i="10"/>
  <c r="I614" i="10"/>
  <c r="G614" i="10"/>
  <c r="F614" i="10"/>
  <c r="E614" i="10"/>
  <c r="D614" i="10"/>
  <c r="C614" i="10"/>
  <c r="B614" i="10"/>
  <c r="A614" i="10"/>
  <c r="P613" i="10"/>
  <c r="O613" i="10"/>
  <c r="N613" i="10"/>
  <c r="M613" i="10"/>
  <c r="L613" i="10"/>
  <c r="K613" i="10"/>
  <c r="J613" i="10"/>
  <c r="I613" i="10"/>
  <c r="G613" i="10"/>
  <c r="F613" i="10"/>
  <c r="E613" i="10"/>
  <c r="D613" i="10"/>
  <c r="C613" i="10"/>
  <c r="B613" i="10"/>
  <c r="A613" i="10"/>
  <c r="P612" i="10"/>
  <c r="O612" i="10"/>
  <c r="N612" i="10"/>
  <c r="M612" i="10"/>
  <c r="L612" i="10"/>
  <c r="K612" i="10"/>
  <c r="J612" i="10"/>
  <c r="I612" i="10"/>
  <c r="G612" i="10"/>
  <c r="F612" i="10"/>
  <c r="E612" i="10"/>
  <c r="D612" i="10"/>
  <c r="C612" i="10"/>
  <c r="B612" i="10"/>
  <c r="A612" i="10"/>
  <c r="P611" i="10"/>
  <c r="O611" i="10"/>
  <c r="N611" i="10"/>
  <c r="M611" i="10"/>
  <c r="L611" i="10"/>
  <c r="K611" i="10"/>
  <c r="J611" i="10"/>
  <c r="I611" i="10"/>
  <c r="G611" i="10"/>
  <c r="F611" i="10"/>
  <c r="E611" i="10"/>
  <c r="D611" i="10"/>
  <c r="C611" i="10"/>
  <c r="B611" i="10"/>
  <c r="A611" i="10"/>
  <c r="P610" i="10"/>
  <c r="O610" i="10"/>
  <c r="N610" i="10"/>
  <c r="M610" i="10"/>
  <c r="L610" i="10"/>
  <c r="K610" i="10"/>
  <c r="J610" i="10"/>
  <c r="I610" i="10"/>
  <c r="G610" i="10"/>
  <c r="F610" i="10"/>
  <c r="E610" i="10"/>
  <c r="D610" i="10"/>
  <c r="C610" i="10"/>
  <c r="B610" i="10"/>
  <c r="A610" i="10"/>
  <c r="P609" i="10"/>
  <c r="O609" i="10"/>
  <c r="N609" i="10"/>
  <c r="M609" i="10"/>
  <c r="L609" i="10"/>
  <c r="K609" i="10"/>
  <c r="J609" i="10"/>
  <c r="I609" i="10"/>
  <c r="G609" i="10"/>
  <c r="F609" i="10"/>
  <c r="E609" i="10"/>
  <c r="D609" i="10"/>
  <c r="C609" i="10"/>
  <c r="B609" i="10"/>
  <c r="A609" i="10"/>
  <c r="P608" i="10"/>
  <c r="O608" i="10"/>
  <c r="N608" i="10"/>
  <c r="M608" i="10"/>
  <c r="L608" i="10"/>
  <c r="K608" i="10"/>
  <c r="J608" i="10"/>
  <c r="I608" i="10"/>
  <c r="G608" i="10"/>
  <c r="F608" i="10"/>
  <c r="E608" i="10"/>
  <c r="D608" i="10"/>
  <c r="C608" i="10"/>
  <c r="B608" i="10"/>
  <c r="A608" i="10"/>
  <c r="P607" i="10"/>
  <c r="O607" i="10"/>
  <c r="N607" i="10"/>
  <c r="M607" i="10"/>
  <c r="L607" i="10"/>
  <c r="K607" i="10"/>
  <c r="J607" i="10"/>
  <c r="I607" i="10"/>
  <c r="G607" i="10"/>
  <c r="F607" i="10"/>
  <c r="E607" i="10"/>
  <c r="D607" i="10"/>
  <c r="C607" i="10"/>
  <c r="B607" i="10"/>
  <c r="A607" i="10"/>
  <c r="P606" i="10"/>
  <c r="O606" i="10"/>
  <c r="N606" i="10"/>
  <c r="M606" i="10"/>
  <c r="L606" i="10"/>
  <c r="K606" i="10"/>
  <c r="J606" i="10"/>
  <c r="I606" i="10"/>
  <c r="G606" i="10"/>
  <c r="F606" i="10"/>
  <c r="E606" i="10"/>
  <c r="D606" i="10"/>
  <c r="C606" i="10"/>
  <c r="B606" i="10"/>
  <c r="A606" i="10"/>
  <c r="P605" i="10"/>
  <c r="O605" i="10"/>
  <c r="N605" i="10"/>
  <c r="M605" i="10"/>
  <c r="L605" i="10"/>
  <c r="K605" i="10"/>
  <c r="J605" i="10"/>
  <c r="I605" i="10"/>
  <c r="G605" i="10"/>
  <c r="F605" i="10"/>
  <c r="E605" i="10"/>
  <c r="D605" i="10"/>
  <c r="C605" i="10"/>
  <c r="B605" i="10"/>
  <c r="A605" i="10"/>
  <c r="P604" i="10"/>
  <c r="O604" i="10"/>
  <c r="N604" i="10"/>
  <c r="M604" i="10"/>
  <c r="L604" i="10"/>
  <c r="K604" i="10"/>
  <c r="J604" i="10"/>
  <c r="I604" i="10"/>
  <c r="G604" i="10"/>
  <c r="F604" i="10"/>
  <c r="E604" i="10"/>
  <c r="D604" i="10"/>
  <c r="C604" i="10"/>
  <c r="B604" i="10"/>
  <c r="A604" i="10"/>
  <c r="P603" i="10"/>
  <c r="O603" i="10"/>
  <c r="N603" i="10"/>
  <c r="M603" i="10"/>
  <c r="L603" i="10"/>
  <c r="K603" i="10"/>
  <c r="J603" i="10"/>
  <c r="I603" i="10"/>
  <c r="G603" i="10"/>
  <c r="F603" i="10"/>
  <c r="E603" i="10"/>
  <c r="D603" i="10"/>
  <c r="C603" i="10"/>
  <c r="B603" i="10"/>
  <c r="A603" i="10"/>
  <c r="P602" i="10"/>
  <c r="O602" i="10"/>
  <c r="N602" i="10"/>
  <c r="M602" i="10"/>
  <c r="L602" i="10"/>
  <c r="K602" i="10"/>
  <c r="J602" i="10"/>
  <c r="I602" i="10"/>
  <c r="G602" i="10"/>
  <c r="F602" i="10"/>
  <c r="E602" i="10"/>
  <c r="D602" i="10"/>
  <c r="C602" i="10"/>
  <c r="B602" i="10"/>
  <c r="A602" i="10"/>
  <c r="P601" i="10"/>
  <c r="O601" i="10"/>
  <c r="N601" i="10"/>
  <c r="M601" i="10"/>
  <c r="L601" i="10"/>
  <c r="K601" i="10"/>
  <c r="J601" i="10"/>
  <c r="I601" i="10"/>
  <c r="G601" i="10"/>
  <c r="F601" i="10"/>
  <c r="E601" i="10"/>
  <c r="D601" i="10"/>
  <c r="C601" i="10"/>
  <c r="B601" i="10"/>
  <c r="A601" i="10"/>
  <c r="P600" i="10"/>
  <c r="O600" i="10"/>
  <c r="N600" i="10"/>
  <c r="M600" i="10"/>
  <c r="L600" i="10"/>
  <c r="K600" i="10"/>
  <c r="J600" i="10"/>
  <c r="I600" i="10"/>
  <c r="G600" i="10"/>
  <c r="F600" i="10"/>
  <c r="E600" i="10"/>
  <c r="D600" i="10"/>
  <c r="C600" i="10"/>
  <c r="B600" i="10"/>
  <c r="A600" i="10"/>
  <c r="P599" i="10"/>
  <c r="O599" i="10"/>
  <c r="N599" i="10"/>
  <c r="M599" i="10"/>
  <c r="L599" i="10"/>
  <c r="K599" i="10"/>
  <c r="J599" i="10"/>
  <c r="I599" i="10"/>
  <c r="G599" i="10"/>
  <c r="F599" i="10"/>
  <c r="E599" i="10"/>
  <c r="D599" i="10"/>
  <c r="C599" i="10"/>
  <c r="B599" i="10"/>
  <c r="A599" i="10"/>
  <c r="P598" i="10"/>
  <c r="O598" i="10"/>
  <c r="N598" i="10"/>
  <c r="M598" i="10"/>
  <c r="L598" i="10"/>
  <c r="K598" i="10"/>
  <c r="J598" i="10"/>
  <c r="I598" i="10"/>
  <c r="G598" i="10"/>
  <c r="F598" i="10"/>
  <c r="E598" i="10"/>
  <c r="D598" i="10"/>
  <c r="C598" i="10"/>
  <c r="B598" i="10"/>
  <c r="A598" i="10"/>
  <c r="P597" i="10"/>
  <c r="O597" i="10"/>
  <c r="N597" i="10"/>
  <c r="M597" i="10"/>
  <c r="L597" i="10"/>
  <c r="K597" i="10"/>
  <c r="J597" i="10"/>
  <c r="I597" i="10"/>
  <c r="G597" i="10"/>
  <c r="F597" i="10"/>
  <c r="E597" i="10"/>
  <c r="D597" i="10"/>
  <c r="C597" i="10"/>
  <c r="B597" i="10"/>
  <c r="A597" i="10"/>
  <c r="P596" i="10"/>
  <c r="O596" i="10"/>
  <c r="N596" i="10"/>
  <c r="M596" i="10"/>
  <c r="L596" i="10"/>
  <c r="K596" i="10"/>
  <c r="J596" i="10"/>
  <c r="I596" i="10"/>
  <c r="G596" i="10"/>
  <c r="F596" i="10"/>
  <c r="E596" i="10"/>
  <c r="D596" i="10"/>
  <c r="C596" i="10"/>
  <c r="B596" i="10"/>
  <c r="A596" i="10"/>
  <c r="P595" i="10"/>
  <c r="O595" i="10"/>
  <c r="N595" i="10"/>
  <c r="M595" i="10"/>
  <c r="L595" i="10"/>
  <c r="K595" i="10"/>
  <c r="J595" i="10"/>
  <c r="I595" i="10"/>
  <c r="G595" i="10"/>
  <c r="F595" i="10"/>
  <c r="E595" i="10"/>
  <c r="D595" i="10"/>
  <c r="C595" i="10"/>
  <c r="B595" i="10"/>
  <c r="A595" i="10"/>
  <c r="P594" i="10"/>
  <c r="O594" i="10"/>
  <c r="N594" i="10"/>
  <c r="M594" i="10"/>
  <c r="L594" i="10"/>
  <c r="K594" i="10"/>
  <c r="J594" i="10"/>
  <c r="I594" i="10"/>
  <c r="G594" i="10"/>
  <c r="F594" i="10"/>
  <c r="E594" i="10"/>
  <c r="D594" i="10"/>
  <c r="C594" i="10"/>
  <c r="B594" i="10"/>
  <c r="A594" i="10"/>
  <c r="P593" i="10"/>
  <c r="O593" i="10"/>
  <c r="N593" i="10"/>
  <c r="M593" i="10"/>
  <c r="L593" i="10"/>
  <c r="K593" i="10"/>
  <c r="J593" i="10"/>
  <c r="I593" i="10"/>
  <c r="G593" i="10"/>
  <c r="F593" i="10"/>
  <c r="E593" i="10"/>
  <c r="D593" i="10"/>
  <c r="C593" i="10"/>
  <c r="B593" i="10"/>
  <c r="A593" i="10"/>
  <c r="P592" i="10"/>
  <c r="O592" i="10"/>
  <c r="N592" i="10"/>
  <c r="M592" i="10"/>
  <c r="L592" i="10"/>
  <c r="K592" i="10"/>
  <c r="J592" i="10"/>
  <c r="I592" i="10"/>
  <c r="G592" i="10"/>
  <c r="F592" i="10"/>
  <c r="E592" i="10"/>
  <c r="D592" i="10"/>
  <c r="C592" i="10"/>
  <c r="B592" i="10"/>
  <c r="A592" i="10"/>
  <c r="P591" i="10"/>
  <c r="O591" i="10"/>
  <c r="N591" i="10"/>
  <c r="M591" i="10"/>
  <c r="L591" i="10"/>
  <c r="K591" i="10"/>
  <c r="J591" i="10"/>
  <c r="I591" i="10"/>
  <c r="G591" i="10"/>
  <c r="F591" i="10"/>
  <c r="E591" i="10"/>
  <c r="D591" i="10"/>
  <c r="C591" i="10"/>
  <c r="B591" i="10"/>
  <c r="A591" i="10"/>
  <c r="P590" i="10"/>
  <c r="O590" i="10"/>
  <c r="N590" i="10"/>
  <c r="M590" i="10"/>
  <c r="L590" i="10"/>
  <c r="K590" i="10"/>
  <c r="J590" i="10"/>
  <c r="I590" i="10"/>
  <c r="G590" i="10"/>
  <c r="F590" i="10"/>
  <c r="E590" i="10"/>
  <c r="D590" i="10"/>
  <c r="C590" i="10"/>
  <c r="B590" i="10"/>
  <c r="A590" i="10"/>
  <c r="P589" i="10"/>
  <c r="O589" i="10"/>
  <c r="N589" i="10"/>
  <c r="M589" i="10"/>
  <c r="L589" i="10"/>
  <c r="K589" i="10"/>
  <c r="J589" i="10"/>
  <c r="I589" i="10"/>
  <c r="G589" i="10"/>
  <c r="F589" i="10"/>
  <c r="E589" i="10"/>
  <c r="D589" i="10"/>
  <c r="C589" i="10"/>
  <c r="B589" i="10"/>
  <c r="A589" i="10"/>
  <c r="P588" i="10"/>
  <c r="O588" i="10"/>
  <c r="N588" i="10"/>
  <c r="M588" i="10"/>
  <c r="L588" i="10"/>
  <c r="K588" i="10"/>
  <c r="J588" i="10"/>
  <c r="I588" i="10"/>
  <c r="G588" i="10"/>
  <c r="F588" i="10"/>
  <c r="E588" i="10"/>
  <c r="D588" i="10"/>
  <c r="C588" i="10"/>
  <c r="B588" i="10"/>
  <c r="A588" i="10"/>
  <c r="P587" i="10"/>
  <c r="O587" i="10"/>
  <c r="N587" i="10"/>
  <c r="M587" i="10"/>
  <c r="L587" i="10"/>
  <c r="K587" i="10"/>
  <c r="J587" i="10"/>
  <c r="I587" i="10"/>
  <c r="G587" i="10"/>
  <c r="F587" i="10"/>
  <c r="E587" i="10"/>
  <c r="D587" i="10"/>
  <c r="C587" i="10"/>
  <c r="B587" i="10"/>
  <c r="A587" i="10"/>
  <c r="P586" i="10"/>
  <c r="O586" i="10"/>
  <c r="N586" i="10"/>
  <c r="M586" i="10"/>
  <c r="L586" i="10"/>
  <c r="K586" i="10"/>
  <c r="J586" i="10"/>
  <c r="I586" i="10"/>
  <c r="G586" i="10"/>
  <c r="F586" i="10"/>
  <c r="E586" i="10"/>
  <c r="D586" i="10"/>
  <c r="C586" i="10"/>
  <c r="B586" i="10"/>
  <c r="A586" i="10"/>
  <c r="P585" i="10"/>
  <c r="O585" i="10"/>
  <c r="N585" i="10"/>
  <c r="M585" i="10"/>
  <c r="L585" i="10"/>
  <c r="K585" i="10"/>
  <c r="J585" i="10"/>
  <c r="I585" i="10"/>
  <c r="G585" i="10"/>
  <c r="F585" i="10"/>
  <c r="E585" i="10"/>
  <c r="D585" i="10"/>
  <c r="C585" i="10"/>
  <c r="B585" i="10"/>
  <c r="A585" i="10"/>
  <c r="P584" i="10"/>
  <c r="O584" i="10"/>
  <c r="N584" i="10"/>
  <c r="M584" i="10"/>
  <c r="L584" i="10"/>
  <c r="K584" i="10"/>
  <c r="J584" i="10"/>
  <c r="I584" i="10"/>
  <c r="G584" i="10"/>
  <c r="F584" i="10"/>
  <c r="E584" i="10"/>
  <c r="D584" i="10"/>
  <c r="C584" i="10"/>
  <c r="B584" i="10"/>
  <c r="A584" i="10"/>
  <c r="P583" i="10"/>
  <c r="O583" i="10"/>
  <c r="N583" i="10"/>
  <c r="M583" i="10"/>
  <c r="L583" i="10"/>
  <c r="K583" i="10"/>
  <c r="J583" i="10"/>
  <c r="I583" i="10"/>
  <c r="G583" i="10"/>
  <c r="F583" i="10"/>
  <c r="E583" i="10"/>
  <c r="D583" i="10"/>
  <c r="C583" i="10"/>
  <c r="B583" i="10"/>
  <c r="A583" i="10"/>
  <c r="P582" i="10"/>
  <c r="O582" i="10"/>
  <c r="N582" i="10"/>
  <c r="M582" i="10"/>
  <c r="L582" i="10"/>
  <c r="K582" i="10"/>
  <c r="J582" i="10"/>
  <c r="I582" i="10"/>
  <c r="G582" i="10"/>
  <c r="F582" i="10"/>
  <c r="E582" i="10"/>
  <c r="D582" i="10"/>
  <c r="C582" i="10"/>
  <c r="B582" i="10"/>
  <c r="A582" i="10"/>
  <c r="P581" i="10"/>
  <c r="O581" i="10"/>
  <c r="N581" i="10"/>
  <c r="M581" i="10"/>
  <c r="L581" i="10"/>
  <c r="K581" i="10"/>
  <c r="J581" i="10"/>
  <c r="I581" i="10"/>
  <c r="G581" i="10"/>
  <c r="F581" i="10"/>
  <c r="E581" i="10"/>
  <c r="D581" i="10"/>
  <c r="C581" i="10"/>
  <c r="B581" i="10"/>
  <c r="A581" i="10"/>
  <c r="P580" i="10"/>
  <c r="O580" i="10"/>
  <c r="N580" i="10"/>
  <c r="M580" i="10"/>
  <c r="L580" i="10"/>
  <c r="K580" i="10"/>
  <c r="J580" i="10"/>
  <c r="I580" i="10"/>
  <c r="G580" i="10"/>
  <c r="F580" i="10"/>
  <c r="E580" i="10"/>
  <c r="D580" i="10"/>
  <c r="C580" i="10"/>
  <c r="B580" i="10"/>
  <c r="A580" i="10"/>
  <c r="P579" i="10"/>
  <c r="O579" i="10"/>
  <c r="N579" i="10"/>
  <c r="M579" i="10"/>
  <c r="L579" i="10"/>
  <c r="K579" i="10"/>
  <c r="J579" i="10"/>
  <c r="I579" i="10"/>
  <c r="G579" i="10"/>
  <c r="F579" i="10"/>
  <c r="E579" i="10"/>
  <c r="D579" i="10"/>
  <c r="C579" i="10"/>
  <c r="B579" i="10"/>
  <c r="A579" i="10"/>
  <c r="P578" i="10"/>
  <c r="O578" i="10"/>
  <c r="N578" i="10"/>
  <c r="M578" i="10"/>
  <c r="L578" i="10"/>
  <c r="K578" i="10"/>
  <c r="J578" i="10"/>
  <c r="I578" i="10"/>
  <c r="G578" i="10"/>
  <c r="F578" i="10"/>
  <c r="E578" i="10"/>
  <c r="D578" i="10"/>
  <c r="C578" i="10"/>
  <c r="B578" i="10"/>
  <c r="A578" i="10"/>
  <c r="P577" i="10"/>
  <c r="O577" i="10"/>
  <c r="N577" i="10"/>
  <c r="M577" i="10"/>
  <c r="L577" i="10"/>
  <c r="K577" i="10"/>
  <c r="J577" i="10"/>
  <c r="I577" i="10"/>
  <c r="G577" i="10"/>
  <c r="F577" i="10"/>
  <c r="E577" i="10"/>
  <c r="D577" i="10"/>
  <c r="C577" i="10"/>
  <c r="B577" i="10"/>
  <c r="A577" i="10"/>
  <c r="P576" i="10"/>
  <c r="O576" i="10"/>
  <c r="N576" i="10"/>
  <c r="M576" i="10"/>
  <c r="L576" i="10"/>
  <c r="K576" i="10"/>
  <c r="J576" i="10"/>
  <c r="I576" i="10"/>
  <c r="G576" i="10"/>
  <c r="F576" i="10"/>
  <c r="E576" i="10"/>
  <c r="D576" i="10"/>
  <c r="C576" i="10"/>
  <c r="B576" i="10"/>
  <c r="A576" i="10"/>
  <c r="P575" i="10"/>
  <c r="O575" i="10"/>
  <c r="N575" i="10"/>
  <c r="M575" i="10"/>
  <c r="L575" i="10"/>
  <c r="K575" i="10"/>
  <c r="J575" i="10"/>
  <c r="I575" i="10"/>
  <c r="G575" i="10"/>
  <c r="F575" i="10"/>
  <c r="E575" i="10"/>
  <c r="D575" i="10"/>
  <c r="C575" i="10"/>
  <c r="B575" i="10"/>
  <c r="A575" i="10"/>
  <c r="P574" i="10"/>
  <c r="O574" i="10"/>
  <c r="N574" i="10"/>
  <c r="M574" i="10"/>
  <c r="L574" i="10"/>
  <c r="K574" i="10"/>
  <c r="J574" i="10"/>
  <c r="I574" i="10"/>
  <c r="G574" i="10"/>
  <c r="F574" i="10"/>
  <c r="E574" i="10"/>
  <c r="D574" i="10"/>
  <c r="C574" i="10"/>
  <c r="B574" i="10"/>
  <c r="A574" i="10"/>
  <c r="P573" i="10"/>
  <c r="O573" i="10"/>
  <c r="N573" i="10"/>
  <c r="M573" i="10"/>
  <c r="L573" i="10"/>
  <c r="K573" i="10"/>
  <c r="J573" i="10"/>
  <c r="I573" i="10"/>
  <c r="G573" i="10"/>
  <c r="F573" i="10"/>
  <c r="E573" i="10"/>
  <c r="D573" i="10"/>
  <c r="C573" i="10"/>
  <c r="B573" i="10"/>
  <c r="A573" i="10"/>
  <c r="P572" i="10"/>
  <c r="O572" i="10"/>
  <c r="N572" i="10"/>
  <c r="M572" i="10"/>
  <c r="L572" i="10"/>
  <c r="K572" i="10"/>
  <c r="J572" i="10"/>
  <c r="I572" i="10"/>
  <c r="G572" i="10"/>
  <c r="F572" i="10"/>
  <c r="E572" i="10"/>
  <c r="D572" i="10"/>
  <c r="C572" i="10"/>
  <c r="B572" i="10"/>
  <c r="A572" i="10"/>
  <c r="P571" i="10"/>
  <c r="O571" i="10"/>
  <c r="N571" i="10"/>
  <c r="M571" i="10"/>
  <c r="L571" i="10"/>
  <c r="K571" i="10"/>
  <c r="J571" i="10"/>
  <c r="I571" i="10"/>
  <c r="G571" i="10"/>
  <c r="F571" i="10"/>
  <c r="E571" i="10"/>
  <c r="D571" i="10"/>
  <c r="C571" i="10"/>
  <c r="B571" i="10"/>
  <c r="A571" i="10"/>
  <c r="P570" i="10"/>
  <c r="O570" i="10"/>
  <c r="N570" i="10"/>
  <c r="M570" i="10"/>
  <c r="L570" i="10"/>
  <c r="K570" i="10"/>
  <c r="J570" i="10"/>
  <c r="I570" i="10"/>
  <c r="G570" i="10"/>
  <c r="F570" i="10"/>
  <c r="E570" i="10"/>
  <c r="D570" i="10"/>
  <c r="C570" i="10"/>
  <c r="B570" i="10"/>
  <c r="A570" i="10"/>
  <c r="P569" i="10"/>
  <c r="O569" i="10"/>
  <c r="N569" i="10"/>
  <c r="M569" i="10"/>
  <c r="L569" i="10"/>
  <c r="K569" i="10"/>
  <c r="J569" i="10"/>
  <c r="I569" i="10"/>
  <c r="G569" i="10"/>
  <c r="F569" i="10"/>
  <c r="E569" i="10"/>
  <c r="D569" i="10"/>
  <c r="C569" i="10"/>
  <c r="B569" i="10"/>
  <c r="A569" i="10"/>
  <c r="P568" i="10"/>
  <c r="O568" i="10"/>
  <c r="N568" i="10"/>
  <c r="M568" i="10"/>
  <c r="L568" i="10"/>
  <c r="K568" i="10"/>
  <c r="J568" i="10"/>
  <c r="I568" i="10"/>
  <c r="G568" i="10"/>
  <c r="F568" i="10"/>
  <c r="E568" i="10"/>
  <c r="D568" i="10"/>
  <c r="C568" i="10"/>
  <c r="B568" i="10"/>
  <c r="A568" i="10"/>
  <c r="P567" i="10"/>
  <c r="O567" i="10"/>
  <c r="N567" i="10"/>
  <c r="M567" i="10"/>
  <c r="L567" i="10"/>
  <c r="K567" i="10"/>
  <c r="J567" i="10"/>
  <c r="I567" i="10"/>
  <c r="G567" i="10"/>
  <c r="F567" i="10"/>
  <c r="E567" i="10"/>
  <c r="D567" i="10"/>
  <c r="C567" i="10"/>
  <c r="B567" i="10"/>
  <c r="A567" i="10"/>
  <c r="P566" i="10"/>
  <c r="O566" i="10"/>
  <c r="N566" i="10"/>
  <c r="M566" i="10"/>
  <c r="L566" i="10"/>
  <c r="K566" i="10"/>
  <c r="J566" i="10"/>
  <c r="I566" i="10"/>
  <c r="G566" i="10"/>
  <c r="F566" i="10"/>
  <c r="E566" i="10"/>
  <c r="D566" i="10"/>
  <c r="C566" i="10"/>
  <c r="B566" i="10"/>
  <c r="A566" i="10"/>
  <c r="P565" i="10"/>
  <c r="O565" i="10"/>
  <c r="N565" i="10"/>
  <c r="M565" i="10"/>
  <c r="L565" i="10"/>
  <c r="K565" i="10"/>
  <c r="J565" i="10"/>
  <c r="I565" i="10"/>
  <c r="G565" i="10"/>
  <c r="F565" i="10"/>
  <c r="E565" i="10"/>
  <c r="D565" i="10"/>
  <c r="C565" i="10"/>
  <c r="B565" i="10"/>
  <c r="A565" i="10"/>
  <c r="P564" i="10"/>
  <c r="O564" i="10"/>
  <c r="N564" i="10"/>
  <c r="M564" i="10"/>
  <c r="L564" i="10"/>
  <c r="K564" i="10"/>
  <c r="J564" i="10"/>
  <c r="I564" i="10"/>
  <c r="G564" i="10"/>
  <c r="F564" i="10"/>
  <c r="E564" i="10"/>
  <c r="D564" i="10"/>
  <c r="C564" i="10"/>
  <c r="B564" i="10"/>
  <c r="A564" i="10"/>
  <c r="P563" i="10"/>
  <c r="O563" i="10"/>
  <c r="N563" i="10"/>
  <c r="M563" i="10"/>
  <c r="L563" i="10"/>
  <c r="K563" i="10"/>
  <c r="J563" i="10"/>
  <c r="I563" i="10"/>
  <c r="G563" i="10"/>
  <c r="F563" i="10"/>
  <c r="E563" i="10"/>
  <c r="D563" i="10"/>
  <c r="C563" i="10"/>
  <c r="B563" i="10"/>
  <c r="A563" i="10"/>
  <c r="P562" i="10"/>
  <c r="O562" i="10"/>
  <c r="N562" i="10"/>
  <c r="M562" i="10"/>
  <c r="L562" i="10"/>
  <c r="K562" i="10"/>
  <c r="J562" i="10"/>
  <c r="I562" i="10"/>
  <c r="G562" i="10"/>
  <c r="F562" i="10"/>
  <c r="E562" i="10"/>
  <c r="D562" i="10"/>
  <c r="C562" i="10"/>
  <c r="B562" i="10"/>
  <c r="A562" i="10"/>
  <c r="P561" i="10"/>
  <c r="O561" i="10"/>
  <c r="N561" i="10"/>
  <c r="M561" i="10"/>
  <c r="L561" i="10"/>
  <c r="K561" i="10"/>
  <c r="J561" i="10"/>
  <c r="I561" i="10"/>
  <c r="G561" i="10"/>
  <c r="F561" i="10"/>
  <c r="E561" i="10"/>
  <c r="D561" i="10"/>
  <c r="C561" i="10"/>
  <c r="B561" i="10"/>
  <c r="A561" i="10"/>
  <c r="P560" i="10"/>
  <c r="O560" i="10"/>
  <c r="N560" i="10"/>
  <c r="M560" i="10"/>
  <c r="L560" i="10"/>
  <c r="K560" i="10"/>
  <c r="J560" i="10"/>
  <c r="I560" i="10"/>
  <c r="G560" i="10"/>
  <c r="F560" i="10"/>
  <c r="E560" i="10"/>
  <c r="D560" i="10"/>
  <c r="C560" i="10"/>
  <c r="B560" i="10"/>
  <c r="A560" i="10"/>
  <c r="P559" i="10"/>
  <c r="O559" i="10"/>
  <c r="N559" i="10"/>
  <c r="M559" i="10"/>
  <c r="L559" i="10"/>
  <c r="K559" i="10"/>
  <c r="J559" i="10"/>
  <c r="I559" i="10"/>
  <c r="G559" i="10"/>
  <c r="F559" i="10"/>
  <c r="E559" i="10"/>
  <c r="D559" i="10"/>
  <c r="C559" i="10"/>
  <c r="B559" i="10"/>
  <c r="A559" i="10"/>
  <c r="P558" i="10"/>
  <c r="O558" i="10"/>
  <c r="N558" i="10"/>
  <c r="M558" i="10"/>
  <c r="L558" i="10"/>
  <c r="K558" i="10"/>
  <c r="J558" i="10"/>
  <c r="I558" i="10"/>
  <c r="G558" i="10"/>
  <c r="F558" i="10"/>
  <c r="E558" i="10"/>
  <c r="D558" i="10"/>
  <c r="C558" i="10"/>
  <c r="B558" i="10"/>
  <c r="A558" i="10"/>
  <c r="P557" i="10"/>
  <c r="O557" i="10"/>
  <c r="N557" i="10"/>
  <c r="M557" i="10"/>
  <c r="L557" i="10"/>
  <c r="K557" i="10"/>
  <c r="J557" i="10"/>
  <c r="I557" i="10"/>
  <c r="G557" i="10"/>
  <c r="F557" i="10"/>
  <c r="E557" i="10"/>
  <c r="D557" i="10"/>
  <c r="C557" i="10"/>
  <c r="B557" i="10"/>
  <c r="A557" i="10"/>
  <c r="P556" i="10"/>
  <c r="O556" i="10"/>
  <c r="N556" i="10"/>
  <c r="M556" i="10"/>
  <c r="L556" i="10"/>
  <c r="K556" i="10"/>
  <c r="J556" i="10"/>
  <c r="I556" i="10"/>
  <c r="G556" i="10"/>
  <c r="F556" i="10"/>
  <c r="E556" i="10"/>
  <c r="D556" i="10"/>
  <c r="C556" i="10"/>
  <c r="B556" i="10"/>
  <c r="A556" i="10"/>
  <c r="P555" i="10"/>
  <c r="O555" i="10"/>
  <c r="N555" i="10"/>
  <c r="M555" i="10"/>
  <c r="L555" i="10"/>
  <c r="K555" i="10"/>
  <c r="J555" i="10"/>
  <c r="I555" i="10"/>
  <c r="G555" i="10"/>
  <c r="F555" i="10"/>
  <c r="E555" i="10"/>
  <c r="D555" i="10"/>
  <c r="C555" i="10"/>
  <c r="B555" i="10"/>
  <c r="A555" i="10"/>
  <c r="P554" i="10"/>
  <c r="O554" i="10"/>
  <c r="N554" i="10"/>
  <c r="M554" i="10"/>
  <c r="L554" i="10"/>
  <c r="K554" i="10"/>
  <c r="J554" i="10"/>
  <c r="I554" i="10"/>
  <c r="G554" i="10"/>
  <c r="F554" i="10"/>
  <c r="E554" i="10"/>
  <c r="D554" i="10"/>
  <c r="C554" i="10"/>
  <c r="B554" i="10"/>
  <c r="A554" i="10"/>
  <c r="P553" i="10"/>
  <c r="O553" i="10"/>
  <c r="N553" i="10"/>
  <c r="M553" i="10"/>
  <c r="L553" i="10"/>
  <c r="K553" i="10"/>
  <c r="J553" i="10"/>
  <c r="I553" i="10"/>
  <c r="G553" i="10"/>
  <c r="F553" i="10"/>
  <c r="E553" i="10"/>
  <c r="D553" i="10"/>
  <c r="C553" i="10"/>
  <c r="B553" i="10"/>
  <c r="A553" i="10"/>
  <c r="P552" i="10"/>
  <c r="O552" i="10"/>
  <c r="N552" i="10"/>
  <c r="M552" i="10"/>
  <c r="L552" i="10"/>
  <c r="K552" i="10"/>
  <c r="J552" i="10"/>
  <c r="I552" i="10"/>
  <c r="G552" i="10"/>
  <c r="F552" i="10"/>
  <c r="E552" i="10"/>
  <c r="D552" i="10"/>
  <c r="C552" i="10"/>
  <c r="B552" i="10"/>
  <c r="A552" i="10"/>
  <c r="P551" i="10"/>
  <c r="O551" i="10"/>
  <c r="N551" i="10"/>
  <c r="M551" i="10"/>
  <c r="L551" i="10"/>
  <c r="K551" i="10"/>
  <c r="J551" i="10"/>
  <c r="I551" i="10"/>
  <c r="G551" i="10"/>
  <c r="F551" i="10"/>
  <c r="E551" i="10"/>
  <c r="D551" i="10"/>
  <c r="C551" i="10"/>
  <c r="B551" i="10"/>
  <c r="A551" i="10"/>
  <c r="P550" i="10"/>
  <c r="O550" i="10"/>
  <c r="N550" i="10"/>
  <c r="M550" i="10"/>
  <c r="L550" i="10"/>
  <c r="K550" i="10"/>
  <c r="J550" i="10"/>
  <c r="I550" i="10"/>
  <c r="G550" i="10"/>
  <c r="F550" i="10"/>
  <c r="E550" i="10"/>
  <c r="D550" i="10"/>
  <c r="C550" i="10"/>
  <c r="B550" i="10"/>
  <c r="A550" i="10"/>
  <c r="P549" i="10"/>
  <c r="O549" i="10"/>
  <c r="N549" i="10"/>
  <c r="M549" i="10"/>
  <c r="L549" i="10"/>
  <c r="K549" i="10"/>
  <c r="J549" i="10"/>
  <c r="I549" i="10"/>
  <c r="G549" i="10"/>
  <c r="F549" i="10"/>
  <c r="E549" i="10"/>
  <c r="D549" i="10"/>
  <c r="C549" i="10"/>
  <c r="B549" i="10"/>
  <c r="A549" i="10"/>
  <c r="P548" i="10"/>
  <c r="O548" i="10"/>
  <c r="N548" i="10"/>
  <c r="M548" i="10"/>
  <c r="L548" i="10"/>
  <c r="K548" i="10"/>
  <c r="J548" i="10"/>
  <c r="I548" i="10"/>
  <c r="G548" i="10"/>
  <c r="F548" i="10"/>
  <c r="E548" i="10"/>
  <c r="D548" i="10"/>
  <c r="C548" i="10"/>
  <c r="B548" i="10"/>
  <c r="A548" i="10"/>
  <c r="P547" i="10"/>
  <c r="O547" i="10"/>
  <c r="N547" i="10"/>
  <c r="M547" i="10"/>
  <c r="L547" i="10"/>
  <c r="K547" i="10"/>
  <c r="J547" i="10"/>
  <c r="I547" i="10"/>
  <c r="G547" i="10"/>
  <c r="F547" i="10"/>
  <c r="E547" i="10"/>
  <c r="D547" i="10"/>
  <c r="C547" i="10"/>
  <c r="B547" i="10"/>
  <c r="A547" i="10"/>
  <c r="P546" i="10"/>
  <c r="O546" i="10"/>
  <c r="N546" i="10"/>
  <c r="M546" i="10"/>
  <c r="L546" i="10"/>
  <c r="K546" i="10"/>
  <c r="J546" i="10"/>
  <c r="I546" i="10"/>
  <c r="G546" i="10"/>
  <c r="F546" i="10"/>
  <c r="E546" i="10"/>
  <c r="D546" i="10"/>
  <c r="C546" i="10"/>
  <c r="B546" i="10"/>
  <c r="A546" i="10"/>
  <c r="P545" i="10"/>
  <c r="O545" i="10"/>
  <c r="N545" i="10"/>
  <c r="M545" i="10"/>
  <c r="L545" i="10"/>
  <c r="K545" i="10"/>
  <c r="J545" i="10"/>
  <c r="I545" i="10"/>
  <c r="G545" i="10"/>
  <c r="F545" i="10"/>
  <c r="E545" i="10"/>
  <c r="D545" i="10"/>
  <c r="C545" i="10"/>
  <c r="B545" i="10"/>
  <c r="A545" i="10"/>
  <c r="P544" i="10"/>
  <c r="O544" i="10"/>
  <c r="N544" i="10"/>
  <c r="M544" i="10"/>
  <c r="L544" i="10"/>
  <c r="K544" i="10"/>
  <c r="J544" i="10"/>
  <c r="I544" i="10"/>
  <c r="G544" i="10"/>
  <c r="F544" i="10"/>
  <c r="E544" i="10"/>
  <c r="D544" i="10"/>
  <c r="C544" i="10"/>
  <c r="B544" i="10"/>
  <c r="A544" i="10"/>
  <c r="P543" i="10"/>
  <c r="O543" i="10"/>
  <c r="N543" i="10"/>
  <c r="M543" i="10"/>
  <c r="L543" i="10"/>
  <c r="K543" i="10"/>
  <c r="J543" i="10"/>
  <c r="I543" i="10"/>
  <c r="G543" i="10"/>
  <c r="F543" i="10"/>
  <c r="E543" i="10"/>
  <c r="D543" i="10"/>
  <c r="C543" i="10"/>
  <c r="B543" i="10"/>
  <c r="A543" i="10"/>
  <c r="P542" i="10"/>
  <c r="O542" i="10"/>
  <c r="N542" i="10"/>
  <c r="M542" i="10"/>
  <c r="L542" i="10"/>
  <c r="K542" i="10"/>
  <c r="J542" i="10"/>
  <c r="I542" i="10"/>
  <c r="G542" i="10"/>
  <c r="F542" i="10"/>
  <c r="E542" i="10"/>
  <c r="D542" i="10"/>
  <c r="C542" i="10"/>
  <c r="B542" i="10"/>
  <c r="A542" i="10"/>
  <c r="P541" i="10"/>
  <c r="O541" i="10"/>
  <c r="N541" i="10"/>
  <c r="M541" i="10"/>
  <c r="L541" i="10"/>
  <c r="K541" i="10"/>
  <c r="J541" i="10"/>
  <c r="I541" i="10"/>
  <c r="G541" i="10"/>
  <c r="F541" i="10"/>
  <c r="E541" i="10"/>
  <c r="D541" i="10"/>
  <c r="C541" i="10"/>
  <c r="B541" i="10"/>
  <c r="A541" i="10"/>
  <c r="P540" i="10"/>
  <c r="O540" i="10"/>
  <c r="N540" i="10"/>
  <c r="M540" i="10"/>
  <c r="L540" i="10"/>
  <c r="K540" i="10"/>
  <c r="J540" i="10"/>
  <c r="I540" i="10"/>
  <c r="G540" i="10"/>
  <c r="F540" i="10"/>
  <c r="E540" i="10"/>
  <c r="D540" i="10"/>
  <c r="C540" i="10"/>
  <c r="B540" i="10"/>
  <c r="A540" i="10"/>
  <c r="P539" i="10"/>
  <c r="O539" i="10"/>
  <c r="N539" i="10"/>
  <c r="M539" i="10"/>
  <c r="L539" i="10"/>
  <c r="K539" i="10"/>
  <c r="J539" i="10"/>
  <c r="I539" i="10"/>
  <c r="G539" i="10"/>
  <c r="F539" i="10"/>
  <c r="E539" i="10"/>
  <c r="D539" i="10"/>
  <c r="C539" i="10"/>
  <c r="B539" i="10"/>
  <c r="A539" i="10"/>
  <c r="P538" i="10"/>
  <c r="O538" i="10"/>
  <c r="N538" i="10"/>
  <c r="M538" i="10"/>
  <c r="L538" i="10"/>
  <c r="K538" i="10"/>
  <c r="J538" i="10"/>
  <c r="I538" i="10"/>
  <c r="G538" i="10"/>
  <c r="F538" i="10"/>
  <c r="E538" i="10"/>
  <c r="D538" i="10"/>
  <c r="C538" i="10"/>
  <c r="B538" i="10"/>
  <c r="A538" i="10"/>
  <c r="P537" i="10"/>
  <c r="O537" i="10"/>
  <c r="N537" i="10"/>
  <c r="M537" i="10"/>
  <c r="L537" i="10"/>
  <c r="K537" i="10"/>
  <c r="J537" i="10"/>
  <c r="I537" i="10"/>
  <c r="G537" i="10"/>
  <c r="F537" i="10"/>
  <c r="E537" i="10"/>
  <c r="D537" i="10"/>
  <c r="C537" i="10"/>
  <c r="B537" i="10"/>
  <c r="A537" i="10"/>
  <c r="P536" i="10"/>
  <c r="O536" i="10"/>
  <c r="N536" i="10"/>
  <c r="M536" i="10"/>
  <c r="L536" i="10"/>
  <c r="K536" i="10"/>
  <c r="J536" i="10"/>
  <c r="I536" i="10"/>
  <c r="G536" i="10"/>
  <c r="F536" i="10"/>
  <c r="E536" i="10"/>
  <c r="D536" i="10"/>
  <c r="C536" i="10"/>
  <c r="B536" i="10"/>
  <c r="A536" i="10"/>
  <c r="P535" i="10"/>
  <c r="O535" i="10"/>
  <c r="N535" i="10"/>
  <c r="M535" i="10"/>
  <c r="L535" i="10"/>
  <c r="K535" i="10"/>
  <c r="J535" i="10"/>
  <c r="I535" i="10"/>
  <c r="G535" i="10"/>
  <c r="F535" i="10"/>
  <c r="E535" i="10"/>
  <c r="D535" i="10"/>
  <c r="C535" i="10"/>
  <c r="B535" i="10"/>
  <c r="A535" i="10"/>
  <c r="P534" i="10"/>
  <c r="O534" i="10"/>
  <c r="N534" i="10"/>
  <c r="M534" i="10"/>
  <c r="L534" i="10"/>
  <c r="K534" i="10"/>
  <c r="J534" i="10"/>
  <c r="I534" i="10"/>
  <c r="G534" i="10"/>
  <c r="F534" i="10"/>
  <c r="E534" i="10"/>
  <c r="D534" i="10"/>
  <c r="C534" i="10"/>
  <c r="B534" i="10"/>
  <c r="A534" i="10"/>
  <c r="P533" i="10"/>
  <c r="O533" i="10"/>
  <c r="N533" i="10"/>
  <c r="M533" i="10"/>
  <c r="L533" i="10"/>
  <c r="K533" i="10"/>
  <c r="J533" i="10"/>
  <c r="I533" i="10"/>
  <c r="G533" i="10"/>
  <c r="F533" i="10"/>
  <c r="E533" i="10"/>
  <c r="D533" i="10"/>
  <c r="C533" i="10"/>
  <c r="B533" i="10"/>
  <c r="A533" i="10"/>
  <c r="P532" i="10"/>
  <c r="O532" i="10"/>
  <c r="N532" i="10"/>
  <c r="M532" i="10"/>
  <c r="L532" i="10"/>
  <c r="K532" i="10"/>
  <c r="J532" i="10"/>
  <c r="I532" i="10"/>
  <c r="G532" i="10"/>
  <c r="F532" i="10"/>
  <c r="E532" i="10"/>
  <c r="D532" i="10"/>
  <c r="C532" i="10"/>
  <c r="B532" i="10"/>
  <c r="A532" i="10"/>
  <c r="P531" i="10"/>
  <c r="O531" i="10"/>
  <c r="N531" i="10"/>
  <c r="M531" i="10"/>
  <c r="L531" i="10"/>
  <c r="K531" i="10"/>
  <c r="J531" i="10"/>
  <c r="I531" i="10"/>
  <c r="G531" i="10"/>
  <c r="F531" i="10"/>
  <c r="E531" i="10"/>
  <c r="D531" i="10"/>
  <c r="C531" i="10"/>
  <c r="B531" i="10"/>
  <c r="A531" i="10"/>
  <c r="P530" i="10"/>
  <c r="O530" i="10"/>
  <c r="N530" i="10"/>
  <c r="M530" i="10"/>
  <c r="L530" i="10"/>
  <c r="K530" i="10"/>
  <c r="J530" i="10"/>
  <c r="I530" i="10"/>
  <c r="G530" i="10"/>
  <c r="F530" i="10"/>
  <c r="E530" i="10"/>
  <c r="D530" i="10"/>
  <c r="C530" i="10"/>
  <c r="B530" i="10"/>
  <c r="A530" i="10"/>
  <c r="P529" i="10"/>
  <c r="O529" i="10"/>
  <c r="N529" i="10"/>
  <c r="M529" i="10"/>
  <c r="L529" i="10"/>
  <c r="K529" i="10"/>
  <c r="J529" i="10"/>
  <c r="I529" i="10"/>
  <c r="G529" i="10"/>
  <c r="F529" i="10"/>
  <c r="E529" i="10"/>
  <c r="D529" i="10"/>
  <c r="C529" i="10"/>
  <c r="B529" i="10"/>
  <c r="A529" i="10"/>
  <c r="P528" i="10"/>
  <c r="O528" i="10"/>
  <c r="N528" i="10"/>
  <c r="M528" i="10"/>
  <c r="L528" i="10"/>
  <c r="K528" i="10"/>
  <c r="J528" i="10"/>
  <c r="I528" i="10"/>
  <c r="G528" i="10"/>
  <c r="F528" i="10"/>
  <c r="E528" i="10"/>
  <c r="D528" i="10"/>
  <c r="C528" i="10"/>
  <c r="B528" i="10"/>
  <c r="A528" i="10"/>
  <c r="P527" i="10"/>
  <c r="O527" i="10"/>
  <c r="N527" i="10"/>
  <c r="M527" i="10"/>
  <c r="L527" i="10"/>
  <c r="K527" i="10"/>
  <c r="J527" i="10"/>
  <c r="I527" i="10"/>
  <c r="G527" i="10"/>
  <c r="F527" i="10"/>
  <c r="E527" i="10"/>
  <c r="D527" i="10"/>
  <c r="C527" i="10"/>
  <c r="B527" i="10"/>
  <c r="A527" i="10"/>
  <c r="P526" i="10"/>
  <c r="O526" i="10"/>
  <c r="N526" i="10"/>
  <c r="M526" i="10"/>
  <c r="L526" i="10"/>
  <c r="K526" i="10"/>
  <c r="J526" i="10"/>
  <c r="I526" i="10"/>
  <c r="G526" i="10"/>
  <c r="F526" i="10"/>
  <c r="E526" i="10"/>
  <c r="D526" i="10"/>
  <c r="C526" i="10"/>
  <c r="B526" i="10"/>
  <c r="A526" i="10"/>
  <c r="P525" i="10"/>
  <c r="O525" i="10"/>
  <c r="N525" i="10"/>
  <c r="M525" i="10"/>
  <c r="L525" i="10"/>
  <c r="K525" i="10"/>
  <c r="J525" i="10"/>
  <c r="I525" i="10"/>
  <c r="G525" i="10"/>
  <c r="F525" i="10"/>
  <c r="E525" i="10"/>
  <c r="D525" i="10"/>
  <c r="C525" i="10"/>
  <c r="B525" i="10"/>
  <c r="A525" i="10"/>
  <c r="P524" i="10"/>
  <c r="O524" i="10"/>
  <c r="N524" i="10"/>
  <c r="M524" i="10"/>
  <c r="L524" i="10"/>
  <c r="K524" i="10"/>
  <c r="J524" i="10"/>
  <c r="I524" i="10"/>
  <c r="G524" i="10"/>
  <c r="F524" i="10"/>
  <c r="E524" i="10"/>
  <c r="D524" i="10"/>
  <c r="C524" i="10"/>
  <c r="B524" i="10"/>
  <c r="A524" i="10"/>
  <c r="P523" i="10"/>
  <c r="O523" i="10"/>
  <c r="N523" i="10"/>
  <c r="M523" i="10"/>
  <c r="L523" i="10"/>
  <c r="K523" i="10"/>
  <c r="J523" i="10"/>
  <c r="I523" i="10"/>
  <c r="G523" i="10"/>
  <c r="F523" i="10"/>
  <c r="E523" i="10"/>
  <c r="D523" i="10"/>
  <c r="C523" i="10"/>
  <c r="B523" i="10"/>
  <c r="A523" i="10"/>
  <c r="P522" i="10"/>
  <c r="O522" i="10"/>
  <c r="N522" i="10"/>
  <c r="M522" i="10"/>
  <c r="L522" i="10"/>
  <c r="K522" i="10"/>
  <c r="J522" i="10"/>
  <c r="I522" i="10"/>
  <c r="G522" i="10"/>
  <c r="F522" i="10"/>
  <c r="E522" i="10"/>
  <c r="D522" i="10"/>
  <c r="C522" i="10"/>
  <c r="B522" i="10"/>
  <c r="A522" i="10"/>
  <c r="P521" i="10"/>
  <c r="O521" i="10"/>
  <c r="N521" i="10"/>
  <c r="M521" i="10"/>
  <c r="L521" i="10"/>
  <c r="K521" i="10"/>
  <c r="J521" i="10"/>
  <c r="I521" i="10"/>
  <c r="G521" i="10"/>
  <c r="F521" i="10"/>
  <c r="E521" i="10"/>
  <c r="D521" i="10"/>
  <c r="C521" i="10"/>
  <c r="B521" i="10"/>
  <c r="A521" i="10"/>
  <c r="P520" i="10"/>
  <c r="O520" i="10"/>
  <c r="N520" i="10"/>
  <c r="M520" i="10"/>
  <c r="L520" i="10"/>
  <c r="K520" i="10"/>
  <c r="J520" i="10"/>
  <c r="I520" i="10"/>
  <c r="G520" i="10"/>
  <c r="F520" i="10"/>
  <c r="E520" i="10"/>
  <c r="D520" i="10"/>
  <c r="C520" i="10"/>
  <c r="B520" i="10"/>
  <c r="A520" i="10"/>
  <c r="P519" i="10"/>
  <c r="O519" i="10"/>
  <c r="N519" i="10"/>
  <c r="M519" i="10"/>
  <c r="L519" i="10"/>
  <c r="K519" i="10"/>
  <c r="J519" i="10"/>
  <c r="I519" i="10"/>
  <c r="G519" i="10"/>
  <c r="F519" i="10"/>
  <c r="E519" i="10"/>
  <c r="D519" i="10"/>
  <c r="C519" i="10"/>
  <c r="B519" i="10"/>
  <c r="A519" i="10"/>
  <c r="P518" i="10"/>
  <c r="O518" i="10"/>
  <c r="N518" i="10"/>
  <c r="M518" i="10"/>
  <c r="L518" i="10"/>
  <c r="K518" i="10"/>
  <c r="J518" i="10"/>
  <c r="I518" i="10"/>
  <c r="G518" i="10"/>
  <c r="F518" i="10"/>
  <c r="E518" i="10"/>
  <c r="D518" i="10"/>
  <c r="C518" i="10"/>
  <c r="B518" i="10"/>
  <c r="A518" i="10"/>
  <c r="P517" i="10"/>
  <c r="O517" i="10"/>
  <c r="N517" i="10"/>
  <c r="M517" i="10"/>
  <c r="L517" i="10"/>
  <c r="K517" i="10"/>
  <c r="J517" i="10"/>
  <c r="I517" i="10"/>
  <c r="G517" i="10"/>
  <c r="F517" i="10"/>
  <c r="E517" i="10"/>
  <c r="D517" i="10"/>
  <c r="C517" i="10"/>
  <c r="B517" i="10"/>
  <c r="A517" i="10"/>
  <c r="P516" i="10"/>
  <c r="O516" i="10"/>
  <c r="N516" i="10"/>
  <c r="M516" i="10"/>
  <c r="L516" i="10"/>
  <c r="K516" i="10"/>
  <c r="J516" i="10"/>
  <c r="I516" i="10"/>
  <c r="G516" i="10"/>
  <c r="F516" i="10"/>
  <c r="E516" i="10"/>
  <c r="D516" i="10"/>
  <c r="C516" i="10"/>
  <c r="B516" i="10"/>
  <c r="A516" i="10"/>
  <c r="P515" i="10"/>
  <c r="O515" i="10"/>
  <c r="N515" i="10"/>
  <c r="M515" i="10"/>
  <c r="L515" i="10"/>
  <c r="K515" i="10"/>
  <c r="J515" i="10"/>
  <c r="I515" i="10"/>
  <c r="G515" i="10"/>
  <c r="F515" i="10"/>
  <c r="E515" i="10"/>
  <c r="D515" i="10"/>
  <c r="C515" i="10"/>
  <c r="B515" i="10"/>
  <c r="A515" i="10"/>
  <c r="P514" i="10"/>
  <c r="O514" i="10"/>
  <c r="N514" i="10"/>
  <c r="M514" i="10"/>
  <c r="L514" i="10"/>
  <c r="K514" i="10"/>
  <c r="J514" i="10"/>
  <c r="I514" i="10"/>
  <c r="G514" i="10"/>
  <c r="F514" i="10"/>
  <c r="E514" i="10"/>
  <c r="D514" i="10"/>
  <c r="C514" i="10"/>
  <c r="B514" i="10"/>
  <c r="A514" i="10"/>
  <c r="P513" i="10"/>
  <c r="O513" i="10"/>
  <c r="N513" i="10"/>
  <c r="M513" i="10"/>
  <c r="L513" i="10"/>
  <c r="K513" i="10"/>
  <c r="J513" i="10"/>
  <c r="I513" i="10"/>
  <c r="G513" i="10"/>
  <c r="F513" i="10"/>
  <c r="E513" i="10"/>
  <c r="D513" i="10"/>
  <c r="C513" i="10"/>
  <c r="B513" i="10"/>
  <c r="A513" i="10"/>
  <c r="P512" i="10"/>
  <c r="O512" i="10"/>
  <c r="N512" i="10"/>
  <c r="M512" i="10"/>
  <c r="L512" i="10"/>
  <c r="K512" i="10"/>
  <c r="J512" i="10"/>
  <c r="I512" i="10"/>
  <c r="G512" i="10"/>
  <c r="F512" i="10"/>
  <c r="E512" i="10"/>
  <c r="D512" i="10"/>
  <c r="C512" i="10"/>
  <c r="B512" i="10"/>
  <c r="A512" i="10"/>
  <c r="P511" i="10"/>
  <c r="O511" i="10"/>
  <c r="N511" i="10"/>
  <c r="M511" i="10"/>
  <c r="L511" i="10"/>
  <c r="K511" i="10"/>
  <c r="J511" i="10"/>
  <c r="I511" i="10"/>
  <c r="G511" i="10"/>
  <c r="F511" i="10"/>
  <c r="E511" i="10"/>
  <c r="D511" i="10"/>
  <c r="C511" i="10"/>
  <c r="B511" i="10"/>
  <c r="A511" i="10"/>
  <c r="P510" i="10"/>
  <c r="O510" i="10"/>
  <c r="N510" i="10"/>
  <c r="M510" i="10"/>
  <c r="L510" i="10"/>
  <c r="K510" i="10"/>
  <c r="J510" i="10"/>
  <c r="I510" i="10"/>
  <c r="G510" i="10"/>
  <c r="F510" i="10"/>
  <c r="E510" i="10"/>
  <c r="D510" i="10"/>
  <c r="C510" i="10"/>
  <c r="B510" i="10"/>
  <c r="A510" i="10"/>
  <c r="P509" i="10"/>
  <c r="O509" i="10"/>
  <c r="N509" i="10"/>
  <c r="M509" i="10"/>
  <c r="L509" i="10"/>
  <c r="K509" i="10"/>
  <c r="J509" i="10"/>
  <c r="I509" i="10"/>
  <c r="G509" i="10"/>
  <c r="F509" i="10"/>
  <c r="E509" i="10"/>
  <c r="D509" i="10"/>
  <c r="C509" i="10"/>
  <c r="B509" i="10"/>
  <c r="A509" i="10"/>
  <c r="P508" i="10"/>
  <c r="O508" i="10"/>
  <c r="N508" i="10"/>
  <c r="M508" i="10"/>
  <c r="L508" i="10"/>
  <c r="K508" i="10"/>
  <c r="J508" i="10"/>
  <c r="I508" i="10"/>
  <c r="G508" i="10"/>
  <c r="F508" i="10"/>
  <c r="E508" i="10"/>
  <c r="D508" i="10"/>
  <c r="C508" i="10"/>
  <c r="B508" i="10"/>
  <c r="A508" i="10"/>
  <c r="P507" i="10"/>
  <c r="O507" i="10"/>
  <c r="N507" i="10"/>
  <c r="M507" i="10"/>
  <c r="L507" i="10"/>
  <c r="K507" i="10"/>
  <c r="J507" i="10"/>
  <c r="I507" i="10"/>
  <c r="G507" i="10"/>
  <c r="F507" i="10"/>
  <c r="E507" i="10"/>
  <c r="D507" i="10"/>
  <c r="C507" i="10"/>
  <c r="B507" i="10"/>
  <c r="A507" i="10"/>
  <c r="P506" i="10"/>
  <c r="O506" i="10"/>
  <c r="N506" i="10"/>
  <c r="M506" i="10"/>
  <c r="L506" i="10"/>
  <c r="K506" i="10"/>
  <c r="J506" i="10"/>
  <c r="I506" i="10"/>
  <c r="G506" i="10"/>
  <c r="F506" i="10"/>
  <c r="E506" i="10"/>
  <c r="D506" i="10"/>
  <c r="C506" i="10"/>
  <c r="B506" i="10"/>
  <c r="A506" i="10"/>
  <c r="P505" i="10"/>
  <c r="O505" i="10"/>
  <c r="N505" i="10"/>
  <c r="M505" i="10"/>
  <c r="L505" i="10"/>
  <c r="K505" i="10"/>
  <c r="J505" i="10"/>
  <c r="I505" i="10"/>
  <c r="G505" i="10"/>
  <c r="F505" i="10"/>
  <c r="E505" i="10"/>
  <c r="D505" i="10"/>
  <c r="C505" i="10"/>
  <c r="B505" i="10"/>
  <c r="A505" i="10"/>
  <c r="P504" i="10"/>
  <c r="O504" i="10"/>
  <c r="N504" i="10"/>
  <c r="M504" i="10"/>
  <c r="L504" i="10"/>
  <c r="K504" i="10"/>
  <c r="J504" i="10"/>
  <c r="I504" i="10"/>
  <c r="G504" i="10"/>
  <c r="F504" i="10"/>
  <c r="E504" i="10"/>
  <c r="D504" i="10"/>
  <c r="C504" i="10"/>
  <c r="B504" i="10"/>
  <c r="A504" i="10"/>
  <c r="P503" i="10"/>
  <c r="O503" i="10"/>
  <c r="N503" i="10"/>
  <c r="M503" i="10"/>
  <c r="L503" i="10"/>
  <c r="K503" i="10"/>
  <c r="J503" i="10"/>
  <c r="I503" i="10"/>
  <c r="G503" i="10"/>
  <c r="F503" i="10"/>
  <c r="E503" i="10"/>
  <c r="D503" i="10"/>
  <c r="C503" i="10"/>
  <c r="B503" i="10"/>
  <c r="A503" i="10"/>
  <c r="P502" i="10"/>
  <c r="O502" i="10"/>
  <c r="N502" i="10"/>
  <c r="M502" i="10"/>
  <c r="L502" i="10"/>
  <c r="K502" i="10"/>
  <c r="J502" i="10"/>
  <c r="I502" i="10"/>
  <c r="G502" i="10"/>
  <c r="F502" i="10"/>
  <c r="E502" i="10"/>
  <c r="D502" i="10"/>
  <c r="C502" i="10"/>
  <c r="B502" i="10"/>
  <c r="A502" i="10"/>
  <c r="P501" i="10"/>
  <c r="O501" i="10"/>
  <c r="N501" i="10"/>
  <c r="M501" i="10"/>
  <c r="L501" i="10"/>
  <c r="K501" i="10"/>
  <c r="J501" i="10"/>
  <c r="I501" i="10"/>
  <c r="G501" i="10"/>
  <c r="F501" i="10"/>
  <c r="E501" i="10"/>
  <c r="D501" i="10"/>
  <c r="C501" i="10"/>
  <c r="B501" i="10"/>
  <c r="A501" i="10"/>
  <c r="P500" i="10"/>
  <c r="O500" i="10"/>
  <c r="N500" i="10"/>
  <c r="M500" i="10"/>
  <c r="L500" i="10"/>
  <c r="K500" i="10"/>
  <c r="J500" i="10"/>
  <c r="I500" i="10"/>
  <c r="G500" i="10"/>
  <c r="F500" i="10"/>
  <c r="E500" i="10"/>
  <c r="D500" i="10"/>
  <c r="C500" i="10"/>
  <c r="B500" i="10"/>
  <c r="A500" i="10"/>
  <c r="P499" i="10"/>
  <c r="O499" i="10"/>
  <c r="N499" i="10"/>
  <c r="M499" i="10"/>
  <c r="L499" i="10"/>
  <c r="K499" i="10"/>
  <c r="J499" i="10"/>
  <c r="I499" i="10"/>
  <c r="G499" i="10"/>
  <c r="F499" i="10"/>
  <c r="E499" i="10"/>
  <c r="D499" i="10"/>
  <c r="C499" i="10"/>
  <c r="B499" i="10"/>
  <c r="A499" i="10"/>
  <c r="P498" i="10"/>
  <c r="O498" i="10"/>
  <c r="N498" i="10"/>
  <c r="M498" i="10"/>
  <c r="L498" i="10"/>
  <c r="K498" i="10"/>
  <c r="J498" i="10"/>
  <c r="I498" i="10"/>
  <c r="G498" i="10"/>
  <c r="F498" i="10"/>
  <c r="E498" i="10"/>
  <c r="D498" i="10"/>
  <c r="C498" i="10"/>
  <c r="B498" i="10"/>
  <c r="A498" i="10"/>
  <c r="P497" i="10"/>
  <c r="O497" i="10"/>
  <c r="N497" i="10"/>
  <c r="M497" i="10"/>
  <c r="L497" i="10"/>
  <c r="K497" i="10"/>
  <c r="J497" i="10"/>
  <c r="I497" i="10"/>
  <c r="G497" i="10"/>
  <c r="F497" i="10"/>
  <c r="E497" i="10"/>
  <c r="D497" i="10"/>
  <c r="C497" i="10"/>
  <c r="B497" i="10"/>
  <c r="A497" i="10"/>
  <c r="P496" i="10"/>
  <c r="O496" i="10"/>
  <c r="N496" i="10"/>
  <c r="M496" i="10"/>
  <c r="L496" i="10"/>
  <c r="K496" i="10"/>
  <c r="J496" i="10"/>
  <c r="I496" i="10"/>
  <c r="G496" i="10"/>
  <c r="F496" i="10"/>
  <c r="E496" i="10"/>
  <c r="D496" i="10"/>
  <c r="C496" i="10"/>
  <c r="B496" i="10"/>
  <c r="A496" i="10"/>
  <c r="P495" i="10"/>
  <c r="O495" i="10"/>
  <c r="N495" i="10"/>
  <c r="M495" i="10"/>
  <c r="L495" i="10"/>
  <c r="K495" i="10"/>
  <c r="J495" i="10"/>
  <c r="I495" i="10"/>
  <c r="G495" i="10"/>
  <c r="F495" i="10"/>
  <c r="E495" i="10"/>
  <c r="D495" i="10"/>
  <c r="C495" i="10"/>
  <c r="B495" i="10"/>
  <c r="A495" i="10"/>
  <c r="P494" i="10"/>
  <c r="O494" i="10"/>
  <c r="N494" i="10"/>
  <c r="M494" i="10"/>
  <c r="L494" i="10"/>
  <c r="K494" i="10"/>
  <c r="J494" i="10"/>
  <c r="I494" i="10"/>
  <c r="G494" i="10"/>
  <c r="F494" i="10"/>
  <c r="E494" i="10"/>
  <c r="D494" i="10"/>
  <c r="C494" i="10"/>
  <c r="B494" i="10"/>
  <c r="A494" i="10"/>
  <c r="P493" i="10"/>
  <c r="O493" i="10"/>
  <c r="N493" i="10"/>
  <c r="M493" i="10"/>
  <c r="L493" i="10"/>
  <c r="K493" i="10"/>
  <c r="J493" i="10"/>
  <c r="I493" i="10"/>
  <c r="G493" i="10"/>
  <c r="F493" i="10"/>
  <c r="E493" i="10"/>
  <c r="D493" i="10"/>
  <c r="C493" i="10"/>
  <c r="B493" i="10"/>
  <c r="A493" i="10"/>
  <c r="P492" i="10"/>
  <c r="O492" i="10"/>
  <c r="N492" i="10"/>
  <c r="M492" i="10"/>
  <c r="L492" i="10"/>
  <c r="K492" i="10"/>
  <c r="J492" i="10"/>
  <c r="I492" i="10"/>
  <c r="G492" i="10"/>
  <c r="F492" i="10"/>
  <c r="H492" i="10" s="1"/>
  <c r="E492" i="10"/>
  <c r="D492" i="10"/>
  <c r="C492" i="10"/>
  <c r="B492" i="10"/>
  <c r="A492" i="10"/>
  <c r="P491" i="10"/>
  <c r="O491" i="10"/>
  <c r="N491" i="10"/>
  <c r="M491" i="10"/>
  <c r="L491" i="10"/>
  <c r="K491" i="10"/>
  <c r="J491" i="10"/>
  <c r="I491" i="10"/>
  <c r="G491" i="10"/>
  <c r="F491" i="10"/>
  <c r="E491" i="10"/>
  <c r="D491" i="10"/>
  <c r="C491" i="10"/>
  <c r="B491" i="10"/>
  <c r="A491" i="10"/>
  <c r="P490" i="10"/>
  <c r="O490" i="10"/>
  <c r="N490" i="10"/>
  <c r="M490" i="10"/>
  <c r="L490" i="10"/>
  <c r="K490" i="10"/>
  <c r="J490" i="10"/>
  <c r="I490" i="10"/>
  <c r="G490" i="10"/>
  <c r="F490" i="10"/>
  <c r="E490" i="10"/>
  <c r="D490" i="10"/>
  <c r="C490" i="10"/>
  <c r="B490" i="10"/>
  <c r="A490" i="10"/>
  <c r="P489" i="10"/>
  <c r="O489" i="10"/>
  <c r="N489" i="10"/>
  <c r="M489" i="10"/>
  <c r="L489" i="10"/>
  <c r="K489" i="10"/>
  <c r="J489" i="10"/>
  <c r="I489" i="10"/>
  <c r="G489" i="10"/>
  <c r="F489" i="10"/>
  <c r="E489" i="10"/>
  <c r="D489" i="10"/>
  <c r="C489" i="10"/>
  <c r="B489" i="10"/>
  <c r="A489" i="10"/>
  <c r="P488" i="10"/>
  <c r="O488" i="10"/>
  <c r="N488" i="10"/>
  <c r="M488" i="10"/>
  <c r="L488" i="10"/>
  <c r="K488" i="10"/>
  <c r="J488" i="10"/>
  <c r="I488" i="10"/>
  <c r="G488" i="10"/>
  <c r="H488" i="10" s="1"/>
  <c r="F488" i="10"/>
  <c r="E488" i="10"/>
  <c r="D488" i="10"/>
  <c r="C488" i="10"/>
  <c r="B488" i="10"/>
  <c r="A488" i="10"/>
  <c r="P487" i="10"/>
  <c r="O487" i="10"/>
  <c r="N487" i="10"/>
  <c r="M487" i="10"/>
  <c r="L487" i="10"/>
  <c r="K487" i="10"/>
  <c r="J487" i="10"/>
  <c r="I487" i="10"/>
  <c r="G487" i="10"/>
  <c r="F487" i="10"/>
  <c r="E487" i="10"/>
  <c r="D487" i="10"/>
  <c r="C487" i="10"/>
  <c r="B487" i="10"/>
  <c r="A487" i="10"/>
  <c r="P486" i="10"/>
  <c r="O486" i="10"/>
  <c r="N486" i="10"/>
  <c r="M486" i="10"/>
  <c r="L486" i="10"/>
  <c r="K486" i="10"/>
  <c r="J486" i="10"/>
  <c r="I486" i="10"/>
  <c r="G486" i="10"/>
  <c r="F486" i="10"/>
  <c r="E486" i="10"/>
  <c r="D486" i="10"/>
  <c r="C486" i="10"/>
  <c r="B486" i="10"/>
  <c r="A486" i="10"/>
  <c r="P485" i="10"/>
  <c r="O485" i="10"/>
  <c r="N485" i="10"/>
  <c r="M485" i="10"/>
  <c r="L485" i="10"/>
  <c r="K485" i="10"/>
  <c r="J485" i="10"/>
  <c r="I485" i="10"/>
  <c r="G485" i="10"/>
  <c r="H485" i="10" s="1"/>
  <c r="F485" i="10"/>
  <c r="E485" i="10"/>
  <c r="D485" i="10"/>
  <c r="C485" i="10"/>
  <c r="B485" i="10"/>
  <c r="A485" i="10"/>
  <c r="P484" i="10"/>
  <c r="O484" i="10"/>
  <c r="N484" i="10"/>
  <c r="M484" i="10"/>
  <c r="L484" i="10"/>
  <c r="K484" i="10"/>
  <c r="J484" i="10"/>
  <c r="I484" i="10"/>
  <c r="G484" i="10"/>
  <c r="F484" i="10"/>
  <c r="E484" i="10"/>
  <c r="D484" i="10"/>
  <c r="C484" i="10"/>
  <c r="B484" i="10"/>
  <c r="A484" i="10"/>
  <c r="P483" i="10"/>
  <c r="O483" i="10"/>
  <c r="N483" i="10"/>
  <c r="M483" i="10"/>
  <c r="L483" i="10"/>
  <c r="K483" i="10"/>
  <c r="J483" i="10"/>
  <c r="I483" i="10"/>
  <c r="G483" i="10"/>
  <c r="H483" i="10" s="1"/>
  <c r="F483" i="10"/>
  <c r="E483" i="10"/>
  <c r="D483" i="10"/>
  <c r="C483" i="10"/>
  <c r="B483" i="10"/>
  <c r="A483" i="10"/>
  <c r="P482" i="10"/>
  <c r="O482" i="10"/>
  <c r="N482" i="10"/>
  <c r="M482" i="10"/>
  <c r="L482" i="10"/>
  <c r="K482" i="10"/>
  <c r="J482" i="10"/>
  <c r="I482" i="10"/>
  <c r="G482" i="10"/>
  <c r="H482" i="10" s="1"/>
  <c r="F482" i="10"/>
  <c r="E482" i="10"/>
  <c r="D482" i="10"/>
  <c r="C482" i="10"/>
  <c r="B482" i="10"/>
  <c r="A482" i="10"/>
  <c r="P481" i="10"/>
  <c r="O481" i="10"/>
  <c r="N481" i="10"/>
  <c r="M481" i="10"/>
  <c r="L481" i="10"/>
  <c r="K481" i="10"/>
  <c r="J481" i="10"/>
  <c r="I481" i="10"/>
  <c r="G481" i="10"/>
  <c r="F481" i="10"/>
  <c r="E481" i="10"/>
  <c r="D481" i="10"/>
  <c r="C481" i="10"/>
  <c r="B481" i="10"/>
  <c r="A481" i="10"/>
  <c r="P480" i="10"/>
  <c r="O480" i="10"/>
  <c r="N480" i="10"/>
  <c r="M480" i="10"/>
  <c r="L480" i="10"/>
  <c r="K480" i="10"/>
  <c r="J480" i="10"/>
  <c r="I480" i="10"/>
  <c r="G480" i="10"/>
  <c r="H480" i="10" s="1"/>
  <c r="F480" i="10"/>
  <c r="E480" i="10"/>
  <c r="D480" i="10"/>
  <c r="C480" i="10"/>
  <c r="B480" i="10"/>
  <c r="A480" i="10"/>
  <c r="P479" i="10"/>
  <c r="O479" i="10"/>
  <c r="N479" i="10"/>
  <c r="M479" i="10"/>
  <c r="L479" i="10"/>
  <c r="K479" i="10"/>
  <c r="J479" i="10"/>
  <c r="I479" i="10"/>
  <c r="G479" i="10"/>
  <c r="F479" i="10"/>
  <c r="E479" i="10"/>
  <c r="D479" i="10"/>
  <c r="C479" i="10"/>
  <c r="B479" i="10"/>
  <c r="A479" i="10"/>
  <c r="P478" i="10"/>
  <c r="O478" i="10"/>
  <c r="N478" i="10"/>
  <c r="M478" i="10"/>
  <c r="L478" i="10"/>
  <c r="K478" i="10"/>
  <c r="J478" i="10"/>
  <c r="I478" i="10"/>
  <c r="G478" i="10"/>
  <c r="F478" i="10"/>
  <c r="E478" i="10"/>
  <c r="D478" i="10"/>
  <c r="C478" i="10"/>
  <c r="B478" i="10"/>
  <c r="A478" i="10"/>
  <c r="P477" i="10"/>
  <c r="O477" i="10"/>
  <c r="N477" i="10"/>
  <c r="M477" i="10"/>
  <c r="L477" i="10"/>
  <c r="K477" i="10"/>
  <c r="J477" i="10"/>
  <c r="I477" i="10"/>
  <c r="G477" i="10"/>
  <c r="H477" i="10" s="1"/>
  <c r="F477" i="10"/>
  <c r="E477" i="10"/>
  <c r="D477" i="10"/>
  <c r="C477" i="10"/>
  <c r="B477" i="10"/>
  <c r="A477" i="10"/>
  <c r="P476" i="10"/>
  <c r="O476" i="10"/>
  <c r="N476" i="10"/>
  <c r="M476" i="10"/>
  <c r="L476" i="10"/>
  <c r="K476" i="10"/>
  <c r="J476" i="10"/>
  <c r="I476" i="10"/>
  <c r="G476" i="10"/>
  <c r="F476" i="10"/>
  <c r="E476" i="10"/>
  <c r="D476" i="10"/>
  <c r="C476" i="10"/>
  <c r="B476" i="10"/>
  <c r="A476" i="10"/>
  <c r="P475" i="10"/>
  <c r="O475" i="10"/>
  <c r="N475" i="10"/>
  <c r="M475" i="10"/>
  <c r="L475" i="10"/>
  <c r="K475" i="10"/>
  <c r="J475" i="10"/>
  <c r="I475" i="10"/>
  <c r="G475" i="10"/>
  <c r="H475" i="10" s="1"/>
  <c r="F475" i="10"/>
  <c r="E475" i="10"/>
  <c r="D475" i="10"/>
  <c r="C475" i="10"/>
  <c r="B475" i="10"/>
  <c r="A475" i="10"/>
  <c r="P474" i="10"/>
  <c r="O474" i="10"/>
  <c r="N474" i="10"/>
  <c r="M474" i="10"/>
  <c r="L474" i="10"/>
  <c r="K474" i="10"/>
  <c r="J474" i="10"/>
  <c r="I474" i="10"/>
  <c r="G474" i="10"/>
  <c r="H474" i="10" s="1"/>
  <c r="F474" i="10"/>
  <c r="E474" i="10"/>
  <c r="D474" i="10"/>
  <c r="C474" i="10"/>
  <c r="B474" i="10"/>
  <c r="A474" i="10"/>
  <c r="P473" i="10"/>
  <c r="O473" i="10"/>
  <c r="N473" i="10"/>
  <c r="M473" i="10"/>
  <c r="L473" i="10"/>
  <c r="K473" i="10"/>
  <c r="J473" i="10"/>
  <c r="I473" i="10"/>
  <c r="G473" i="10"/>
  <c r="F473" i="10"/>
  <c r="E473" i="10"/>
  <c r="D473" i="10"/>
  <c r="C473" i="10"/>
  <c r="B473" i="10"/>
  <c r="A473" i="10"/>
  <c r="P472" i="10"/>
  <c r="O472" i="10"/>
  <c r="N472" i="10"/>
  <c r="M472" i="10"/>
  <c r="L472" i="10"/>
  <c r="K472" i="10"/>
  <c r="J472" i="10"/>
  <c r="I472" i="10"/>
  <c r="G472" i="10"/>
  <c r="H472" i="10" s="1"/>
  <c r="F472" i="10"/>
  <c r="E472" i="10"/>
  <c r="D472" i="10"/>
  <c r="C472" i="10"/>
  <c r="B472" i="10"/>
  <c r="A472" i="10"/>
  <c r="P471" i="10"/>
  <c r="O471" i="10"/>
  <c r="N471" i="10"/>
  <c r="M471" i="10"/>
  <c r="L471" i="10"/>
  <c r="K471" i="10"/>
  <c r="J471" i="10"/>
  <c r="I471" i="10"/>
  <c r="G471" i="10"/>
  <c r="F471" i="10"/>
  <c r="E471" i="10"/>
  <c r="D471" i="10"/>
  <c r="C471" i="10"/>
  <c r="B471" i="10"/>
  <c r="A471" i="10"/>
  <c r="P470" i="10"/>
  <c r="O470" i="10"/>
  <c r="N470" i="10"/>
  <c r="M470" i="10"/>
  <c r="L470" i="10"/>
  <c r="K470" i="10"/>
  <c r="J470" i="10"/>
  <c r="I470" i="10"/>
  <c r="G470" i="10"/>
  <c r="F470" i="10"/>
  <c r="E470" i="10"/>
  <c r="D470" i="10"/>
  <c r="C470" i="10"/>
  <c r="B470" i="10"/>
  <c r="A470" i="10"/>
  <c r="P469" i="10"/>
  <c r="O469" i="10"/>
  <c r="N469" i="10"/>
  <c r="M469" i="10"/>
  <c r="L469" i="10"/>
  <c r="K469" i="10"/>
  <c r="J469" i="10"/>
  <c r="I469" i="10"/>
  <c r="G469" i="10"/>
  <c r="F469" i="10"/>
  <c r="E469" i="10"/>
  <c r="D469" i="10"/>
  <c r="C469" i="10"/>
  <c r="B469" i="10"/>
  <c r="A469" i="10"/>
  <c r="P468" i="10"/>
  <c r="O468" i="10"/>
  <c r="N468" i="10"/>
  <c r="M468" i="10"/>
  <c r="L468" i="10"/>
  <c r="K468" i="10"/>
  <c r="J468" i="10"/>
  <c r="I468" i="10"/>
  <c r="G468" i="10"/>
  <c r="F468" i="10"/>
  <c r="E468" i="10"/>
  <c r="D468" i="10"/>
  <c r="C468" i="10"/>
  <c r="B468" i="10"/>
  <c r="A468" i="10"/>
  <c r="P467" i="10"/>
  <c r="O467" i="10"/>
  <c r="N467" i="10"/>
  <c r="M467" i="10"/>
  <c r="L467" i="10"/>
  <c r="K467" i="10"/>
  <c r="J467" i="10"/>
  <c r="I467" i="10"/>
  <c r="G467" i="10"/>
  <c r="F467" i="10"/>
  <c r="E467" i="10"/>
  <c r="D467" i="10"/>
  <c r="C467" i="10"/>
  <c r="B467" i="10"/>
  <c r="A467" i="10"/>
  <c r="P466" i="10"/>
  <c r="O466" i="10"/>
  <c r="N466" i="10"/>
  <c r="M466" i="10"/>
  <c r="L466" i="10"/>
  <c r="K466" i="10"/>
  <c r="J466" i="10"/>
  <c r="I466" i="10"/>
  <c r="G466" i="10"/>
  <c r="F466" i="10"/>
  <c r="E466" i="10"/>
  <c r="D466" i="10"/>
  <c r="C466" i="10"/>
  <c r="B466" i="10"/>
  <c r="A466" i="10"/>
  <c r="P465" i="10"/>
  <c r="O465" i="10"/>
  <c r="N465" i="10"/>
  <c r="M465" i="10"/>
  <c r="L465" i="10"/>
  <c r="K465" i="10"/>
  <c r="J465" i="10"/>
  <c r="I465" i="10"/>
  <c r="G465" i="10"/>
  <c r="F465" i="10"/>
  <c r="E465" i="10"/>
  <c r="D465" i="10"/>
  <c r="C465" i="10"/>
  <c r="B465" i="10"/>
  <c r="A465" i="10"/>
  <c r="P464" i="10"/>
  <c r="O464" i="10"/>
  <c r="N464" i="10"/>
  <c r="M464" i="10"/>
  <c r="L464" i="10"/>
  <c r="K464" i="10"/>
  <c r="J464" i="10"/>
  <c r="I464" i="10"/>
  <c r="G464" i="10"/>
  <c r="F464" i="10"/>
  <c r="E464" i="10"/>
  <c r="D464" i="10"/>
  <c r="C464" i="10"/>
  <c r="B464" i="10"/>
  <c r="A464" i="10"/>
  <c r="P463" i="10"/>
  <c r="O463" i="10"/>
  <c r="N463" i="10"/>
  <c r="M463" i="10"/>
  <c r="L463" i="10"/>
  <c r="K463" i="10"/>
  <c r="J463" i="10"/>
  <c r="I463" i="10"/>
  <c r="G463" i="10"/>
  <c r="F463" i="10"/>
  <c r="E463" i="10"/>
  <c r="D463" i="10"/>
  <c r="C463" i="10"/>
  <c r="B463" i="10"/>
  <c r="A463" i="10"/>
  <c r="P462" i="10"/>
  <c r="O462" i="10"/>
  <c r="N462" i="10"/>
  <c r="M462" i="10"/>
  <c r="L462" i="10"/>
  <c r="K462" i="10"/>
  <c r="J462" i="10"/>
  <c r="I462" i="10"/>
  <c r="G462" i="10"/>
  <c r="F462" i="10"/>
  <c r="E462" i="10"/>
  <c r="D462" i="10"/>
  <c r="C462" i="10"/>
  <c r="B462" i="10"/>
  <c r="A462" i="10"/>
  <c r="P461" i="10"/>
  <c r="O461" i="10"/>
  <c r="N461" i="10"/>
  <c r="M461" i="10"/>
  <c r="L461" i="10"/>
  <c r="K461" i="10"/>
  <c r="J461" i="10"/>
  <c r="I461" i="10"/>
  <c r="G461" i="10"/>
  <c r="F461" i="10"/>
  <c r="E461" i="10"/>
  <c r="D461" i="10"/>
  <c r="C461" i="10"/>
  <c r="B461" i="10"/>
  <c r="A461" i="10"/>
  <c r="P460" i="10"/>
  <c r="O460" i="10"/>
  <c r="N460" i="10"/>
  <c r="M460" i="10"/>
  <c r="L460" i="10"/>
  <c r="K460" i="10"/>
  <c r="J460" i="10"/>
  <c r="I460" i="10"/>
  <c r="G460" i="10"/>
  <c r="F460" i="10"/>
  <c r="E460" i="10"/>
  <c r="D460" i="10"/>
  <c r="C460" i="10"/>
  <c r="B460" i="10"/>
  <c r="A460" i="10"/>
  <c r="P459" i="10"/>
  <c r="O459" i="10"/>
  <c r="N459" i="10"/>
  <c r="M459" i="10"/>
  <c r="L459" i="10"/>
  <c r="K459" i="10"/>
  <c r="J459" i="10"/>
  <c r="I459" i="10"/>
  <c r="G459" i="10"/>
  <c r="F459" i="10"/>
  <c r="E459" i="10"/>
  <c r="D459" i="10"/>
  <c r="C459" i="10"/>
  <c r="B459" i="10"/>
  <c r="A459" i="10"/>
  <c r="P458" i="10"/>
  <c r="O458" i="10"/>
  <c r="N458" i="10"/>
  <c r="M458" i="10"/>
  <c r="L458" i="10"/>
  <c r="K458" i="10"/>
  <c r="J458" i="10"/>
  <c r="I458" i="10"/>
  <c r="G458" i="10"/>
  <c r="F458" i="10"/>
  <c r="E458" i="10"/>
  <c r="D458" i="10"/>
  <c r="C458" i="10"/>
  <c r="B458" i="10"/>
  <c r="A458" i="10"/>
  <c r="P457" i="10"/>
  <c r="O457" i="10"/>
  <c r="N457" i="10"/>
  <c r="M457" i="10"/>
  <c r="L457" i="10"/>
  <c r="K457" i="10"/>
  <c r="J457" i="10"/>
  <c r="I457" i="10"/>
  <c r="G457" i="10"/>
  <c r="F457" i="10"/>
  <c r="E457" i="10"/>
  <c r="D457" i="10"/>
  <c r="C457" i="10"/>
  <c r="B457" i="10"/>
  <c r="A457" i="10"/>
  <c r="P456" i="10"/>
  <c r="O456" i="10"/>
  <c r="N456" i="10"/>
  <c r="M456" i="10"/>
  <c r="L456" i="10"/>
  <c r="K456" i="10"/>
  <c r="J456" i="10"/>
  <c r="I456" i="10"/>
  <c r="G456" i="10"/>
  <c r="F456" i="10"/>
  <c r="E456" i="10"/>
  <c r="D456" i="10"/>
  <c r="C456" i="10"/>
  <c r="B456" i="10"/>
  <c r="A456" i="10"/>
  <c r="P455" i="10"/>
  <c r="O455" i="10"/>
  <c r="N455" i="10"/>
  <c r="M455" i="10"/>
  <c r="L455" i="10"/>
  <c r="K455" i="10"/>
  <c r="J455" i="10"/>
  <c r="I455" i="10"/>
  <c r="G455" i="10"/>
  <c r="F455" i="10"/>
  <c r="E455" i="10"/>
  <c r="D455" i="10"/>
  <c r="C455" i="10"/>
  <c r="B455" i="10"/>
  <c r="A455" i="10"/>
  <c r="P454" i="10"/>
  <c r="O454" i="10"/>
  <c r="N454" i="10"/>
  <c r="M454" i="10"/>
  <c r="L454" i="10"/>
  <c r="K454" i="10"/>
  <c r="J454" i="10"/>
  <c r="I454" i="10"/>
  <c r="G454" i="10"/>
  <c r="F454" i="10"/>
  <c r="E454" i="10"/>
  <c r="D454" i="10"/>
  <c r="C454" i="10"/>
  <c r="B454" i="10"/>
  <c r="A454" i="10"/>
  <c r="P453" i="10"/>
  <c r="O453" i="10"/>
  <c r="N453" i="10"/>
  <c r="M453" i="10"/>
  <c r="L453" i="10"/>
  <c r="K453" i="10"/>
  <c r="J453" i="10"/>
  <c r="I453" i="10"/>
  <c r="G453" i="10"/>
  <c r="F453" i="10"/>
  <c r="E453" i="10"/>
  <c r="D453" i="10"/>
  <c r="C453" i="10"/>
  <c r="B453" i="10"/>
  <c r="A453" i="10"/>
  <c r="P452" i="10"/>
  <c r="O452" i="10"/>
  <c r="N452" i="10"/>
  <c r="M452" i="10"/>
  <c r="L452" i="10"/>
  <c r="K452" i="10"/>
  <c r="J452" i="10"/>
  <c r="I452" i="10"/>
  <c r="G452" i="10"/>
  <c r="F452" i="10"/>
  <c r="E452" i="10"/>
  <c r="D452" i="10"/>
  <c r="C452" i="10"/>
  <c r="B452" i="10"/>
  <c r="A452" i="10"/>
  <c r="P451" i="10"/>
  <c r="O451" i="10"/>
  <c r="N451" i="10"/>
  <c r="M451" i="10"/>
  <c r="L451" i="10"/>
  <c r="K451" i="10"/>
  <c r="J451" i="10"/>
  <c r="I451" i="10"/>
  <c r="G451" i="10"/>
  <c r="F451" i="10"/>
  <c r="E451" i="10"/>
  <c r="D451" i="10"/>
  <c r="C451" i="10"/>
  <c r="B451" i="10"/>
  <c r="A451" i="10"/>
  <c r="P450" i="10"/>
  <c r="O450" i="10"/>
  <c r="N450" i="10"/>
  <c r="M450" i="10"/>
  <c r="L450" i="10"/>
  <c r="K450" i="10"/>
  <c r="J450" i="10"/>
  <c r="I450" i="10"/>
  <c r="G450" i="10"/>
  <c r="F450" i="10"/>
  <c r="E450" i="10"/>
  <c r="D450" i="10"/>
  <c r="C450" i="10"/>
  <c r="B450" i="10"/>
  <c r="A450" i="10"/>
  <c r="P449" i="10"/>
  <c r="O449" i="10"/>
  <c r="N449" i="10"/>
  <c r="M449" i="10"/>
  <c r="L449" i="10"/>
  <c r="K449" i="10"/>
  <c r="J449" i="10"/>
  <c r="I449" i="10"/>
  <c r="G449" i="10"/>
  <c r="F449" i="10"/>
  <c r="E449" i="10"/>
  <c r="D449" i="10"/>
  <c r="C449" i="10"/>
  <c r="B449" i="10"/>
  <c r="A449" i="10"/>
  <c r="P448" i="10"/>
  <c r="O448" i="10"/>
  <c r="N448" i="10"/>
  <c r="M448" i="10"/>
  <c r="L448" i="10"/>
  <c r="K448" i="10"/>
  <c r="J448" i="10"/>
  <c r="I448" i="10"/>
  <c r="G448" i="10"/>
  <c r="F448" i="10"/>
  <c r="E448" i="10"/>
  <c r="D448" i="10"/>
  <c r="C448" i="10"/>
  <c r="B448" i="10"/>
  <c r="A448" i="10"/>
  <c r="P447" i="10"/>
  <c r="O447" i="10"/>
  <c r="N447" i="10"/>
  <c r="M447" i="10"/>
  <c r="L447" i="10"/>
  <c r="K447" i="10"/>
  <c r="J447" i="10"/>
  <c r="I447" i="10"/>
  <c r="G447" i="10"/>
  <c r="F447" i="10"/>
  <c r="E447" i="10"/>
  <c r="D447" i="10"/>
  <c r="C447" i="10"/>
  <c r="B447" i="10"/>
  <c r="A447" i="10"/>
  <c r="P446" i="10"/>
  <c r="O446" i="10"/>
  <c r="N446" i="10"/>
  <c r="M446" i="10"/>
  <c r="L446" i="10"/>
  <c r="K446" i="10"/>
  <c r="J446" i="10"/>
  <c r="I446" i="10"/>
  <c r="G446" i="10"/>
  <c r="F446" i="10"/>
  <c r="E446" i="10"/>
  <c r="D446" i="10"/>
  <c r="C446" i="10"/>
  <c r="B446" i="10"/>
  <c r="A446" i="10"/>
  <c r="P445" i="10"/>
  <c r="O445" i="10"/>
  <c r="N445" i="10"/>
  <c r="M445" i="10"/>
  <c r="L445" i="10"/>
  <c r="K445" i="10"/>
  <c r="J445" i="10"/>
  <c r="I445" i="10"/>
  <c r="G445" i="10"/>
  <c r="F445" i="10"/>
  <c r="E445" i="10"/>
  <c r="D445" i="10"/>
  <c r="C445" i="10"/>
  <c r="B445" i="10"/>
  <c r="A445" i="10"/>
  <c r="P444" i="10"/>
  <c r="O444" i="10"/>
  <c r="N444" i="10"/>
  <c r="M444" i="10"/>
  <c r="L444" i="10"/>
  <c r="K444" i="10"/>
  <c r="J444" i="10"/>
  <c r="I444" i="10"/>
  <c r="G444" i="10"/>
  <c r="F444" i="10"/>
  <c r="E444" i="10"/>
  <c r="D444" i="10"/>
  <c r="C444" i="10"/>
  <c r="B444" i="10"/>
  <c r="A444" i="10"/>
  <c r="P443" i="10"/>
  <c r="O443" i="10"/>
  <c r="N443" i="10"/>
  <c r="M443" i="10"/>
  <c r="L443" i="10"/>
  <c r="K443" i="10"/>
  <c r="J443" i="10"/>
  <c r="I443" i="10"/>
  <c r="G443" i="10"/>
  <c r="F443" i="10"/>
  <c r="E443" i="10"/>
  <c r="D443" i="10"/>
  <c r="C443" i="10"/>
  <c r="B443" i="10"/>
  <c r="A443" i="10"/>
  <c r="P442" i="10"/>
  <c r="O442" i="10"/>
  <c r="N442" i="10"/>
  <c r="M442" i="10"/>
  <c r="L442" i="10"/>
  <c r="K442" i="10"/>
  <c r="J442" i="10"/>
  <c r="I442" i="10"/>
  <c r="G442" i="10"/>
  <c r="F442" i="10"/>
  <c r="E442" i="10"/>
  <c r="D442" i="10"/>
  <c r="C442" i="10"/>
  <c r="B442" i="10"/>
  <c r="A442" i="10"/>
  <c r="P441" i="10"/>
  <c r="O441" i="10"/>
  <c r="N441" i="10"/>
  <c r="M441" i="10"/>
  <c r="L441" i="10"/>
  <c r="K441" i="10"/>
  <c r="J441" i="10"/>
  <c r="I441" i="10"/>
  <c r="G441" i="10"/>
  <c r="F441" i="10"/>
  <c r="E441" i="10"/>
  <c r="D441" i="10"/>
  <c r="C441" i="10"/>
  <c r="B441" i="10"/>
  <c r="A441" i="10"/>
  <c r="P440" i="10"/>
  <c r="O440" i="10"/>
  <c r="N440" i="10"/>
  <c r="M440" i="10"/>
  <c r="L440" i="10"/>
  <c r="K440" i="10"/>
  <c r="J440" i="10"/>
  <c r="I440" i="10"/>
  <c r="G440" i="10"/>
  <c r="F440" i="10"/>
  <c r="E440" i="10"/>
  <c r="D440" i="10"/>
  <c r="C440" i="10"/>
  <c r="B440" i="10"/>
  <c r="A440" i="10"/>
  <c r="P439" i="10"/>
  <c r="O439" i="10"/>
  <c r="N439" i="10"/>
  <c r="M439" i="10"/>
  <c r="L439" i="10"/>
  <c r="K439" i="10"/>
  <c r="J439" i="10"/>
  <c r="I439" i="10"/>
  <c r="G439" i="10"/>
  <c r="F439" i="10"/>
  <c r="E439" i="10"/>
  <c r="D439" i="10"/>
  <c r="C439" i="10"/>
  <c r="B439" i="10"/>
  <c r="A439" i="10"/>
  <c r="P438" i="10"/>
  <c r="O438" i="10"/>
  <c r="N438" i="10"/>
  <c r="M438" i="10"/>
  <c r="L438" i="10"/>
  <c r="K438" i="10"/>
  <c r="J438" i="10"/>
  <c r="I438" i="10"/>
  <c r="G438" i="10"/>
  <c r="F438" i="10"/>
  <c r="E438" i="10"/>
  <c r="D438" i="10"/>
  <c r="C438" i="10"/>
  <c r="B438" i="10"/>
  <c r="A438" i="10"/>
  <c r="P437" i="10"/>
  <c r="O437" i="10"/>
  <c r="N437" i="10"/>
  <c r="M437" i="10"/>
  <c r="L437" i="10"/>
  <c r="K437" i="10"/>
  <c r="J437" i="10"/>
  <c r="I437" i="10"/>
  <c r="G437" i="10"/>
  <c r="F437" i="10"/>
  <c r="E437" i="10"/>
  <c r="D437" i="10"/>
  <c r="C437" i="10"/>
  <c r="B437" i="10"/>
  <c r="A437" i="10"/>
  <c r="P436" i="10"/>
  <c r="O436" i="10"/>
  <c r="N436" i="10"/>
  <c r="M436" i="10"/>
  <c r="L436" i="10"/>
  <c r="K436" i="10"/>
  <c r="J436" i="10"/>
  <c r="I436" i="10"/>
  <c r="G436" i="10"/>
  <c r="F436" i="10"/>
  <c r="E436" i="10"/>
  <c r="D436" i="10"/>
  <c r="C436" i="10"/>
  <c r="B436" i="10"/>
  <c r="A436" i="10"/>
  <c r="P435" i="10"/>
  <c r="O435" i="10"/>
  <c r="N435" i="10"/>
  <c r="M435" i="10"/>
  <c r="L435" i="10"/>
  <c r="K435" i="10"/>
  <c r="J435" i="10"/>
  <c r="I435" i="10"/>
  <c r="G435" i="10"/>
  <c r="F435" i="10"/>
  <c r="E435" i="10"/>
  <c r="D435" i="10"/>
  <c r="C435" i="10"/>
  <c r="B435" i="10"/>
  <c r="A435" i="10"/>
  <c r="P434" i="10"/>
  <c r="O434" i="10"/>
  <c r="N434" i="10"/>
  <c r="M434" i="10"/>
  <c r="L434" i="10"/>
  <c r="K434" i="10"/>
  <c r="J434" i="10"/>
  <c r="I434" i="10"/>
  <c r="G434" i="10"/>
  <c r="F434" i="10"/>
  <c r="E434" i="10"/>
  <c r="D434" i="10"/>
  <c r="C434" i="10"/>
  <c r="B434" i="10"/>
  <c r="A434" i="10"/>
  <c r="P433" i="10"/>
  <c r="O433" i="10"/>
  <c r="N433" i="10"/>
  <c r="M433" i="10"/>
  <c r="L433" i="10"/>
  <c r="K433" i="10"/>
  <c r="J433" i="10"/>
  <c r="I433" i="10"/>
  <c r="G433" i="10"/>
  <c r="F433" i="10"/>
  <c r="E433" i="10"/>
  <c r="D433" i="10"/>
  <c r="C433" i="10"/>
  <c r="B433" i="10"/>
  <c r="A433" i="10"/>
  <c r="P432" i="10"/>
  <c r="O432" i="10"/>
  <c r="N432" i="10"/>
  <c r="M432" i="10"/>
  <c r="L432" i="10"/>
  <c r="K432" i="10"/>
  <c r="J432" i="10"/>
  <c r="I432" i="10"/>
  <c r="G432" i="10"/>
  <c r="F432" i="10"/>
  <c r="E432" i="10"/>
  <c r="D432" i="10"/>
  <c r="C432" i="10"/>
  <c r="B432" i="10"/>
  <c r="A432" i="10"/>
  <c r="P431" i="10"/>
  <c r="O431" i="10"/>
  <c r="N431" i="10"/>
  <c r="M431" i="10"/>
  <c r="L431" i="10"/>
  <c r="K431" i="10"/>
  <c r="J431" i="10"/>
  <c r="I431" i="10"/>
  <c r="G431" i="10"/>
  <c r="F431" i="10"/>
  <c r="E431" i="10"/>
  <c r="D431" i="10"/>
  <c r="C431" i="10"/>
  <c r="B431" i="10"/>
  <c r="A431" i="10"/>
  <c r="P430" i="10"/>
  <c r="O430" i="10"/>
  <c r="N430" i="10"/>
  <c r="M430" i="10"/>
  <c r="L430" i="10"/>
  <c r="K430" i="10"/>
  <c r="J430" i="10"/>
  <c r="I430" i="10"/>
  <c r="G430" i="10"/>
  <c r="F430" i="10"/>
  <c r="E430" i="10"/>
  <c r="D430" i="10"/>
  <c r="C430" i="10"/>
  <c r="B430" i="10"/>
  <c r="A430" i="10"/>
  <c r="P429" i="10"/>
  <c r="O429" i="10"/>
  <c r="N429" i="10"/>
  <c r="M429" i="10"/>
  <c r="L429" i="10"/>
  <c r="K429" i="10"/>
  <c r="J429" i="10"/>
  <c r="I429" i="10"/>
  <c r="G429" i="10"/>
  <c r="F429" i="10"/>
  <c r="E429" i="10"/>
  <c r="D429" i="10"/>
  <c r="C429" i="10"/>
  <c r="B429" i="10"/>
  <c r="A429" i="10"/>
  <c r="P428" i="10"/>
  <c r="O428" i="10"/>
  <c r="N428" i="10"/>
  <c r="M428" i="10"/>
  <c r="L428" i="10"/>
  <c r="K428" i="10"/>
  <c r="J428" i="10"/>
  <c r="I428" i="10"/>
  <c r="G428" i="10"/>
  <c r="F428" i="10"/>
  <c r="E428" i="10"/>
  <c r="D428" i="10"/>
  <c r="C428" i="10"/>
  <c r="B428" i="10"/>
  <c r="A428" i="10"/>
  <c r="P427" i="10"/>
  <c r="O427" i="10"/>
  <c r="N427" i="10"/>
  <c r="M427" i="10"/>
  <c r="L427" i="10"/>
  <c r="K427" i="10"/>
  <c r="J427" i="10"/>
  <c r="I427" i="10"/>
  <c r="G427" i="10"/>
  <c r="F427" i="10"/>
  <c r="E427" i="10"/>
  <c r="D427" i="10"/>
  <c r="C427" i="10"/>
  <c r="B427" i="10"/>
  <c r="A427" i="10"/>
  <c r="P426" i="10"/>
  <c r="O426" i="10"/>
  <c r="N426" i="10"/>
  <c r="M426" i="10"/>
  <c r="L426" i="10"/>
  <c r="K426" i="10"/>
  <c r="J426" i="10"/>
  <c r="I426" i="10"/>
  <c r="G426" i="10"/>
  <c r="F426" i="10"/>
  <c r="E426" i="10"/>
  <c r="D426" i="10"/>
  <c r="C426" i="10"/>
  <c r="B426" i="10"/>
  <c r="A426" i="10"/>
  <c r="P425" i="10"/>
  <c r="O425" i="10"/>
  <c r="N425" i="10"/>
  <c r="M425" i="10"/>
  <c r="L425" i="10"/>
  <c r="K425" i="10"/>
  <c r="J425" i="10"/>
  <c r="I425" i="10"/>
  <c r="G425" i="10"/>
  <c r="F425" i="10"/>
  <c r="E425" i="10"/>
  <c r="D425" i="10"/>
  <c r="C425" i="10"/>
  <c r="B425" i="10"/>
  <c r="A425" i="10"/>
  <c r="P424" i="10"/>
  <c r="O424" i="10"/>
  <c r="N424" i="10"/>
  <c r="M424" i="10"/>
  <c r="L424" i="10"/>
  <c r="K424" i="10"/>
  <c r="J424" i="10"/>
  <c r="I424" i="10"/>
  <c r="G424" i="10"/>
  <c r="F424" i="10"/>
  <c r="E424" i="10"/>
  <c r="D424" i="10"/>
  <c r="C424" i="10"/>
  <c r="B424" i="10"/>
  <c r="A424" i="10"/>
  <c r="P423" i="10"/>
  <c r="O423" i="10"/>
  <c r="N423" i="10"/>
  <c r="M423" i="10"/>
  <c r="L423" i="10"/>
  <c r="K423" i="10"/>
  <c r="J423" i="10"/>
  <c r="I423" i="10"/>
  <c r="G423" i="10"/>
  <c r="F423" i="10"/>
  <c r="E423" i="10"/>
  <c r="D423" i="10"/>
  <c r="C423" i="10"/>
  <c r="B423" i="10"/>
  <c r="A423" i="10"/>
  <c r="P422" i="10"/>
  <c r="O422" i="10"/>
  <c r="N422" i="10"/>
  <c r="M422" i="10"/>
  <c r="L422" i="10"/>
  <c r="K422" i="10"/>
  <c r="J422" i="10"/>
  <c r="I422" i="10"/>
  <c r="G422" i="10"/>
  <c r="F422" i="10"/>
  <c r="E422" i="10"/>
  <c r="D422" i="10"/>
  <c r="C422" i="10"/>
  <c r="B422" i="10"/>
  <c r="A422" i="10"/>
  <c r="P421" i="10"/>
  <c r="O421" i="10"/>
  <c r="N421" i="10"/>
  <c r="M421" i="10"/>
  <c r="L421" i="10"/>
  <c r="K421" i="10"/>
  <c r="J421" i="10"/>
  <c r="I421" i="10"/>
  <c r="G421" i="10"/>
  <c r="F421" i="10"/>
  <c r="E421" i="10"/>
  <c r="D421" i="10"/>
  <c r="C421" i="10"/>
  <c r="B421" i="10"/>
  <c r="A421" i="10"/>
  <c r="P420" i="10"/>
  <c r="O420" i="10"/>
  <c r="N420" i="10"/>
  <c r="M420" i="10"/>
  <c r="L420" i="10"/>
  <c r="K420" i="10"/>
  <c r="J420" i="10"/>
  <c r="I420" i="10"/>
  <c r="G420" i="10"/>
  <c r="F420" i="10"/>
  <c r="E420" i="10"/>
  <c r="D420" i="10"/>
  <c r="C420" i="10"/>
  <c r="B420" i="10"/>
  <c r="A420" i="10"/>
  <c r="P419" i="10"/>
  <c r="O419" i="10"/>
  <c r="N419" i="10"/>
  <c r="M419" i="10"/>
  <c r="L419" i="10"/>
  <c r="K419" i="10"/>
  <c r="J419" i="10"/>
  <c r="I419" i="10"/>
  <c r="G419" i="10"/>
  <c r="F419" i="10"/>
  <c r="E419" i="10"/>
  <c r="D419" i="10"/>
  <c r="C419" i="10"/>
  <c r="B419" i="10"/>
  <c r="A419" i="10"/>
  <c r="P418" i="10"/>
  <c r="O418" i="10"/>
  <c r="N418" i="10"/>
  <c r="M418" i="10"/>
  <c r="L418" i="10"/>
  <c r="K418" i="10"/>
  <c r="J418" i="10"/>
  <c r="I418" i="10"/>
  <c r="G418" i="10"/>
  <c r="F418" i="10"/>
  <c r="E418" i="10"/>
  <c r="D418" i="10"/>
  <c r="C418" i="10"/>
  <c r="B418" i="10"/>
  <c r="A418" i="10"/>
  <c r="P417" i="10"/>
  <c r="O417" i="10"/>
  <c r="N417" i="10"/>
  <c r="M417" i="10"/>
  <c r="L417" i="10"/>
  <c r="K417" i="10"/>
  <c r="J417" i="10"/>
  <c r="I417" i="10"/>
  <c r="G417" i="10"/>
  <c r="F417" i="10"/>
  <c r="E417" i="10"/>
  <c r="D417" i="10"/>
  <c r="C417" i="10"/>
  <c r="B417" i="10"/>
  <c r="A417" i="10"/>
  <c r="P416" i="10"/>
  <c r="O416" i="10"/>
  <c r="N416" i="10"/>
  <c r="M416" i="10"/>
  <c r="L416" i="10"/>
  <c r="K416" i="10"/>
  <c r="J416" i="10"/>
  <c r="I416" i="10"/>
  <c r="G416" i="10"/>
  <c r="F416" i="10"/>
  <c r="E416" i="10"/>
  <c r="D416" i="10"/>
  <c r="C416" i="10"/>
  <c r="B416" i="10"/>
  <c r="A416" i="10"/>
  <c r="P415" i="10"/>
  <c r="O415" i="10"/>
  <c r="N415" i="10"/>
  <c r="M415" i="10"/>
  <c r="L415" i="10"/>
  <c r="K415" i="10"/>
  <c r="J415" i="10"/>
  <c r="I415" i="10"/>
  <c r="G415" i="10"/>
  <c r="F415" i="10"/>
  <c r="E415" i="10"/>
  <c r="D415" i="10"/>
  <c r="C415" i="10"/>
  <c r="B415" i="10"/>
  <c r="A415" i="10"/>
  <c r="P414" i="10"/>
  <c r="O414" i="10"/>
  <c r="N414" i="10"/>
  <c r="M414" i="10"/>
  <c r="L414" i="10"/>
  <c r="K414" i="10"/>
  <c r="J414" i="10"/>
  <c r="I414" i="10"/>
  <c r="G414" i="10"/>
  <c r="F414" i="10"/>
  <c r="E414" i="10"/>
  <c r="D414" i="10"/>
  <c r="C414" i="10"/>
  <c r="B414" i="10"/>
  <c r="A414" i="10"/>
  <c r="P413" i="10"/>
  <c r="O413" i="10"/>
  <c r="N413" i="10"/>
  <c r="M413" i="10"/>
  <c r="L413" i="10"/>
  <c r="K413" i="10"/>
  <c r="J413" i="10"/>
  <c r="I413" i="10"/>
  <c r="G413" i="10"/>
  <c r="F413" i="10"/>
  <c r="E413" i="10"/>
  <c r="D413" i="10"/>
  <c r="C413" i="10"/>
  <c r="B413" i="10"/>
  <c r="A413" i="10"/>
  <c r="P412" i="10"/>
  <c r="O412" i="10"/>
  <c r="N412" i="10"/>
  <c r="M412" i="10"/>
  <c r="L412" i="10"/>
  <c r="K412" i="10"/>
  <c r="J412" i="10"/>
  <c r="I412" i="10"/>
  <c r="G412" i="10"/>
  <c r="F412" i="10"/>
  <c r="E412" i="10"/>
  <c r="D412" i="10"/>
  <c r="C412" i="10"/>
  <c r="B412" i="10"/>
  <c r="A412" i="10"/>
  <c r="P411" i="10"/>
  <c r="O411" i="10"/>
  <c r="N411" i="10"/>
  <c r="M411" i="10"/>
  <c r="L411" i="10"/>
  <c r="K411" i="10"/>
  <c r="J411" i="10"/>
  <c r="I411" i="10"/>
  <c r="G411" i="10"/>
  <c r="F411" i="10"/>
  <c r="E411" i="10"/>
  <c r="D411" i="10"/>
  <c r="C411" i="10"/>
  <c r="B411" i="10"/>
  <c r="A411" i="10"/>
  <c r="P410" i="10"/>
  <c r="O410" i="10"/>
  <c r="N410" i="10"/>
  <c r="M410" i="10"/>
  <c r="L410" i="10"/>
  <c r="K410" i="10"/>
  <c r="J410" i="10"/>
  <c r="I410" i="10"/>
  <c r="G410" i="10"/>
  <c r="F410" i="10"/>
  <c r="E410" i="10"/>
  <c r="D410" i="10"/>
  <c r="C410" i="10"/>
  <c r="B410" i="10"/>
  <c r="A410" i="10"/>
  <c r="P409" i="10"/>
  <c r="O409" i="10"/>
  <c r="N409" i="10"/>
  <c r="M409" i="10"/>
  <c r="L409" i="10"/>
  <c r="K409" i="10"/>
  <c r="J409" i="10"/>
  <c r="I409" i="10"/>
  <c r="G409" i="10"/>
  <c r="F409" i="10"/>
  <c r="E409" i="10"/>
  <c r="D409" i="10"/>
  <c r="C409" i="10"/>
  <c r="B409" i="10"/>
  <c r="A409" i="10"/>
  <c r="P408" i="10"/>
  <c r="O408" i="10"/>
  <c r="N408" i="10"/>
  <c r="M408" i="10"/>
  <c r="L408" i="10"/>
  <c r="K408" i="10"/>
  <c r="J408" i="10"/>
  <c r="I408" i="10"/>
  <c r="G408" i="10"/>
  <c r="F408" i="10"/>
  <c r="E408" i="10"/>
  <c r="D408" i="10"/>
  <c r="C408" i="10"/>
  <c r="B408" i="10"/>
  <c r="A408" i="10"/>
  <c r="P407" i="10"/>
  <c r="O407" i="10"/>
  <c r="N407" i="10"/>
  <c r="M407" i="10"/>
  <c r="L407" i="10"/>
  <c r="K407" i="10"/>
  <c r="J407" i="10"/>
  <c r="I407" i="10"/>
  <c r="G407" i="10"/>
  <c r="F407" i="10"/>
  <c r="E407" i="10"/>
  <c r="D407" i="10"/>
  <c r="C407" i="10"/>
  <c r="B407" i="10"/>
  <c r="A407" i="10"/>
  <c r="P406" i="10"/>
  <c r="O406" i="10"/>
  <c r="N406" i="10"/>
  <c r="M406" i="10"/>
  <c r="L406" i="10"/>
  <c r="K406" i="10"/>
  <c r="J406" i="10"/>
  <c r="I406" i="10"/>
  <c r="G406" i="10"/>
  <c r="F406" i="10"/>
  <c r="E406" i="10"/>
  <c r="D406" i="10"/>
  <c r="C406" i="10"/>
  <c r="B406" i="10"/>
  <c r="A406" i="10"/>
  <c r="P405" i="10"/>
  <c r="O405" i="10"/>
  <c r="N405" i="10"/>
  <c r="M405" i="10"/>
  <c r="L405" i="10"/>
  <c r="K405" i="10"/>
  <c r="J405" i="10"/>
  <c r="I405" i="10"/>
  <c r="G405" i="10"/>
  <c r="F405" i="10"/>
  <c r="E405" i="10"/>
  <c r="D405" i="10"/>
  <c r="C405" i="10"/>
  <c r="B405" i="10"/>
  <c r="A405" i="10"/>
  <c r="P404" i="10"/>
  <c r="O404" i="10"/>
  <c r="N404" i="10"/>
  <c r="M404" i="10"/>
  <c r="L404" i="10"/>
  <c r="K404" i="10"/>
  <c r="J404" i="10"/>
  <c r="I404" i="10"/>
  <c r="G404" i="10"/>
  <c r="F404" i="10"/>
  <c r="E404" i="10"/>
  <c r="D404" i="10"/>
  <c r="C404" i="10"/>
  <c r="B404" i="10"/>
  <c r="A404" i="10"/>
  <c r="P403" i="10"/>
  <c r="O403" i="10"/>
  <c r="N403" i="10"/>
  <c r="M403" i="10"/>
  <c r="L403" i="10"/>
  <c r="K403" i="10"/>
  <c r="J403" i="10"/>
  <c r="I403" i="10"/>
  <c r="G403" i="10"/>
  <c r="F403" i="10"/>
  <c r="E403" i="10"/>
  <c r="D403" i="10"/>
  <c r="C403" i="10"/>
  <c r="B403" i="10"/>
  <c r="A403" i="10"/>
  <c r="P402" i="10"/>
  <c r="O402" i="10"/>
  <c r="N402" i="10"/>
  <c r="M402" i="10"/>
  <c r="L402" i="10"/>
  <c r="K402" i="10"/>
  <c r="J402" i="10"/>
  <c r="I402" i="10"/>
  <c r="G402" i="10"/>
  <c r="F402" i="10"/>
  <c r="E402" i="10"/>
  <c r="D402" i="10"/>
  <c r="C402" i="10"/>
  <c r="B402" i="10"/>
  <c r="A402" i="10"/>
  <c r="P401" i="10"/>
  <c r="O401" i="10"/>
  <c r="N401" i="10"/>
  <c r="M401" i="10"/>
  <c r="L401" i="10"/>
  <c r="K401" i="10"/>
  <c r="J401" i="10"/>
  <c r="I401" i="10"/>
  <c r="G401" i="10"/>
  <c r="F401" i="10"/>
  <c r="E401" i="10"/>
  <c r="D401" i="10"/>
  <c r="C401" i="10"/>
  <c r="B401" i="10"/>
  <c r="A401" i="10"/>
  <c r="P400" i="10"/>
  <c r="O400" i="10"/>
  <c r="N400" i="10"/>
  <c r="M400" i="10"/>
  <c r="L400" i="10"/>
  <c r="K400" i="10"/>
  <c r="J400" i="10"/>
  <c r="I400" i="10"/>
  <c r="G400" i="10"/>
  <c r="F400" i="10"/>
  <c r="E400" i="10"/>
  <c r="D400" i="10"/>
  <c r="C400" i="10"/>
  <c r="B400" i="10"/>
  <c r="A400" i="10"/>
  <c r="P399" i="10"/>
  <c r="O399" i="10"/>
  <c r="N399" i="10"/>
  <c r="M399" i="10"/>
  <c r="L399" i="10"/>
  <c r="K399" i="10"/>
  <c r="J399" i="10"/>
  <c r="I399" i="10"/>
  <c r="G399" i="10"/>
  <c r="F399" i="10"/>
  <c r="E399" i="10"/>
  <c r="D399" i="10"/>
  <c r="C399" i="10"/>
  <c r="B399" i="10"/>
  <c r="A399" i="10"/>
  <c r="P398" i="10"/>
  <c r="O398" i="10"/>
  <c r="N398" i="10"/>
  <c r="M398" i="10"/>
  <c r="L398" i="10"/>
  <c r="K398" i="10"/>
  <c r="J398" i="10"/>
  <c r="I398" i="10"/>
  <c r="G398" i="10"/>
  <c r="F398" i="10"/>
  <c r="E398" i="10"/>
  <c r="D398" i="10"/>
  <c r="C398" i="10"/>
  <c r="B398" i="10"/>
  <c r="A398" i="10"/>
  <c r="P397" i="10"/>
  <c r="O397" i="10"/>
  <c r="N397" i="10"/>
  <c r="M397" i="10"/>
  <c r="L397" i="10"/>
  <c r="K397" i="10"/>
  <c r="J397" i="10"/>
  <c r="I397" i="10"/>
  <c r="G397" i="10"/>
  <c r="F397" i="10"/>
  <c r="E397" i="10"/>
  <c r="D397" i="10"/>
  <c r="C397" i="10"/>
  <c r="B397" i="10"/>
  <c r="A397" i="10"/>
  <c r="P396" i="10"/>
  <c r="O396" i="10"/>
  <c r="N396" i="10"/>
  <c r="M396" i="10"/>
  <c r="L396" i="10"/>
  <c r="K396" i="10"/>
  <c r="J396" i="10"/>
  <c r="I396" i="10"/>
  <c r="G396" i="10"/>
  <c r="F396" i="10"/>
  <c r="E396" i="10"/>
  <c r="D396" i="10"/>
  <c r="C396" i="10"/>
  <c r="B396" i="10"/>
  <c r="A396" i="10"/>
  <c r="P395" i="10"/>
  <c r="O395" i="10"/>
  <c r="N395" i="10"/>
  <c r="M395" i="10"/>
  <c r="L395" i="10"/>
  <c r="K395" i="10"/>
  <c r="J395" i="10"/>
  <c r="I395" i="10"/>
  <c r="G395" i="10"/>
  <c r="F395" i="10"/>
  <c r="E395" i="10"/>
  <c r="D395" i="10"/>
  <c r="C395" i="10"/>
  <c r="B395" i="10"/>
  <c r="A395" i="10"/>
  <c r="P394" i="10"/>
  <c r="O394" i="10"/>
  <c r="N394" i="10"/>
  <c r="M394" i="10"/>
  <c r="L394" i="10"/>
  <c r="K394" i="10"/>
  <c r="J394" i="10"/>
  <c r="I394" i="10"/>
  <c r="G394" i="10"/>
  <c r="F394" i="10"/>
  <c r="E394" i="10"/>
  <c r="D394" i="10"/>
  <c r="C394" i="10"/>
  <c r="B394" i="10"/>
  <c r="A394" i="10"/>
  <c r="P393" i="10"/>
  <c r="O393" i="10"/>
  <c r="N393" i="10"/>
  <c r="M393" i="10"/>
  <c r="L393" i="10"/>
  <c r="K393" i="10"/>
  <c r="J393" i="10"/>
  <c r="I393" i="10"/>
  <c r="G393" i="10"/>
  <c r="F393" i="10"/>
  <c r="E393" i="10"/>
  <c r="D393" i="10"/>
  <c r="C393" i="10"/>
  <c r="B393" i="10"/>
  <c r="A393" i="10"/>
  <c r="P392" i="10"/>
  <c r="O392" i="10"/>
  <c r="N392" i="10"/>
  <c r="M392" i="10"/>
  <c r="L392" i="10"/>
  <c r="K392" i="10"/>
  <c r="J392" i="10"/>
  <c r="I392" i="10"/>
  <c r="G392" i="10"/>
  <c r="F392" i="10"/>
  <c r="E392" i="10"/>
  <c r="D392" i="10"/>
  <c r="C392" i="10"/>
  <c r="B392" i="10"/>
  <c r="A392" i="10"/>
  <c r="P391" i="10"/>
  <c r="O391" i="10"/>
  <c r="N391" i="10"/>
  <c r="M391" i="10"/>
  <c r="L391" i="10"/>
  <c r="K391" i="10"/>
  <c r="J391" i="10"/>
  <c r="I391" i="10"/>
  <c r="G391" i="10"/>
  <c r="F391" i="10"/>
  <c r="E391" i="10"/>
  <c r="D391" i="10"/>
  <c r="C391" i="10"/>
  <c r="B391" i="10"/>
  <c r="A391" i="10"/>
  <c r="P390" i="10"/>
  <c r="O390" i="10"/>
  <c r="N390" i="10"/>
  <c r="M390" i="10"/>
  <c r="L390" i="10"/>
  <c r="K390" i="10"/>
  <c r="J390" i="10"/>
  <c r="I390" i="10"/>
  <c r="G390" i="10"/>
  <c r="F390" i="10"/>
  <c r="E390" i="10"/>
  <c r="D390" i="10"/>
  <c r="C390" i="10"/>
  <c r="B390" i="10"/>
  <c r="A390" i="10"/>
  <c r="P389" i="10"/>
  <c r="O389" i="10"/>
  <c r="N389" i="10"/>
  <c r="M389" i="10"/>
  <c r="L389" i="10"/>
  <c r="K389" i="10"/>
  <c r="J389" i="10"/>
  <c r="I389" i="10"/>
  <c r="G389" i="10"/>
  <c r="F389" i="10"/>
  <c r="E389" i="10"/>
  <c r="D389" i="10"/>
  <c r="C389" i="10"/>
  <c r="B389" i="10"/>
  <c r="A389" i="10"/>
  <c r="P388" i="10"/>
  <c r="O388" i="10"/>
  <c r="N388" i="10"/>
  <c r="M388" i="10"/>
  <c r="L388" i="10"/>
  <c r="K388" i="10"/>
  <c r="J388" i="10"/>
  <c r="I388" i="10"/>
  <c r="G388" i="10"/>
  <c r="F388" i="10"/>
  <c r="E388" i="10"/>
  <c r="D388" i="10"/>
  <c r="C388" i="10"/>
  <c r="B388" i="10"/>
  <c r="A388" i="10"/>
  <c r="P387" i="10"/>
  <c r="O387" i="10"/>
  <c r="N387" i="10"/>
  <c r="M387" i="10"/>
  <c r="L387" i="10"/>
  <c r="K387" i="10"/>
  <c r="J387" i="10"/>
  <c r="I387" i="10"/>
  <c r="G387" i="10"/>
  <c r="F387" i="10"/>
  <c r="E387" i="10"/>
  <c r="D387" i="10"/>
  <c r="C387" i="10"/>
  <c r="B387" i="10"/>
  <c r="A387" i="10"/>
  <c r="P386" i="10"/>
  <c r="O386" i="10"/>
  <c r="N386" i="10"/>
  <c r="M386" i="10"/>
  <c r="L386" i="10"/>
  <c r="K386" i="10"/>
  <c r="J386" i="10"/>
  <c r="I386" i="10"/>
  <c r="G386" i="10"/>
  <c r="F386" i="10"/>
  <c r="E386" i="10"/>
  <c r="D386" i="10"/>
  <c r="C386" i="10"/>
  <c r="B386" i="10"/>
  <c r="A386" i="10"/>
  <c r="P385" i="10"/>
  <c r="O385" i="10"/>
  <c r="N385" i="10"/>
  <c r="M385" i="10"/>
  <c r="L385" i="10"/>
  <c r="K385" i="10"/>
  <c r="J385" i="10"/>
  <c r="I385" i="10"/>
  <c r="G385" i="10"/>
  <c r="F385" i="10"/>
  <c r="E385" i="10"/>
  <c r="D385" i="10"/>
  <c r="C385" i="10"/>
  <c r="B385" i="10"/>
  <c r="A385" i="10"/>
  <c r="P384" i="10"/>
  <c r="O384" i="10"/>
  <c r="N384" i="10"/>
  <c r="M384" i="10"/>
  <c r="L384" i="10"/>
  <c r="K384" i="10"/>
  <c r="J384" i="10"/>
  <c r="I384" i="10"/>
  <c r="G384" i="10"/>
  <c r="F384" i="10"/>
  <c r="E384" i="10"/>
  <c r="D384" i="10"/>
  <c r="C384" i="10"/>
  <c r="B384" i="10"/>
  <c r="A384" i="10"/>
  <c r="P383" i="10"/>
  <c r="O383" i="10"/>
  <c r="N383" i="10"/>
  <c r="M383" i="10"/>
  <c r="L383" i="10"/>
  <c r="K383" i="10"/>
  <c r="J383" i="10"/>
  <c r="I383" i="10"/>
  <c r="G383" i="10"/>
  <c r="F383" i="10"/>
  <c r="E383" i="10"/>
  <c r="D383" i="10"/>
  <c r="C383" i="10"/>
  <c r="B383" i="10"/>
  <c r="A383" i="10"/>
  <c r="P382" i="10"/>
  <c r="O382" i="10"/>
  <c r="N382" i="10"/>
  <c r="M382" i="10"/>
  <c r="L382" i="10"/>
  <c r="K382" i="10"/>
  <c r="J382" i="10"/>
  <c r="I382" i="10"/>
  <c r="G382" i="10"/>
  <c r="F382" i="10"/>
  <c r="E382" i="10"/>
  <c r="D382" i="10"/>
  <c r="C382" i="10"/>
  <c r="B382" i="10"/>
  <c r="A382" i="10"/>
  <c r="P381" i="10"/>
  <c r="O381" i="10"/>
  <c r="N381" i="10"/>
  <c r="M381" i="10"/>
  <c r="L381" i="10"/>
  <c r="K381" i="10"/>
  <c r="J381" i="10"/>
  <c r="I381" i="10"/>
  <c r="G381" i="10"/>
  <c r="F381" i="10"/>
  <c r="E381" i="10"/>
  <c r="D381" i="10"/>
  <c r="C381" i="10"/>
  <c r="B381" i="10"/>
  <c r="A381" i="10"/>
  <c r="P380" i="10"/>
  <c r="O380" i="10"/>
  <c r="N380" i="10"/>
  <c r="M380" i="10"/>
  <c r="L380" i="10"/>
  <c r="K380" i="10"/>
  <c r="J380" i="10"/>
  <c r="I380" i="10"/>
  <c r="G380" i="10"/>
  <c r="F380" i="10"/>
  <c r="E380" i="10"/>
  <c r="D380" i="10"/>
  <c r="C380" i="10"/>
  <c r="B380" i="10"/>
  <c r="A380" i="10"/>
  <c r="P379" i="10"/>
  <c r="O379" i="10"/>
  <c r="N379" i="10"/>
  <c r="M379" i="10"/>
  <c r="L379" i="10"/>
  <c r="K379" i="10"/>
  <c r="J379" i="10"/>
  <c r="I379" i="10"/>
  <c r="G379" i="10"/>
  <c r="F379" i="10"/>
  <c r="E379" i="10"/>
  <c r="D379" i="10"/>
  <c r="C379" i="10"/>
  <c r="B379" i="10"/>
  <c r="A379" i="10"/>
  <c r="P378" i="10"/>
  <c r="O378" i="10"/>
  <c r="N378" i="10"/>
  <c r="M378" i="10"/>
  <c r="L378" i="10"/>
  <c r="K378" i="10"/>
  <c r="J378" i="10"/>
  <c r="I378" i="10"/>
  <c r="G378" i="10"/>
  <c r="F378" i="10"/>
  <c r="E378" i="10"/>
  <c r="D378" i="10"/>
  <c r="C378" i="10"/>
  <c r="B378" i="10"/>
  <c r="A378" i="10"/>
  <c r="P377" i="10"/>
  <c r="O377" i="10"/>
  <c r="N377" i="10"/>
  <c r="M377" i="10"/>
  <c r="L377" i="10"/>
  <c r="K377" i="10"/>
  <c r="J377" i="10"/>
  <c r="I377" i="10"/>
  <c r="G377" i="10"/>
  <c r="F377" i="10"/>
  <c r="E377" i="10"/>
  <c r="D377" i="10"/>
  <c r="C377" i="10"/>
  <c r="B377" i="10"/>
  <c r="A377" i="10"/>
  <c r="P376" i="10"/>
  <c r="O376" i="10"/>
  <c r="N376" i="10"/>
  <c r="M376" i="10"/>
  <c r="L376" i="10"/>
  <c r="K376" i="10"/>
  <c r="J376" i="10"/>
  <c r="I376" i="10"/>
  <c r="G376" i="10"/>
  <c r="F376" i="10"/>
  <c r="E376" i="10"/>
  <c r="D376" i="10"/>
  <c r="C376" i="10"/>
  <c r="B376" i="10"/>
  <c r="A376" i="10"/>
  <c r="P375" i="10"/>
  <c r="O375" i="10"/>
  <c r="N375" i="10"/>
  <c r="M375" i="10"/>
  <c r="L375" i="10"/>
  <c r="K375" i="10"/>
  <c r="J375" i="10"/>
  <c r="I375" i="10"/>
  <c r="G375" i="10"/>
  <c r="F375" i="10"/>
  <c r="E375" i="10"/>
  <c r="D375" i="10"/>
  <c r="C375" i="10"/>
  <c r="B375" i="10"/>
  <c r="A375" i="10"/>
  <c r="P374" i="10"/>
  <c r="O374" i="10"/>
  <c r="N374" i="10"/>
  <c r="M374" i="10"/>
  <c r="L374" i="10"/>
  <c r="K374" i="10"/>
  <c r="J374" i="10"/>
  <c r="I374" i="10"/>
  <c r="G374" i="10"/>
  <c r="F374" i="10"/>
  <c r="E374" i="10"/>
  <c r="D374" i="10"/>
  <c r="C374" i="10"/>
  <c r="B374" i="10"/>
  <c r="A374" i="10"/>
  <c r="P373" i="10"/>
  <c r="O373" i="10"/>
  <c r="N373" i="10"/>
  <c r="M373" i="10"/>
  <c r="L373" i="10"/>
  <c r="K373" i="10"/>
  <c r="J373" i="10"/>
  <c r="I373" i="10"/>
  <c r="G373" i="10"/>
  <c r="F373" i="10"/>
  <c r="E373" i="10"/>
  <c r="D373" i="10"/>
  <c r="C373" i="10"/>
  <c r="B373" i="10"/>
  <c r="A373" i="10"/>
  <c r="P372" i="10"/>
  <c r="O372" i="10"/>
  <c r="N372" i="10"/>
  <c r="M372" i="10"/>
  <c r="L372" i="10"/>
  <c r="K372" i="10"/>
  <c r="J372" i="10"/>
  <c r="I372" i="10"/>
  <c r="G372" i="10"/>
  <c r="F372" i="10"/>
  <c r="E372" i="10"/>
  <c r="D372" i="10"/>
  <c r="C372" i="10"/>
  <c r="B372" i="10"/>
  <c r="A372" i="10"/>
  <c r="P371" i="10"/>
  <c r="O371" i="10"/>
  <c r="N371" i="10"/>
  <c r="M371" i="10"/>
  <c r="L371" i="10"/>
  <c r="K371" i="10"/>
  <c r="J371" i="10"/>
  <c r="I371" i="10"/>
  <c r="G371" i="10"/>
  <c r="F371" i="10"/>
  <c r="E371" i="10"/>
  <c r="D371" i="10"/>
  <c r="C371" i="10"/>
  <c r="B371" i="10"/>
  <c r="A371" i="10"/>
  <c r="P370" i="10"/>
  <c r="O370" i="10"/>
  <c r="N370" i="10"/>
  <c r="M370" i="10"/>
  <c r="L370" i="10"/>
  <c r="K370" i="10"/>
  <c r="J370" i="10"/>
  <c r="I370" i="10"/>
  <c r="G370" i="10"/>
  <c r="F370" i="10"/>
  <c r="E370" i="10"/>
  <c r="D370" i="10"/>
  <c r="C370" i="10"/>
  <c r="B370" i="10"/>
  <c r="A370" i="10"/>
  <c r="P369" i="10"/>
  <c r="O369" i="10"/>
  <c r="N369" i="10"/>
  <c r="M369" i="10"/>
  <c r="L369" i="10"/>
  <c r="K369" i="10"/>
  <c r="J369" i="10"/>
  <c r="I369" i="10"/>
  <c r="G369" i="10"/>
  <c r="F369" i="10"/>
  <c r="E369" i="10"/>
  <c r="D369" i="10"/>
  <c r="C369" i="10"/>
  <c r="B369" i="10"/>
  <c r="A369" i="10"/>
  <c r="P368" i="10"/>
  <c r="O368" i="10"/>
  <c r="N368" i="10"/>
  <c r="M368" i="10"/>
  <c r="L368" i="10"/>
  <c r="K368" i="10"/>
  <c r="J368" i="10"/>
  <c r="I368" i="10"/>
  <c r="G368" i="10"/>
  <c r="F368" i="10"/>
  <c r="E368" i="10"/>
  <c r="D368" i="10"/>
  <c r="C368" i="10"/>
  <c r="B368" i="10"/>
  <c r="A368" i="10"/>
  <c r="P367" i="10"/>
  <c r="O367" i="10"/>
  <c r="N367" i="10"/>
  <c r="M367" i="10"/>
  <c r="L367" i="10"/>
  <c r="K367" i="10"/>
  <c r="J367" i="10"/>
  <c r="I367" i="10"/>
  <c r="G367" i="10"/>
  <c r="F367" i="10"/>
  <c r="E367" i="10"/>
  <c r="D367" i="10"/>
  <c r="C367" i="10"/>
  <c r="B367" i="10"/>
  <c r="A367" i="10"/>
  <c r="P366" i="10"/>
  <c r="O366" i="10"/>
  <c r="N366" i="10"/>
  <c r="M366" i="10"/>
  <c r="L366" i="10"/>
  <c r="K366" i="10"/>
  <c r="J366" i="10"/>
  <c r="I366" i="10"/>
  <c r="G366" i="10"/>
  <c r="F366" i="10"/>
  <c r="E366" i="10"/>
  <c r="D366" i="10"/>
  <c r="C366" i="10"/>
  <c r="B366" i="10"/>
  <c r="A366" i="10"/>
  <c r="P365" i="10"/>
  <c r="O365" i="10"/>
  <c r="N365" i="10"/>
  <c r="M365" i="10"/>
  <c r="L365" i="10"/>
  <c r="K365" i="10"/>
  <c r="J365" i="10"/>
  <c r="I365" i="10"/>
  <c r="G365" i="10"/>
  <c r="F365" i="10"/>
  <c r="E365" i="10"/>
  <c r="D365" i="10"/>
  <c r="C365" i="10"/>
  <c r="B365" i="10"/>
  <c r="A365" i="10"/>
  <c r="P364" i="10"/>
  <c r="O364" i="10"/>
  <c r="N364" i="10"/>
  <c r="M364" i="10"/>
  <c r="L364" i="10"/>
  <c r="K364" i="10"/>
  <c r="J364" i="10"/>
  <c r="I364" i="10"/>
  <c r="G364" i="10"/>
  <c r="F364" i="10"/>
  <c r="E364" i="10"/>
  <c r="D364" i="10"/>
  <c r="C364" i="10"/>
  <c r="B364" i="10"/>
  <c r="A364" i="10"/>
  <c r="P363" i="10"/>
  <c r="O363" i="10"/>
  <c r="N363" i="10"/>
  <c r="M363" i="10"/>
  <c r="L363" i="10"/>
  <c r="K363" i="10"/>
  <c r="J363" i="10"/>
  <c r="I363" i="10"/>
  <c r="G363" i="10"/>
  <c r="F363" i="10"/>
  <c r="E363" i="10"/>
  <c r="D363" i="10"/>
  <c r="C363" i="10"/>
  <c r="B363" i="10"/>
  <c r="A363" i="10"/>
  <c r="P362" i="10"/>
  <c r="O362" i="10"/>
  <c r="N362" i="10"/>
  <c r="M362" i="10"/>
  <c r="L362" i="10"/>
  <c r="K362" i="10"/>
  <c r="J362" i="10"/>
  <c r="I362" i="10"/>
  <c r="G362" i="10"/>
  <c r="F362" i="10"/>
  <c r="E362" i="10"/>
  <c r="D362" i="10"/>
  <c r="C362" i="10"/>
  <c r="B362" i="10"/>
  <c r="A362" i="10"/>
  <c r="P361" i="10"/>
  <c r="O361" i="10"/>
  <c r="N361" i="10"/>
  <c r="M361" i="10"/>
  <c r="L361" i="10"/>
  <c r="K361" i="10"/>
  <c r="J361" i="10"/>
  <c r="I361" i="10"/>
  <c r="G361" i="10"/>
  <c r="F361" i="10"/>
  <c r="E361" i="10"/>
  <c r="D361" i="10"/>
  <c r="C361" i="10"/>
  <c r="B361" i="10"/>
  <c r="A361" i="10"/>
  <c r="P360" i="10"/>
  <c r="O360" i="10"/>
  <c r="N360" i="10"/>
  <c r="M360" i="10"/>
  <c r="L360" i="10"/>
  <c r="K360" i="10"/>
  <c r="J360" i="10"/>
  <c r="I360" i="10"/>
  <c r="G360" i="10"/>
  <c r="F360" i="10"/>
  <c r="E360" i="10"/>
  <c r="D360" i="10"/>
  <c r="C360" i="10"/>
  <c r="B360" i="10"/>
  <c r="A360" i="10"/>
  <c r="P359" i="10"/>
  <c r="O359" i="10"/>
  <c r="N359" i="10"/>
  <c r="M359" i="10"/>
  <c r="L359" i="10"/>
  <c r="K359" i="10"/>
  <c r="J359" i="10"/>
  <c r="I359" i="10"/>
  <c r="G359" i="10"/>
  <c r="F359" i="10"/>
  <c r="E359" i="10"/>
  <c r="D359" i="10"/>
  <c r="C359" i="10"/>
  <c r="B359" i="10"/>
  <c r="A359" i="10"/>
  <c r="P358" i="10"/>
  <c r="O358" i="10"/>
  <c r="N358" i="10"/>
  <c r="M358" i="10"/>
  <c r="L358" i="10"/>
  <c r="K358" i="10"/>
  <c r="J358" i="10"/>
  <c r="I358" i="10"/>
  <c r="G358" i="10"/>
  <c r="F358" i="10"/>
  <c r="E358" i="10"/>
  <c r="D358" i="10"/>
  <c r="C358" i="10"/>
  <c r="B358" i="10"/>
  <c r="A358" i="10"/>
  <c r="P357" i="10"/>
  <c r="O357" i="10"/>
  <c r="N357" i="10"/>
  <c r="M357" i="10"/>
  <c r="L357" i="10"/>
  <c r="K357" i="10"/>
  <c r="J357" i="10"/>
  <c r="I357" i="10"/>
  <c r="G357" i="10"/>
  <c r="F357" i="10"/>
  <c r="E357" i="10"/>
  <c r="D357" i="10"/>
  <c r="C357" i="10"/>
  <c r="B357" i="10"/>
  <c r="A357" i="10"/>
  <c r="P356" i="10"/>
  <c r="O356" i="10"/>
  <c r="N356" i="10"/>
  <c r="M356" i="10"/>
  <c r="L356" i="10"/>
  <c r="K356" i="10"/>
  <c r="J356" i="10"/>
  <c r="I356" i="10"/>
  <c r="G356" i="10"/>
  <c r="F356" i="10"/>
  <c r="E356" i="10"/>
  <c r="D356" i="10"/>
  <c r="C356" i="10"/>
  <c r="B356" i="10"/>
  <c r="A356" i="10"/>
  <c r="P355" i="10"/>
  <c r="O355" i="10"/>
  <c r="N355" i="10"/>
  <c r="M355" i="10"/>
  <c r="L355" i="10"/>
  <c r="K355" i="10"/>
  <c r="J355" i="10"/>
  <c r="I355" i="10"/>
  <c r="G355" i="10"/>
  <c r="F355" i="10"/>
  <c r="E355" i="10"/>
  <c r="D355" i="10"/>
  <c r="C355" i="10"/>
  <c r="B355" i="10"/>
  <c r="A355" i="10"/>
  <c r="P354" i="10"/>
  <c r="O354" i="10"/>
  <c r="N354" i="10"/>
  <c r="M354" i="10"/>
  <c r="L354" i="10"/>
  <c r="K354" i="10"/>
  <c r="J354" i="10"/>
  <c r="I354" i="10"/>
  <c r="G354" i="10"/>
  <c r="F354" i="10"/>
  <c r="E354" i="10"/>
  <c r="D354" i="10"/>
  <c r="C354" i="10"/>
  <c r="B354" i="10"/>
  <c r="A354" i="10"/>
  <c r="P353" i="10"/>
  <c r="O353" i="10"/>
  <c r="N353" i="10"/>
  <c r="M353" i="10"/>
  <c r="L353" i="10"/>
  <c r="K353" i="10"/>
  <c r="J353" i="10"/>
  <c r="I353" i="10"/>
  <c r="G353" i="10"/>
  <c r="F353" i="10"/>
  <c r="E353" i="10"/>
  <c r="D353" i="10"/>
  <c r="C353" i="10"/>
  <c r="B353" i="10"/>
  <c r="A353" i="10"/>
  <c r="P352" i="10"/>
  <c r="O352" i="10"/>
  <c r="N352" i="10"/>
  <c r="M352" i="10"/>
  <c r="L352" i="10"/>
  <c r="K352" i="10"/>
  <c r="J352" i="10"/>
  <c r="I352" i="10"/>
  <c r="G352" i="10"/>
  <c r="F352" i="10"/>
  <c r="E352" i="10"/>
  <c r="D352" i="10"/>
  <c r="C352" i="10"/>
  <c r="B352" i="10"/>
  <c r="A352" i="10"/>
  <c r="P351" i="10"/>
  <c r="O351" i="10"/>
  <c r="N351" i="10"/>
  <c r="M351" i="10"/>
  <c r="L351" i="10"/>
  <c r="K351" i="10"/>
  <c r="J351" i="10"/>
  <c r="I351" i="10"/>
  <c r="G351" i="10"/>
  <c r="F351" i="10"/>
  <c r="E351" i="10"/>
  <c r="D351" i="10"/>
  <c r="C351" i="10"/>
  <c r="B351" i="10"/>
  <c r="A351" i="10"/>
  <c r="P350" i="10"/>
  <c r="O350" i="10"/>
  <c r="N350" i="10"/>
  <c r="M350" i="10"/>
  <c r="L350" i="10"/>
  <c r="K350" i="10"/>
  <c r="J350" i="10"/>
  <c r="I350" i="10"/>
  <c r="G350" i="10"/>
  <c r="F350" i="10"/>
  <c r="E350" i="10"/>
  <c r="D350" i="10"/>
  <c r="C350" i="10"/>
  <c r="B350" i="10"/>
  <c r="A350" i="10"/>
  <c r="P349" i="10"/>
  <c r="O349" i="10"/>
  <c r="N349" i="10"/>
  <c r="M349" i="10"/>
  <c r="L349" i="10"/>
  <c r="K349" i="10"/>
  <c r="J349" i="10"/>
  <c r="I349" i="10"/>
  <c r="G349" i="10"/>
  <c r="F349" i="10"/>
  <c r="E349" i="10"/>
  <c r="D349" i="10"/>
  <c r="C349" i="10"/>
  <c r="B349" i="10"/>
  <c r="A349" i="10"/>
  <c r="P348" i="10"/>
  <c r="O348" i="10"/>
  <c r="N348" i="10"/>
  <c r="M348" i="10"/>
  <c r="L348" i="10"/>
  <c r="K348" i="10"/>
  <c r="J348" i="10"/>
  <c r="I348" i="10"/>
  <c r="G348" i="10"/>
  <c r="F348" i="10"/>
  <c r="E348" i="10"/>
  <c r="D348" i="10"/>
  <c r="C348" i="10"/>
  <c r="B348" i="10"/>
  <c r="A348" i="10"/>
  <c r="P347" i="10"/>
  <c r="O347" i="10"/>
  <c r="N347" i="10"/>
  <c r="M347" i="10"/>
  <c r="L347" i="10"/>
  <c r="K347" i="10"/>
  <c r="J347" i="10"/>
  <c r="I347" i="10"/>
  <c r="G347" i="10"/>
  <c r="F347" i="10"/>
  <c r="E347" i="10"/>
  <c r="D347" i="10"/>
  <c r="C347" i="10"/>
  <c r="B347" i="10"/>
  <c r="A347" i="10"/>
  <c r="P346" i="10"/>
  <c r="O346" i="10"/>
  <c r="N346" i="10"/>
  <c r="M346" i="10"/>
  <c r="L346" i="10"/>
  <c r="K346" i="10"/>
  <c r="J346" i="10"/>
  <c r="I346" i="10"/>
  <c r="G346" i="10"/>
  <c r="F346" i="10"/>
  <c r="E346" i="10"/>
  <c r="D346" i="10"/>
  <c r="C346" i="10"/>
  <c r="B346" i="10"/>
  <c r="A346" i="10"/>
  <c r="P345" i="10"/>
  <c r="O345" i="10"/>
  <c r="N345" i="10"/>
  <c r="M345" i="10"/>
  <c r="L345" i="10"/>
  <c r="K345" i="10"/>
  <c r="J345" i="10"/>
  <c r="I345" i="10"/>
  <c r="G345" i="10"/>
  <c r="F345" i="10"/>
  <c r="E345" i="10"/>
  <c r="D345" i="10"/>
  <c r="C345" i="10"/>
  <c r="B345" i="10"/>
  <c r="A345" i="10"/>
  <c r="P344" i="10"/>
  <c r="O344" i="10"/>
  <c r="N344" i="10"/>
  <c r="M344" i="10"/>
  <c r="L344" i="10"/>
  <c r="K344" i="10"/>
  <c r="J344" i="10"/>
  <c r="I344" i="10"/>
  <c r="G344" i="10"/>
  <c r="F344" i="10"/>
  <c r="E344" i="10"/>
  <c r="D344" i="10"/>
  <c r="C344" i="10"/>
  <c r="B344" i="10"/>
  <c r="A344" i="10"/>
  <c r="P343" i="10"/>
  <c r="O343" i="10"/>
  <c r="N343" i="10"/>
  <c r="M343" i="10"/>
  <c r="L343" i="10"/>
  <c r="K343" i="10"/>
  <c r="J343" i="10"/>
  <c r="I343" i="10"/>
  <c r="G343" i="10"/>
  <c r="F343" i="10"/>
  <c r="E343" i="10"/>
  <c r="D343" i="10"/>
  <c r="C343" i="10"/>
  <c r="B343" i="10"/>
  <c r="A343" i="10"/>
  <c r="P342" i="10"/>
  <c r="O342" i="10"/>
  <c r="N342" i="10"/>
  <c r="M342" i="10"/>
  <c r="L342" i="10"/>
  <c r="K342" i="10"/>
  <c r="J342" i="10"/>
  <c r="I342" i="10"/>
  <c r="G342" i="10"/>
  <c r="F342" i="10"/>
  <c r="E342" i="10"/>
  <c r="D342" i="10"/>
  <c r="C342" i="10"/>
  <c r="B342" i="10"/>
  <c r="A342" i="10"/>
  <c r="P341" i="10"/>
  <c r="O341" i="10"/>
  <c r="N341" i="10"/>
  <c r="M341" i="10"/>
  <c r="L341" i="10"/>
  <c r="K341" i="10"/>
  <c r="J341" i="10"/>
  <c r="I341" i="10"/>
  <c r="G341" i="10"/>
  <c r="F341" i="10"/>
  <c r="E341" i="10"/>
  <c r="D341" i="10"/>
  <c r="C341" i="10"/>
  <c r="B341" i="10"/>
  <c r="A341" i="10"/>
  <c r="P340" i="10"/>
  <c r="O340" i="10"/>
  <c r="N340" i="10"/>
  <c r="M340" i="10"/>
  <c r="L340" i="10"/>
  <c r="K340" i="10"/>
  <c r="J340" i="10"/>
  <c r="I340" i="10"/>
  <c r="G340" i="10"/>
  <c r="F340" i="10"/>
  <c r="E340" i="10"/>
  <c r="D340" i="10"/>
  <c r="C340" i="10"/>
  <c r="B340" i="10"/>
  <c r="A340" i="10"/>
  <c r="P339" i="10"/>
  <c r="O339" i="10"/>
  <c r="N339" i="10"/>
  <c r="M339" i="10"/>
  <c r="L339" i="10"/>
  <c r="K339" i="10"/>
  <c r="J339" i="10"/>
  <c r="I339" i="10"/>
  <c r="G339" i="10"/>
  <c r="F339" i="10"/>
  <c r="E339" i="10"/>
  <c r="D339" i="10"/>
  <c r="C339" i="10"/>
  <c r="B339" i="10"/>
  <c r="A339" i="10"/>
  <c r="P338" i="10"/>
  <c r="O338" i="10"/>
  <c r="N338" i="10"/>
  <c r="M338" i="10"/>
  <c r="L338" i="10"/>
  <c r="K338" i="10"/>
  <c r="J338" i="10"/>
  <c r="I338" i="10"/>
  <c r="G338" i="10"/>
  <c r="F338" i="10"/>
  <c r="E338" i="10"/>
  <c r="D338" i="10"/>
  <c r="C338" i="10"/>
  <c r="B338" i="10"/>
  <c r="A338" i="10"/>
  <c r="P337" i="10"/>
  <c r="O337" i="10"/>
  <c r="N337" i="10"/>
  <c r="M337" i="10"/>
  <c r="L337" i="10"/>
  <c r="K337" i="10"/>
  <c r="J337" i="10"/>
  <c r="I337" i="10"/>
  <c r="G337" i="10"/>
  <c r="F337" i="10"/>
  <c r="E337" i="10"/>
  <c r="D337" i="10"/>
  <c r="C337" i="10"/>
  <c r="B337" i="10"/>
  <c r="A337" i="10"/>
  <c r="P336" i="10"/>
  <c r="O336" i="10"/>
  <c r="N336" i="10"/>
  <c r="M336" i="10"/>
  <c r="L336" i="10"/>
  <c r="K336" i="10"/>
  <c r="J336" i="10"/>
  <c r="I336" i="10"/>
  <c r="G336" i="10"/>
  <c r="F336" i="10"/>
  <c r="E336" i="10"/>
  <c r="D336" i="10"/>
  <c r="C336" i="10"/>
  <c r="B336" i="10"/>
  <c r="A336" i="10"/>
  <c r="P335" i="10"/>
  <c r="O335" i="10"/>
  <c r="N335" i="10"/>
  <c r="M335" i="10"/>
  <c r="L335" i="10"/>
  <c r="K335" i="10"/>
  <c r="J335" i="10"/>
  <c r="I335" i="10"/>
  <c r="G335" i="10"/>
  <c r="F335" i="10"/>
  <c r="E335" i="10"/>
  <c r="D335" i="10"/>
  <c r="C335" i="10"/>
  <c r="B335" i="10"/>
  <c r="A335" i="10"/>
  <c r="P334" i="10"/>
  <c r="O334" i="10"/>
  <c r="N334" i="10"/>
  <c r="M334" i="10"/>
  <c r="L334" i="10"/>
  <c r="K334" i="10"/>
  <c r="J334" i="10"/>
  <c r="I334" i="10"/>
  <c r="G334" i="10"/>
  <c r="F334" i="10"/>
  <c r="E334" i="10"/>
  <c r="D334" i="10"/>
  <c r="C334" i="10"/>
  <c r="B334" i="10"/>
  <c r="A334" i="10"/>
  <c r="P333" i="10"/>
  <c r="O333" i="10"/>
  <c r="N333" i="10"/>
  <c r="M333" i="10"/>
  <c r="L333" i="10"/>
  <c r="K333" i="10"/>
  <c r="J333" i="10"/>
  <c r="I333" i="10"/>
  <c r="G333" i="10"/>
  <c r="F333" i="10"/>
  <c r="E333" i="10"/>
  <c r="D333" i="10"/>
  <c r="C333" i="10"/>
  <c r="B333" i="10"/>
  <c r="A333" i="10"/>
  <c r="P332" i="10"/>
  <c r="O332" i="10"/>
  <c r="N332" i="10"/>
  <c r="M332" i="10"/>
  <c r="L332" i="10"/>
  <c r="K332" i="10"/>
  <c r="J332" i="10"/>
  <c r="I332" i="10"/>
  <c r="G332" i="10"/>
  <c r="F332" i="10"/>
  <c r="E332" i="10"/>
  <c r="D332" i="10"/>
  <c r="C332" i="10"/>
  <c r="B332" i="10"/>
  <c r="A332" i="10"/>
  <c r="P331" i="10"/>
  <c r="O331" i="10"/>
  <c r="N331" i="10"/>
  <c r="M331" i="10"/>
  <c r="L331" i="10"/>
  <c r="K331" i="10"/>
  <c r="J331" i="10"/>
  <c r="I331" i="10"/>
  <c r="G331" i="10"/>
  <c r="F331" i="10"/>
  <c r="E331" i="10"/>
  <c r="D331" i="10"/>
  <c r="C331" i="10"/>
  <c r="B331" i="10"/>
  <c r="A331" i="10"/>
  <c r="P330" i="10"/>
  <c r="O330" i="10"/>
  <c r="N330" i="10"/>
  <c r="M330" i="10"/>
  <c r="L330" i="10"/>
  <c r="K330" i="10"/>
  <c r="J330" i="10"/>
  <c r="I330" i="10"/>
  <c r="G330" i="10"/>
  <c r="F330" i="10"/>
  <c r="E330" i="10"/>
  <c r="D330" i="10"/>
  <c r="C330" i="10"/>
  <c r="B330" i="10"/>
  <c r="A330" i="10"/>
  <c r="P329" i="10"/>
  <c r="O329" i="10"/>
  <c r="N329" i="10"/>
  <c r="M329" i="10"/>
  <c r="L329" i="10"/>
  <c r="K329" i="10"/>
  <c r="J329" i="10"/>
  <c r="I329" i="10"/>
  <c r="G329" i="10"/>
  <c r="F329" i="10"/>
  <c r="E329" i="10"/>
  <c r="D329" i="10"/>
  <c r="C329" i="10"/>
  <c r="B329" i="10"/>
  <c r="A329" i="10"/>
  <c r="P328" i="10"/>
  <c r="O328" i="10"/>
  <c r="N328" i="10"/>
  <c r="M328" i="10"/>
  <c r="L328" i="10"/>
  <c r="K328" i="10"/>
  <c r="J328" i="10"/>
  <c r="I328" i="10"/>
  <c r="G328" i="10"/>
  <c r="F328" i="10"/>
  <c r="E328" i="10"/>
  <c r="D328" i="10"/>
  <c r="C328" i="10"/>
  <c r="B328" i="10"/>
  <c r="A328" i="10"/>
  <c r="P327" i="10"/>
  <c r="O327" i="10"/>
  <c r="N327" i="10"/>
  <c r="M327" i="10"/>
  <c r="L327" i="10"/>
  <c r="K327" i="10"/>
  <c r="J327" i="10"/>
  <c r="I327" i="10"/>
  <c r="G327" i="10"/>
  <c r="F327" i="10"/>
  <c r="E327" i="10"/>
  <c r="D327" i="10"/>
  <c r="C327" i="10"/>
  <c r="B327" i="10"/>
  <c r="A327" i="10"/>
  <c r="P326" i="10"/>
  <c r="O326" i="10"/>
  <c r="N326" i="10"/>
  <c r="M326" i="10"/>
  <c r="L326" i="10"/>
  <c r="K326" i="10"/>
  <c r="J326" i="10"/>
  <c r="I326" i="10"/>
  <c r="G326" i="10"/>
  <c r="F326" i="10"/>
  <c r="E326" i="10"/>
  <c r="D326" i="10"/>
  <c r="C326" i="10"/>
  <c r="B326" i="10"/>
  <c r="A326" i="10"/>
  <c r="P325" i="10"/>
  <c r="O325" i="10"/>
  <c r="N325" i="10"/>
  <c r="M325" i="10"/>
  <c r="L325" i="10"/>
  <c r="K325" i="10"/>
  <c r="J325" i="10"/>
  <c r="I325" i="10"/>
  <c r="G325" i="10"/>
  <c r="F325" i="10"/>
  <c r="E325" i="10"/>
  <c r="D325" i="10"/>
  <c r="C325" i="10"/>
  <c r="B325" i="10"/>
  <c r="A325" i="10"/>
  <c r="P324" i="10"/>
  <c r="O324" i="10"/>
  <c r="N324" i="10"/>
  <c r="M324" i="10"/>
  <c r="L324" i="10"/>
  <c r="K324" i="10"/>
  <c r="J324" i="10"/>
  <c r="I324" i="10"/>
  <c r="G324" i="10"/>
  <c r="F324" i="10"/>
  <c r="E324" i="10"/>
  <c r="D324" i="10"/>
  <c r="C324" i="10"/>
  <c r="B324" i="10"/>
  <c r="A324" i="10"/>
  <c r="P323" i="10"/>
  <c r="O323" i="10"/>
  <c r="N323" i="10"/>
  <c r="M323" i="10"/>
  <c r="L323" i="10"/>
  <c r="K323" i="10"/>
  <c r="J323" i="10"/>
  <c r="I323" i="10"/>
  <c r="G323" i="10"/>
  <c r="F323" i="10"/>
  <c r="E323" i="10"/>
  <c r="D323" i="10"/>
  <c r="C323" i="10"/>
  <c r="B323" i="10"/>
  <c r="A323" i="10"/>
  <c r="P322" i="10"/>
  <c r="O322" i="10"/>
  <c r="N322" i="10"/>
  <c r="M322" i="10"/>
  <c r="L322" i="10"/>
  <c r="K322" i="10"/>
  <c r="J322" i="10"/>
  <c r="I322" i="10"/>
  <c r="G322" i="10"/>
  <c r="F322" i="10"/>
  <c r="E322" i="10"/>
  <c r="D322" i="10"/>
  <c r="C322" i="10"/>
  <c r="B322" i="10"/>
  <c r="A322" i="10"/>
  <c r="P321" i="10"/>
  <c r="O321" i="10"/>
  <c r="N321" i="10"/>
  <c r="M321" i="10"/>
  <c r="L321" i="10"/>
  <c r="K321" i="10"/>
  <c r="J321" i="10"/>
  <c r="I321" i="10"/>
  <c r="G321" i="10"/>
  <c r="F321" i="10"/>
  <c r="E321" i="10"/>
  <c r="D321" i="10"/>
  <c r="C321" i="10"/>
  <c r="B321" i="10"/>
  <c r="A321" i="10"/>
  <c r="P320" i="10"/>
  <c r="O320" i="10"/>
  <c r="N320" i="10"/>
  <c r="M320" i="10"/>
  <c r="L320" i="10"/>
  <c r="K320" i="10"/>
  <c r="J320" i="10"/>
  <c r="I320" i="10"/>
  <c r="G320" i="10"/>
  <c r="F320" i="10"/>
  <c r="E320" i="10"/>
  <c r="D320" i="10"/>
  <c r="C320" i="10"/>
  <c r="B320" i="10"/>
  <c r="A320" i="10"/>
  <c r="P319" i="10"/>
  <c r="O319" i="10"/>
  <c r="N319" i="10"/>
  <c r="M319" i="10"/>
  <c r="L319" i="10"/>
  <c r="K319" i="10"/>
  <c r="J319" i="10"/>
  <c r="I319" i="10"/>
  <c r="G319" i="10"/>
  <c r="F319" i="10"/>
  <c r="E319" i="10"/>
  <c r="D319" i="10"/>
  <c r="C319" i="10"/>
  <c r="B319" i="10"/>
  <c r="A319" i="10"/>
  <c r="P318" i="10"/>
  <c r="O318" i="10"/>
  <c r="N318" i="10"/>
  <c r="M318" i="10"/>
  <c r="L318" i="10"/>
  <c r="K318" i="10"/>
  <c r="J318" i="10"/>
  <c r="I318" i="10"/>
  <c r="G318" i="10"/>
  <c r="H318" i="10" s="1"/>
  <c r="F318" i="10"/>
  <c r="E318" i="10"/>
  <c r="D318" i="10"/>
  <c r="C318" i="10"/>
  <c r="B318" i="10"/>
  <c r="A318" i="10"/>
  <c r="P317" i="10"/>
  <c r="O317" i="10"/>
  <c r="N317" i="10"/>
  <c r="M317" i="10"/>
  <c r="L317" i="10"/>
  <c r="K317" i="10"/>
  <c r="J317" i="10"/>
  <c r="I317" i="10"/>
  <c r="G317" i="10"/>
  <c r="F317" i="10"/>
  <c r="E317" i="10"/>
  <c r="D317" i="10"/>
  <c r="C317" i="10"/>
  <c r="B317" i="10"/>
  <c r="A317" i="10"/>
  <c r="P316" i="10"/>
  <c r="O316" i="10"/>
  <c r="N316" i="10"/>
  <c r="M316" i="10"/>
  <c r="L316" i="10"/>
  <c r="K316" i="10"/>
  <c r="J316" i="10"/>
  <c r="I316" i="10"/>
  <c r="G316" i="10"/>
  <c r="F316" i="10"/>
  <c r="E316" i="10"/>
  <c r="D316" i="10"/>
  <c r="C316" i="10"/>
  <c r="B316" i="10"/>
  <c r="A316" i="10"/>
  <c r="P315" i="10"/>
  <c r="O315" i="10"/>
  <c r="N315" i="10"/>
  <c r="M315" i="10"/>
  <c r="L315" i="10"/>
  <c r="K315" i="10"/>
  <c r="J315" i="10"/>
  <c r="I315" i="10"/>
  <c r="G315" i="10"/>
  <c r="F315" i="10"/>
  <c r="E315" i="10"/>
  <c r="D315" i="10"/>
  <c r="C315" i="10"/>
  <c r="B315" i="10"/>
  <c r="A315" i="10"/>
  <c r="P314" i="10"/>
  <c r="O314" i="10"/>
  <c r="N314" i="10"/>
  <c r="M314" i="10"/>
  <c r="L314" i="10"/>
  <c r="K314" i="10"/>
  <c r="J314" i="10"/>
  <c r="I314" i="10"/>
  <c r="G314" i="10"/>
  <c r="F314" i="10"/>
  <c r="E314" i="10"/>
  <c r="D314" i="10"/>
  <c r="C314" i="10"/>
  <c r="B314" i="10"/>
  <c r="A314" i="10"/>
  <c r="P313" i="10"/>
  <c r="O313" i="10"/>
  <c r="N313" i="10"/>
  <c r="M313" i="10"/>
  <c r="L313" i="10"/>
  <c r="K313" i="10"/>
  <c r="J313" i="10"/>
  <c r="I313" i="10"/>
  <c r="G313" i="10"/>
  <c r="F313" i="10"/>
  <c r="E313" i="10"/>
  <c r="D313" i="10"/>
  <c r="C313" i="10"/>
  <c r="B313" i="10"/>
  <c r="A313" i="10"/>
  <c r="P312" i="10"/>
  <c r="O312" i="10"/>
  <c r="N312" i="10"/>
  <c r="M312" i="10"/>
  <c r="L312" i="10"/>
  <c r="K312" i="10"/>
  <c r="J312" i="10"/>
  <c r="I312" i="10"/>
  <c r="G312" i="10"/>
  <c r="F312" i="10"/>
  <c r="E312" i="10"/>
  <c r="D312" i="10"/>
  <c r="C312" i="10"/>
  <c r="B312" i="10"/>
  <c r="A312" i="10"/>
  <c r="P311" i="10"/>
  <c r="O311" i="10"/>
  <c r="N311" i="10"/>
  <c r="M311" i="10"/>
  <c r="L311" i="10"/>
  <c r="K311" i="10"/>
  <c r="J311" i="10"/>
  <c r="I311" i="10"/>
  <c r="G311" i="10"/>
  <c r="F311" i="10"/>
  <c r="E311" i="10"/>
  <c r="D311" i="10"/>
  <c r="C311" i="10"/>
  <c r="B311" i="10"/>
  <c r="A311" i="10"/>
  <c r="P310" i="10"/>
  <c r="O310" i="10"/>
  <c r="N310" i="10"/>
  <c r="M310" i="10"/>
  <c r="L310" i="10"/>
  <c r="K310" i="10"/>
  <c r="J310" i="10"/>
  <c r="I310" i="10"/>
  <c r="G310" i="10"/>
  <c r="H310" i="10" s="1"/>
  <c r="F310" i="10"/>
  <c r="E310" i="10"/>
  <c r="D310" i="10"/>
  <c r="C310" i="10"/>
  <c r="B310" i="10"/>
  <c r="A310" i="10"/>
  <c r="P309" i="10"/>
  <c r="O309" i="10"/>
  <c r="N309" i="10"/>
  <c r="M309" i="10"/>
  <c r="L309" i="10"/>
  <c r="K309" i="10"/>
  <c r="J309" i="10"/>
  <c r="I309" i="10"/>
  <c r="G309" i="10"/>
  <c r="F309" i="10"/>
  <c r="E309" i="10"/>
  <c r="D309" i="10"/>
  <c r="C309" i="10"/>
  <c r="B309" i="10"/>
  <c r="A309" i="10"/>
  <c r="P308" i="10"/>
  <c r="O308" i="10"/>
  <c r="N308" i="10"/>
  <c r="M308" i="10"/>
  <c r="L308" i="10"/>
  <c r="K308" i="10"/>
  <c r="J308" i="10"/>
  <c r="I308" i="10"/>
  <c r="G308" i="10"/>
  <c r="F308" i="10"/>
  <c r="E308" i="10"/>
  <c r="D308" i="10"/>
  <c r="C308" i="10"/>
  <c r="B308" i="10"/>
  <c r="A308" i="10"/>
  <c r="P307" i="10"/>
  <c r="O307" i="10"/>
  <c r="N307" i="10"/>
  <c r="M307" i="10"/>
  <c r="L307" i="10"/>
  <c r="K307" i="10"/>
  <c r="J307" i="10"/>
  <c r="I307" i="10"/>
  <c r="G307" i="10"/>
  <c r="F307" i="10"/>
  <c r="E307" i="10"/>
  <c r="D307" i="10"/>
  <c r="C307" i="10"/>
  <c r="B307" i="10"/>
  <c r="A307" i="10"/>
  <c r="P306" i="10"/>
  <c r="O306" i="10"/>
  <c r="N306" i="10"/>
  <c r="M306" i="10"/>
  <c r="L306" i="10"/>
  <c r="K306" i="10"/>
  <c r="J306" i="10"/>
  <c r="I306" i="10"/>
  <c r="G306" i="10"/>
  <c r="F306" i="10"/>
  <c r="E306" i="10"/>
  <c r="D306" i="10"/>
  <c r="C306" i="10"/>
  <c r="B306" i="10"/>
  <c r="A306" i="10"/>
  <c r="P305" i="10"/>
  <c r="O305" i="10"/>
  <c r="N305" i="10"/>
  <c r="M305" i="10"/>
  <c r="L305" i="10"/>
  <c r="K305" i="10"/>
  <c r="J305" i="10"/>
  <c r="I305" i="10"/>
  <c r="G305" i="10"/>
  <c r="F305" i="10"/>
  <c r="E305" i="10"/>
  <c r="D305" i="10"/>
  <c r="C305" i="10"/>
  <c r="B305" i="10"/>
  <c r="A305" i="10"/>
  <c r="P304" i="10"/>
  <c r="O304" i="10"/>
  <c r="N304" i="10"/>
  <c r="M304" i="10"/>
  <c r="L304" i="10"/>
  <c r="K304" i="10"/>
  <c r="J304" i="10"/>
  <c r="I304" i="10"/>
  <c r="G304" i="10"/>
  <c r="F304" i="10"/>
  <c r="E304" i="10"/>
  <c r="D304" i="10"/>
  <c r="C304" i="10"/>
  <c r="B304" i="10"/>
  <c r="A304" i="10"/>
  <c r="P303" i="10"/>
  <c r="O303" i="10"/>
  <c r="N303" i="10"/>
  <c r="M303" i="10"/>
  <c r="L303" i="10"/>
  <c r="K303" i="10"/>
  <c r="J303" i="10"/>
  <c r="I303" i="10"/>
  <c r="G303" i="10"/>
  <c r="F303" i="10"/>
  <c r="E303" i="10"/>
  <c r="D303" i="10"/>
  <c r="C303" i="10"/>
  <c r="B303" i="10"/>
  <c r="A303" i="10"/>
  <c r="P302" i="10"/>
  <c r="O302" i="10"/>
  <c r="N302" i="10"/>
  <c r="M302" i="10"/>
  <c r="L302" i="10"/>
  <c r="K302" i="10"/>
  <c r="J302" i="10"/>
  <c r="I302" i="10"/>
  <c r="G302" i="10"/>
  <c r="H302" i="10" s="1"/>
  <c r="F302" i="10"/>
  <c r="E302" i="10"/>
  <c r="D302" i="10"/>
  <c r="C302" i="10"/>
  <c r="B302" i="10"/>
  <c r="A302" i="10"/>
  <c r="P301" i="10"/>
  <c r="O301" i="10"/>
  <c r="N301" i="10"/>
  <c r="M301" i="10"/>
  <c r="L301" i="10"/>
  <c r="K301" i="10"/>
  <c r="J301" i="10"/>
  <c r="I301" i="10"/>
  <c r="G301" i="10"/>
  <c r="F301" i="10"/>
  <c r="E301" i="10"/>
  <c r="D301" i="10"/>
  <c r="C301" i="10"/>
  <c r="B301" i="10"/>
  <c r="A301" i="10"/>
  <c r="P300" i="10"/>
  <c r="O300" i="10"/>
  <c r="N300" i="10"/>
  <c r="M300" i="10"/>
  <c r="L300" i="10"/>
  <c r="K300" i="10"/>
  <c r="J300" i="10"/>
  <c r="I300" i="10"/>
  <c r="G300" i="10"/>
  <c r="F300" i="10"/>
  <c r="E300" i="10"/>
  <c r="D300" i="10"/>
  <c r="C300" i="10"/>
  <c r="B300" i="10"/>
  <c r="A300" i="10"/>
  <c r="P299" i="10"/>
  <c r="O299" i="10"/>
  <c r="N299" i="10"/>
  <c r="M299" i="10"/>
  <c r="L299" i="10"/>
  <c r="K299" i="10"/>
  <c r="J299" i="10"/>
  <c r="I299" i="10"/>
  <c r="G299" i="10"/>
  <c r="F299" i="10"/>
  <c r="E299" i="10"/>
  <c r="D299" i="10"/>
  <c r="C299" i="10"/>
  <c r="B299" i="10"/>
  <c r="A299" i="10"/>
  <c r="P298" i="10"/>
  <c r="O298" i="10"/>
  <c r="N298" i="10"/>
  <c r="M298" i="10"/>
  <c r="L298" i="10"/>
  <c r="K298" i="10"/>
  <c r="J298" i="10"/>
  <c r="I298" i="10"/>
  <c r="G298" i="10"/>
  <c r="F298" i="10"/>
  <c r="E298" i="10"/>
  <c r="D298" i="10"/>
  <c r="C298" i="10"/>
  <c r="B298" i="10"/>
  <c r="A298" i="10"/>
  <c r="P297" i="10"/>
  <c r="O297" i="10"/>
  <c r="N297" i="10"/>
  <c r="M297" i="10"/>
  <c r="L297" i="10"/>
  <c r="K297" i="10"/>
  <c r="J297" i="10"/>
  <c r="I297" i="10"/>
  <c r="G297" i="10"/>
  <c r="F297" i="10"/>
  <c r="E297" i="10"/>
  <c r="D297" i="10"/>
  <c r="C297" i="10"/>
  <c r="B297" i="10"/>
  <c r="A297" i="10"/>
  <c r="P296" i="10"/>
  <c r="O296" i="10"/>
  <c r="N296" i="10"/>
  <c r="M296" i="10"/>
  <c r="L296" i="10"/>
  <c r="K296" i="10"/>
  <c r="J296" i="10"/>
  <c r="I296" i="10"/>
  <c r="G296" i="10"/>
  <c r="F296" i="10"/>
  <c r="E296" i="10"/>
  <c r="D296" i="10"/>
  <c r="C296" i="10"/>
  <c r="B296" i="10"/>
  <c r="A296" i="10"/>
  <c r="P295" i="10"/>
  <c r="O295" i="10"/>
  <c r="N295" i="10"/>
  <c r="M295" i="10"/>
  <c r="L295" i="10"/>
  <c r="K295" i="10"/>
  <c r="J295" i="10"/>
  <c r="I295" i="10"/>
  <c r="G295" i="10"/>
  <c r="F295" i="10"/>
  <c r="E295" i="10"/>
  <c r="D295" i="10"/>
  <c r="C295" i="10"/>
  <c r="B295" i="10"/>
  <c r="A295" i="10"/>
  <c r="P294" i="10"/>
  <c r="O294" i="10"/>
  <c r="N294" i="10"/>
  <c r="M294" i="10"/>
  <c r="L294" i="10"/>
  <c r="K294" i="10"/>
  <c r="J294" i="10"/>
  <c r="I294" i="10"/>
  <c r="G294" i="10"/>
  <c r="H294" i="10" s="1"/>
  <c r="F294" i="10"/>
  <c r="E294" i="10"/>
  <c r="D294" i="10"/>
  <c r="C294" i="10"/>
  <c r="B294" i="10"/>
  <c r="A294" i="10"/>
  <c r="P293" i="10"/>
  <c r="O293" i="10"/>
  <c r="N293" i="10"/>
  <c r="M293" i="10"/>
  <c r="L293" i="10"/>
  <c r="K293" i="10"/>
  <c r="J293" i="10"/>
  <c r="I293" i="10"/>
  <c r="G293" i="10"/>
  <c r="F293" i="10"/>
  <c r="E293" i="10"/>
  <c r="D293" i="10"/>
  <c r="C293" i="10"/>
  <c r="B293" i="10"/>
  <c r="A293" i="10"/>
  <c r="P292" i="10"/>
  <c r="O292" i="10"/>
  <c r="N292" i="10"/>
  <c r="M292" i="10"/>
  <c r="L292" i="10"/>
  <c r="K292" i="10"/>
  <c r="J292" i="10"/>
  <c r="I292" i="10"/>
  <c r="G292" i="10"/>
  <c r="F292" i="10"/>
  <c r="E292" i="10"/>
  <c r="D292" i="10"/>
  <c r="C292" i="10"/>
  <c r="B292" i="10"/>
  <c r="A292" i="10"/>
  <c r="P291" i="10"/>
  <c r="O291" i="10"/>
  <c r="N291" i="10"/>
  <c r="M291" i="10"/>
  <c r="L291" i="10"/>
  <c r="K291" i="10"/>
  <c r="J291" i="10"/>
  <c r="I291" i="10"/>
  <c r="G291" i="10"/>
  <c r="F291" i="10"/>
  <c r="E291" i="10"/>
  <c r="D291" i="10"/>
  <c r="C291" i="10"/>
  <c r="B291" i="10"/>
  <c r="A291" i="10"/>
  <c r="P290" i="10"/>
  <c r="O290" i="10"/>
  <c r="N290" i="10"/>
  <c r="M290" i="10"/>
  <c r="L290" i="10"/>
  <c r="K290" i="10"/>
  <c r="J290" i="10"/>
  <c r="I290" i="10"/>
  <c r="G290" i="10"/>
  <c r="F290" i="10"/>
  <c r="E290" i="10"/>
  <c r="D290" i="10"/>
  <c r="C290" i="10"/>
  <c r="B290" i="10"/>
  <c r="A290" i="10"/>
  <c r="P289" i="10"/>
  <c r="O289" i="10"/>
  <c r="N289" i="10"/>
  <c r="M289" i="10"/>
  <c r="L289" i="10"/>
  <c r="K289" i="10"/>
  <c r="J289" i="10"/>
  <c r="I289" i="10"/>
  <c r="G289" i="10"/>
  <c r="F289" i="10"/>
  <c r="E289" i="10"/>
  <c r="D289" i="10"/>
  <c r="C289" i="10"/>
  <c r="B289" i="10"/>
  <c r="A289" i="10"/>
  <c r="P288" i="10"/>
  <c r="O288" i="10"/>
  <c r="N288" i="10"/>
  <c r="M288" i="10"/>
  <c r="L288" i="10"/>
  <c r="K288" i="10"/>
  <c r="J288" i="10"/>
  <c r="I288" i="10"/>
  <c r="G288" i="10"/>
  <c r="F288" i="10"/>
  <c r="E288" i="10"/>
  <c r="D288" i="10"/>
  <c r="C288" i="10"/>
  <c r="B288" i="10"/>
  <c r="A288" i="10"/>
  <c r="P287" i="10"/>
  <c r="O287" i="10"/>
  <c r="N287" i="10"/>
  <c r="M287" i="10"/>
  <c r="L287" i="10"/>
  <c r="K287" i="10"/>
  <c r="J287" i="10"/>
  <c r="I287" i="10"/>
  <c r="G287" i="10"/>
  <c r="F287" i="10"/>
  <c r="E287" i="10"/>
  <c r="D287" i="10"/>
  <c r="C287" i="10"/>
  <c r="B287" i="10"/>
  <c r="A287" i="10"/>
  <c r="P286" i="10"/>
  <c r="O286" i="10"/>
  <c r="N286" i="10"/>
  <c r="M286" i="10"/>
  <c r="L286" i="10"/>
  <c r="K286" i="10"/>
  <c r="J286" i="10"/>
  <c r="I286" i="10"/>
  <c r="G286" i="10"/>
  <c r="H286" i="10" s="1"/>
  <c r="F286" i="10"/>
  <c r="E286" i="10"/>
  <c r="D286" i="10"/>
  <c r="C286" i="10"/>
  <c r="B286" i="10"/>
  <c r="A286" i="10"/>
  <c r="P285" i="10"/>
  <c r="O285" i="10"/>
  <c r="N285" i="10"/>
  <c r="M285" i="10"/>
  <c r="L285" i="10"/>
  <c r="K285" i="10"/>
  <c r="J285" i="10"/>
  <c r="I285" i="10"/>
  <c r="G285" i="10"/>
  <c r="F285" i="10"/>
  <c r="E285" i="10"/>
  <c r="D285" i="10"/>
  <c r="C285" i="10"/>
  <c r="B285" i="10"/>
  <c r="A285" i="10"/>
  <c r="P284" i="10"/>
  <c r="O284" i="10"/>
  <c r="N284" i="10"/>
  <c r="M284" i="10"/>
  <c r="L284" i="10"/>
  <c r="K284" i="10"/>
  <c r="J284" i="10"/>
  <c r="I284" i="10"/>
  <c r="G284" i="10"/>
  <c r="F284" i="10"/>
  <c r="E284" i="10"/>
  <c r="D284" i="10"/>
  <c r="C284" i="10"/>
  <c r="B284" i="10"/>
  <c r="A284" i="10"/>
  <c r="P283" i="10"/>
  <c r="O283" i="10"/>
  <c r="N283" i="10"/>
  <c r="M283" i="10"/>
  <c r="L283" i="10"/>
  <c r="K283" i="10"/>
  <c r="J283" i="10"/>
  <c r="I283" i="10"/>
  <c r="G283" i="10"/>
  <c r="F283" i="10"/>
  <c r="E283" i="10"/>
  <c r="D283" i="10"/>
  <c r="C283" i="10"/>
  <c r="B283" i="10"/>
  <c r="A283" i="10"/>
  <c r="P282" i="10"/>
  <c r="O282" i="10"/>
  <c r="N282" i="10"/>
  <c r="M282" i="10"/>
  <c r="L282" i="10"/>
  <c r="K282" i="10"/>
  <c r="J282" i="10"/>
  <c r="I282" i="10"/>
  <c r="G282" i="10"/>
  <c r="F282" i="10"/>
  <c r="E282" i="10"/>
  <c r="D282" i="10"/>
  <c r="C282" i="10"/>
  <c r="B282" i="10"/>
  <c r="A282" i="10"/>
  <c r="P281" i="10"/>
  <c r="O281" i="10"/>
  <c r="N281" i="10"/>
  <c r="M281" i="10"/>
  <c r="L281" i="10"/>
  <c r="K281" i="10"/>
  <c r="J281" i="10"/>
  <c r="I281" i="10"/>
  <c r="G281" i="10"/>
  <c r="F281" i="10"/>
  <c r="E281" i="10"/>
  <c r="D281" i="10"/>
  <c r="C281" i="10"/>
  <c r="B281" i="10"/>
  <c r="A281" i="10"/>
  <c r="P280" i="10"/>
  <c r="O280" i="10"/>
  <c r="N280" i="10"/>
  <c r="M280" i="10"/>
  <c r="L280" i="10"/>
  <c r="K280" i="10"/>
  <c r="J280" i="10"/>
  <c r="I280" i="10"/>
  <c r="G280" i="10"/>
  <c r="F280" i="10"/>
  <c r="E280" i="10"/>
  <c r="D280" i="10"/>
  <c r="C280" i="10"/>
  <c r="B280" i="10"/>
  <c r="A280" i="10"/>
  <c r="P279" i="10"/>
  <c r="O279" i="10"/>
  <c r="N279" i="10"/>
  <c r="M279" i="10"/>
  <c r="L279" i="10"/>
  <c r="K279" i="10"/>
  <c r="J279" i="10"/>
  <c r="I279" i="10"/>
  <c r="G279" i="10"/>
  <c r="F279" i="10"/>
  <c r="E279" i="10"/>
  <c r="D279" i="10"/>
  <c r="C279" i="10"/>
  <c r="B279" i="10"/>
  <c r="A279" i="10"/>
  <c r="P278" i="10"/>
  <c r="O278" i="10"/>
  <c r="N278" i="10"/>
  <c r="M278" i="10"/>
  <c r="L278" i="10"/>
  <c r="K278" i="10"/>
  <c r="J278" i="10"/>
  <c r="I278" i="10"/>
  <c r="G278" i="10"/>
  <c r="H278" i="10" s="1"/>
  <c r="F278" i="10"/>
  <c r="E278" i="10"/>
  <c r="D278" i="10"/>
  <c r="C278" i="10"/>
  <c r="B278" i="10"/>
  <c r="A278" i="10"/>
  <c r="P277" i="10"/>
  <c r="O277" i="10"/>
  <c r="N277" i="10"/>
  <c r="M277" i="10"/>
  <c r="L277" i="10"/>
  <c r="K277" i="10"/>
  <c r="J277" i="10"/>
  <c r="I277" i="10"/>
  <c r="G277" i="10"/>
  <c r="F277" i="10"/>
  <c r="E277" i="10"/>
  <c r="D277" i="10"/>
  <c r="C277" i="10"/>
  <c r="B277" i="10"/>
  <c r="A277" i="10"/>
  <c r="P276" i="10"/>
  <c r="O276" i="10"/>
  <c r="N276" i="10"/>
  <c r="M276" i="10"/>
  <c r="L276" i="10"/>
  <c r="K276" i="10"/>
  <c r="J276" i="10"/>
  <c r="I276" i="10"/>
  <c r="G276" i="10"/>
  <c r="F276" i="10"/>
  <c r="E276" i="10"/>
  <c r="D276" i="10"/>
  <c r="C276" i="10"/>
  <c r="B276" i="10"/>
  <c r="A276" i="10"/>
  <c r="P275" i="10"/>
  <c r="O275" i="10"/>
  <c r="N275" i="10"/>
  <c r="M275" i="10"/>
  <c r="L275" i="10"/>
  <c r="K275" i="10"/>
  <c r="J275" i="10"/>
  <c r="I275" i="10"/>
  <c r="G275" i="10"/>
  <c r="F275" i="10"/>
  <c r="E275" i="10"/>
  <c r="D275" i="10"/>
  <c r="C275" i="10"/>
  <c r="B275" i="10"/>
  <c r="A275" i="10"/>
  <c r="P274" i="10"/>
  <c r="O274" i="10"/>
  <c r="N274" i="10"/>
  <c r="M274" i="10"/>
  <c r="L274" i="10"/>
  <c r="K274" i="10"/>
  <c r="J274" i="10"/>
  <c r="I274" i="10"/>
  <c r="G274" i="10"/>
  <c r="F274" i="10"/>
  <c r="E274" i="10"/>
  <c r="D274" i="10"/>
  <c r="C274" i="10"/>
  <c r="B274" i="10"/>
  <c r="A274" i="10"/>
  <c r="P273" i="10"/>
  <c r="O273" i="10"/>
  <c r="N273" i="10"/>
  <c r="M273" i="10"/>
  <c r="L273" i="10"/>
  <c r="K273" i="10"/>
  <c r="J273" i="10"/>
  <c r="I273" i="10"/>
  <c r="G273" i="10"/>
  <c r="F273" i="10"/>
  <c r="E273" i="10"/>
  <c r="D273" i="10"/>
  <c r="C273" i="10"/>
  <c r="B273" i="10"/>
  <c r="A273" i="10"/>
  <c r="P272" i="10"/>
  <c r="O272" i="10"/>
  <c r="N272" i="10"/>
  <c r="M272" i="10"/>
  <c r="L272" i="10"/>
  <c r="K272" i="10"/>
  <c r="J272" i="10"/>
  <c r="I272" i="10"/>
  <c r="G272" i="10"/>
  <c r="F272" i="10"/>
  <c r="E272" i="10"/>
  <c r="D272" i="10"/>
  <c r="C272" i="10"/>
  <c r="B272" i="10"/>
  <c r="A272" i="10"/>
  <c r="P271" i="10"/>
  <c r="O271" i="10"/>
  <c r="N271" i="10"/>
  <c r="M271" i="10"/>
  <c r="L271" i="10"/>
  <c r="K271" i="10"/>
  <c r="J271" i="10"/>
  <c r="I271" i="10"/>
  <c r="G271" i="10"/>
  <c r="F271" i="10"/>
  <c r="E271" i="10"/>
  <c r="D271" i="10"/>
  <c r="C271" i="10"/>
  <c r="B271" i="10"/>
  <c r="A271" i="10"/>
  <c r="P270" i="10"/>
  <c r="O270" i="10"/>
  <c r="N270" i="10"/>
  <c r="M270" i="10"/>
  <c r="L270" i="10"/>
  <c r="K270" i="10"/>
  <c r="J270" i="10"/>
  <c r="I270" i="10"/>
  <c r="G270" i="10"/>
  <c r="H270" i="10" s="1"/>
  <c r="F270" i="10"/>
  <c r="E270" i="10"/>
  <c r="D270" i="10"/>
  <c r="C270" i="10"/>
  <c r="B270" i="10"/>
  <c r="A270" i="10"/>
  <c r="P269" i="10"/>
  <c r="O269" i="10"/>
  <c r="N269" i="10"/>
  <c r="M269" i="10"/>
  <c r="L269" i="10"/>
  <c r="K269" i="10"/>
  <c r="J269" i="10"/>
  <c r="I269" i="10"/>
  <c r="G269" i="10"/>
  <c r="F269" i="10"/>
  <c r="E269" i="10"/>
  <c r="D269" i="10"/>
  <c r="C269" i="10"/>
  <c r="B269" i="10"/>
  <c r="A269" i="10"/>
  <c r="P268" i="10"/>
  <c r="O268" i="10"/>
  <c r="N268" i="10"/>
  <c r="M268" i="10"/>
  <c r="L268" i="10"/>
  <c r="K268" i="10"/>
  <c r="J268" i="10"/>
  <c r="I268" i="10"/>
  <c r="G268" i="10"/>
  <c r="F268" i="10"/>
  <c r="E268" i="10"/>
  <c r="D268" i="10"/>
  <c r="C268" i="10"/>
  <c r="B268" i="10"/>
  <c r="A268" i="10"/>
  <c r="P267" i="10"/>
  <c r="O267" i="10"/>
  <c r="N267" i="10"/>
  <c r="M267" i="10"/>
  <c r="L267" i="10"/>
  <c r="K267" i="10"/>
  <c r="J267" i="10"/>
  <c r="I267" i="10"/>
  <c r="G267" i="10"/>
  <c r="F267" i="10"/>
  <c r="E267" i="10"/>
  <c r="D267" i="10"/>
  <c r="C267" i="10"/>
  <c r="B267" i="10"/>
  <c r="A267" i="10"/>
  <c r="P266" i="10"/>
  <c r="O266" i="10"/>
  <c r="N266" i="10"/>
  <c r="M266" i="10"/>
  <c r="L266" i="10"/>
  <c r="K266" i="10"/>
  <c r="J266" i="10"/>
  <c r="I266" i="10"/>
  <c r="G266" i="10"/>
  <c r="F266" i="10"/>
  <c r="E266" i="10"/>
  <c r="D266" i="10"/>
  <c r="C266" i="10"/>
  <c r="B266" i="10"/>
  <c r="A266" i="10"/>
  <c r="P265" i="10"/>
  <c r="O265" i="10"/>
  <c r="N265" i="10"/>
  <c r="M265" i="10"/>
  <c r="L265" i="10"/>
  <c r="K265" i="10"/>
  <c r="J265" i="10"/>
  <c r="I265" i="10"/>
  <c r="G265" i="10"/>
  <c r="F265" i="10"/>
  <c r="E265" i="10"/>
  <c r="D265" i="10"/>
  <c r="C265" i="10"/>
  <c r="B265" i="10"/>
  <c r="A265" i="10"/>
  <c r="P264" i="10"/>
  <c r="O264" i="10"/>
  <c r="N264" i="10"/>
  <c r="M264" i="10"/>
  <c r="L264" i="10"/>
  <c r="K264" i="10"/>
  <c r="J264" i="10"/>
  <c r="I264" i="10"/>
  <c r="G264" i="10"/>
  <c r="F264" i="10"/>
  <c r="E264" i="10"/>
  <c r="D264" i="10"/>
  <c r="C264" i="10"/>
  <c r="B264" i="10"/>
  <c r="A264" i="10"/>
  <c r="P263" i="10"/>
  <c r="O263" i="10"/>
  <c r="N263" i="10"/>
  <c r="M263" i="10"/>
  <c r="L263" i="10"/>
  <c r="K263" i="10"/>
  <c r="J263" i="10"/>
  <c r="I263" i="10"/>
  <c r="G263" i="10"/>
  <c r="F263" i="10"/>
  <c r="E263" i="10"/>
  <c r="D263" i="10"/>
  <c r="C263" i="10"/>
  <c r="B263" i="10"/>
  <c r="A263" i="10"/>
  <c r="P262" i="10"/>
  <c r="O262" i="10"/>
  <c r="N262" i="10"/>
  <c r="M262" i="10"/>
  <c r="L262" i="10"/>
  <c r="K262" i="10"/>
  <c r="J262" i="10"/>
  <c r="I262" i="10"/>
  <c r="G262" i="10"/>
  <c r="H262" i="10" s="1"/>
  <c r="F262" i="10"/>
  <c r="E262" i="10"/>
  <c r="D262" i="10"/>
  <c r="C262" i="10"/>
  <c r="B262" i="10"/>
  <c r="A262" i="10"/>
  <c r="P261" i="10"/>
  <c r="O261" i="10"/>
  <c r="N261" i="10"/>
  <c r="M261" i="10"/>
  <c r="L261" i="10"/>
  <c r="K261" i="10"/>
  <c r="J261" i="10"/>
  <c r="I261" i="10"/>
  <c r="G261" i="10"/>
  <c r="F261" i="10"/>
  <c r="E261" i="10"/>
  <c r="D261" i="10"/>
  <c r="C261" i="10"/>
  <c r="B261" i="10"/>
  <c r="A261" i="10"/>
  <c r="P260" i="10"/>
  <c r="O260" i="10"/>
  <c r="N260" i="10"/>
  <c r="M260" i="10"/>
  <c r="L260" i="10"/>
  <c r="K260" i="10"/>
  <c r="J260" i="10"/>
  <c r="I260" i="10"/>
  <c r="G260" i="10"/>
  <c r="F260" i="10"/>
  <c r="E260" i="10"/>
  <c r="D260" i="10"/>
  <c r="C260" i="10"/>
  <c r="B260" i="10"/>
  <c r="A260" i="10"/>
  <c r="P259" i="10"/>
  <c r="O259" i="10"/>
  <c r="N259" i="10"/>
  <c r="M259" i="10"/>
  <c r="L259" i="10"/>
  <c r="K259" i="10"/>
  <c r="J259" i="10"/>
  <c r="I259" i="10"/>
  <c r="G259" i="10"/>
  <c r="F259" i="10"/>
  <c r="E259" i="10"/>
  <c r="D259" i="10"/>
  <c r="C259" i="10"/>
  <c r="B259" i="10"/>
  <c r="A259" i="10"/>
  <c r="P258" i="10"/>
  <c r="O258" i="10"/>
  <c r="N258" i="10"/>
  <c r="M258" i="10"/>
  <c r="L258" i="10"/>
  <c r="K258" i="10"/>
  <c r="J258" i="10"/>
  <c r="I258" i="10"/>
  <c r="G258" i="10"/>
  <c r="F258" i="10"/>
  <c r="E258" i="10"/>
  <c r="D258" i="10"/>
  <c r="C258" i="10"/>
  <c r="B258" i="10"/>
  <c r="A258" i="10"/>
  <c r="P257" i="10"/>
  <c r="O257" i="10"/>
  <c r="N257" i="10"/>
  <c r="M257" i="10"/>
  <c r="L257" i="10"/>
  <c r="K257" i="10"/>
  <c r="J257" i="10"/>
  <c r="I257" i="10"/>
  <c r="G257" i="10"/>
  <c r="F257" i="10"/>
  <c r="E257" i="10"/>
  <c r="D257" i="10"/>
  <c r="C257" i="10"/>
  <c r="B257" i="10"/>
  <c r="A257" i="10"/>
  <c r="P256" i="10"/>
  <c r="O256" i="10"/>
  <c r="N256" i="10"/>
  <c r="M256" i="10"/>
  <c r="L256" i="10"/>
  <c r="K256" i="10"/>
  <c r="J256" i="10"/>
  <c r="I256" i="10"/>
  <c r="G256" i="10"/>
  <c r="F256" i="10"/>
  <c r="E256" i="10"/>
  <c r="D256" i="10"/>
  <c r="C256" i="10"/>
  <c r="B256" i="10"/>
  <c r="A256" i="10"/>
  <c r="P255" i="10"/>
  <c r="O255" i="10"/>
  <c r="N255" i="10"/>
  <c r="M255" i="10"/>
  <c r="L255" i="10"/>
  <c r="K255" i="10"/>
  <c r="J255" i="10"/>
  <c r="I255" i="10"/>
  <c r="G255" i="10"/>
  <c r="F255" i="10"/>
  <c r="E255" i="10"/>
  <c r="D255" i="10"/>
  <c r="C255" i="10"/>
  <c r="B255" i="10"/>
  <c r="A255" i="10"/>
  <c r="P254" i="10"/>
  <c r="O254" i="10"/>
  <c r="N254" i="10"/>
  <c r="M254" i="10"/>
  <c r="L254" i="10"/>
  <c r="K254" i="10"/>
  <c r="J254" i="10"/>
  <c r="I254" i="10"/>
  <c r="G254" i="10"/>
  <c r="H254" i="10" s="1"/>
  <c r="F254" i="10"/>
  <c r="E254" i="10"/>
  <c r="D254" i="10"/>
  <c r="C254" i="10"/>
  <c r="B254" i="10"/>
  <c r="A254" i="10"/>
  <c r="P253" i="10"/>
  <c r="O253" i="10"/>
  <c r="N253" i="10"/>
  <c r="M253" i="10"/>
  <c r="L253" i="10"/>
  <c r="K253" i="10"/>
  <c r="J253" i="10"/>
  <c r="I253" i="10"/>
  <c r="G253" i="10"/>
  <c r="H253" i="10" s="1"/>
  <c r="F253" i="10"/>
  <c r="E253" i="10"/>
  <c r="D253" i="10"/>
  <c r="C253" i="10"/>
  <c r="B253" i="10"/>
  <c r="A253" i="10"/>
  <c r="P252" i="10"/>
  <c r="O252" i="10"/>
  <c r="N252" i="10"/>
  <c r="M252" i="10"/>
  <c r="L252" i="10"/>
  <c r="K252" i="10"/>
  <c r="J252" i="10"/>
  <c r="I252" i="10"/>
  <c r="G252" i="10"/>
  <c r="F252" i="10"/>
  <c r="E252" i="10"/>
  <c r="D252" i="10"/>
  <c r="C252" i="10"/>
  <c r="B252" i="10"/>
  <c r="A252" i="10"/>
  <c r="P251" i="10"/>
  <c r="O251" i="10"/>
  <c r="N251" i="10"/>
  <c r="M251" i="10"/>
  <c r="L251" i="10"/>
  <c r="K251" i="10"/>
  <c r="J251" i="10"/>
  <c r="I251" i="10"/>
  <c r="G251" i="10"/>
  <c r="H251" i="10" s="1"/>
  <c r="F251" i="10"/>
  <c r="E251" i="10"/>
  <c r="D251" i="10"/>
  <c r="C251" i="10"/>
  <c r="B251" i="10"/>
  <c r="A251" i="10"/>
  <c r="P250" i="10"/>
  <c r="O250" i="10"/>
  <c r="N250" i="10"/>
  <c r="M250" i="10"/>
  <c r="L250" i="10"/>
  <c r="K250" i="10"/>
  <c r="J250" i="10"/>
  <c r="I250" i="10"/>
  <c r="G250" i="10"/>
  <c r="H250" i="10" s="1"/>
  <c r="F250" i="10"/>
  <c r="E250" i="10"/>
  <c r="D250" i="10"/>
  <c r="C250" i="10"/>
  <c r="B250" i="10"/>
  <c r="A250" i="10"/>
  <c r="P249" i="10"/>
  <c r="O249" i="10"/>
  <c r="N249" i="10"/>
  <c r="M249" i="10"/>
  <c r="L249" i="10"/>
  <c r="K249" i="10"/>
  <c r="J249" i="10"/>
  <c r="I249" i="10"/>
  <c r="G249" i="10"/>
  <c r="F249" i="10"/>
  <c r="E249" i="10"/>
  <c r="D249" i="10"/>
  <c r="C249" i="10"/>
  <c r="B249" i="10"/>
  <c r="A249" i="10"/>
  <c r="P248" i="10"/>
  <c r="O248" i="10"/>
  <c r="N248" i="10"/>
  <c r="M248" i="10"/>
  <c r="L248" i="10"/>
  <c r="K248" i="10"/>
  <c r="J248" i="10"/>
  <c r="I248" i="10"/>
  <c r="G248" i="10"/>
  <c r="F248" i="10"/>
  <c r="E248" i="10"/>
  <c r="D248" i="10"/>
  <c r="C248" i="10"/>
  <c r="B248" i="10"/>
  <c r="A248" i="10"/>
  <c r="P247" i="10"/>
  <c r="O247" i="10"/>
  <c r="N247" i="10"/>
  <c r="M247" i="10"/>
  <c r="L247" i="10"/>
  <c r="K247" i="10"/>
  <c r="J247" i="10"/>
  <c r="I247" i="10"/>
  <c r="G247" i="10"/>
  <c r="F247" i="10"/>
  <c r="E247" i="10"/>
  <c r="D247" i="10"/>
  <c r="C247" i="10"/>
  <c r="B247" i="10"/>
  <c r="A247" i="10"/>
  <c r="P246" i="10"/>
  <c r="O246" i="10"/>
  <c r="N246" i="10"/>
  <c r="M246" i="10"/>
  <c r="L246" i="10"/>
  <c r="K246" i="10"/>
  <c r="J246" i="10"/>
  <c r="I246" i="10"/>
  <c r="G246" i="10"/>
  <c r="F246" i="10"/>
  <c r="E246" i="10"/>
  <c r="D246" i="10"/>
  <c r="C246" i="10"/>
  <c r="B246" i="10"/>
  <c r="A246" i="10"/>
  <c r="P245" i="10"/>
  <c r="O245" i="10"/>
  <c r="N245" i="10"/>
  <c r="M245" i="10"/>
  <c r="L245" i="10"/>
  <c r="K245" i="10"/>
  <c r="J245" i="10"/>
  <c r="I245" i="10"/>
  <c r="G245" i="10"/>
  <c r="H245" i="10" s="1"/>
  <c r="F245" i="10"/>
  <c r="E245" i="10"/>
  <c r="D245" i="10"/>
  <c r="C245" i="10"/>
  <c r="B245" i="10"/>
  <c r="A245" i="10"/>
  <c r="P244" i="10"/>
  <c r="O244" i="10"/>
  <c r="N244" i="10"/>
  <c r="M244" i="10"/>
  <c r="L244" i="10"/>
  <c r="K244" i="10"/>
  <c r="J244" i="10"/>
  <c r="I244" i="10"/>
  <c r="G244" i="10"/>
  <c r="F244" i="10"/>
  <c r="E244" i="10"/>
  <c r="D244" i="10"/>
  <c r="C244" i="10"/>
  <c r="B244" i="10"/>
  <c r="A244" i="10"/>
  <c r="P243" i="10"/>
  <c r="O243" i="10"/>
  <c r="N243" i="10"/>
  <c r="M243" i="10"/>
  <c r="L243" i="10"/>
  <c r="K243" i="10"/>
  <c r="J243" i="10"/>
  <c r="I243" i="10"/>
  <c r="G243" i="10"/>
  <c r="H243" i="10" s="1"/>
  <c r="F243" i="10"/>
  <c r="E243" i="10"/>
  <c r="D243" i="10"/>
  <c r="C243" i="10"/>
  <c r="B243" i="10"/>
  <c r="A243" i="10"/>
  <c r="P242" i="10"/>
  <c r="O242" i="10"/>
  <c r="N242" i="10"/>
  <c r="M242" i="10"/>
  <c r="L242" i="10"/>
  <c r="K242" i="10"/>
  <c r="J242" i="10"/>
  <c r="I242" i="10"/>
  <c r="G242" i="10"/>
  <c r="F242" i="10"/>
  <c r="E242" i="10"/>
  <c r="D242" i="10"/>
  <c r="C242" i="10"/>
  <c r="B242" i="10"/>
  <c r="A242" i="10"/>
  <c r="P241" i="10"/>
  <c r="O241" i="10"/>
  <c r="N241" i="10"/>
  <c r="M241" i="10"/>
  <c r="L241" i="10"/>
  <c r="K241" i="10"/>
  <c r="J241" i="10"/>
  <c r="I241" i="10"/>
  <c r="G241" i="10"/>
  <c r="F241" i="10"/>
  <c r="E241" i="10"/>
  <c r="D241" i="10"/>
  <c r="C241" i="10"/>
  <c r="B241" i="10"/>
  <c r="A241" i="10"/>
  <c r="P240" i="10"/>
  <c r="O240" i="10"/>
  <c r="N240" i="10"/>
  <c r="M240" i="10"/>
  <c r="L240" i="10"/>
  <c r="K240" i="10"/>
  <c r="J240" i="10"/>
  <c r="I240" i="10"/>
  <c r="G240" i="10"/>
  <c r="H240" i="10" s="1"/>
  <c r="F240" i="10"/>
  <c r="E240" i="10"/>
  <c r="D240" i="10"/>
  <c r="C240" i="10"/>
  <c r="B240" i="10"/>
  <c r="A240" i="10"/>
  <c r="P239" i="10"/>
  <c r="O239" i="10"/>
  <c r="N239" i="10"/>
  <c r="M239" i="10"/>
  <c r="L239" i="10"/>
  <c r="K239" i="10"/>
  <c r="J239" i="10"/>
  <c r="I239" i="10"/>
  <c r="G239" i="10"/>
  <c r="F239" i="10"/>
  <c r="E239" i="10"/>
  <c r="D239" i="10"/>
  <c r="C239" i="10"/>
  <c r="B239" i="10"/>
  <c r="A239" i="10"/>
  <c r="P238" i="10"/>
  <c r="O238" i="10"/>
  <c r="N238" i="10"/>
  <c r="M238" i="10"/>
  <c r="L238" i="10"/>
  <c r="K238" i="10"/>
  <c r="J238" i="10"/>
  <c r="I238" i="10"/>
  <c r="G238" i="10"/>
  <c r="F238" i="10"/>
  <c r="E238" i="10"/>
  <c r="D238" i="10"/>
  <c r="C238" i="10"/>
  <c r="B238" i="10"/>
  <c r="A238" i="10"/>
  <c r="P237" i="10"/>
  <c r="O237" i="10"/>
  <c r="N237" i="10"/>
  <c r="M237" i="10"/>
  <c r="L237" i="10"/>
  <c r="K237" i="10"/>
  <c r="J237" i="10"/>
  <c r="I237" i="10"/>
  <c r="G237" i="10"/>
  <c r="H237" i="10" s="1"/>
  <c r="F237" i="10"/>
  <c r="E237" i="10"/>
  <c r="D237" i="10"/>
  <c r="C237" i="10"/>
  <c r="B237" i="10"/>
  <c r="A237" i="10"/>
  <c r="P236" i="10"/>
  <c r="O236" i="10"/>
  <c r="N236" i="10"/>
  <c r="M236" i="10"/>
  <c r="L236" i="10"/>
  <c r="K236" i="10"/>
  <c r="J236" i="10"/>
  <c r="I236" i="10"/>
  <c r="G236" i="10"/>
  <c r="F236" i="10"/>
  <c r="E236" i="10"/>
  <c r="D236" i="10"/>
  <c r="C236" i="10"/>
  <c r="B236" i="10"/>
  <c r="A236" i="10"/>
  <c r="P235" i="10"/>
  <c r="O235" i="10"/>
  <c r="N235" i="10"/>
  <c r="M235" i="10"/>
  <c r="L235" i="10"/>
  <c r="K235" i="10"/>
  <c r="J235" i="10"/>
  <c r="I235" i="10"/>
  <c r="G235" i="10"/>
  <c r="H235" i="10" s="1"/>
  <c r="F235" i="10"/>
  <c r="E235" i="10"/>
  <c r="D235" i="10"/>
  <c r="C235" i="10"/>
  <c r="B235" i="10"/>
  <c r="A235" i="10"/>
  <c r="P234" i="10"/>
  <c r="O234" i="10"/>
  <c r="N234" i="10"/>
  <c r="M234" i="10"/>
  <c r="L234" i="10"/>
  <c r="K234" i="10"/>
  <c r="J234" i="10"/>
  <c r="I234" i="10"/>
  <c r="G234" i="10"/>
  <c r="F234" i="10"/>
  <c r="E234" i="10"/>
  <c r="D234" i="10"/>
  <c r="C234" i="10"/>
  <c r="B234" i="10"/>
  <c r="A234" i="10"/>
  <c r="P233" i="10"/>
  <c r="O233" i="10"/>
  <c r="N233" i="10"/>
  <c r="M233" i="10"/>
  <c r="L233" i="10"/>
  <c r="K233" i="10"/>
  <c r="J233" i="10"/>
  <c r="I233" i="10"/>
  <c r="G233" i="10"/>
  <c r="F233" i="10"/>
  <c r="E233" i="10"/>
  <c r="D233" i="10"/>
  <c r="C233" i="10"/>
  <c r="B233" i="10"/>
  <c r="A233" i="10"/>
  <c r="P232" i="10"/>
  <c r="O232" i="10"/>
  <c r="N232" i="10"/>
  <c r="M232" i="10"/>
  <c r="L232" i="10"/>
  <c r="K232" i="10"/>
  <c r="J232" i="10"/>
  <c r="I232" i="10"/>
  <c r="G232" i="10"/>
  <c r="F232" i="10"/>
  <c r="E232" i="10"/>
  <c r="D232" i="10"/>
  <c r="C232" i="10"/>
  <c r="B232" i="10"/>
  <c r="A232" i="10"/>
  <c r="P231" i="10"/>
  <c r="O231" i="10"/>
  <c r="N231" i="10"/>
  <c r="M231" i="10"/>
  <c r="L231" i="10"/>
  <c r="K231" i="10"/>
  <c r="J231" i="10"/>
  <c r="I231" i="10"/>
  <c r="G231" i="10"/>
  <c r="H231" i="10" s="1"/>
  <c r="F231" i="10"/>
  <c r="E231" i="10"/>
  <c r="D231" i="10"/>
  <c r="C231" i="10"/>
  <c r="B231" i="10"/>
  <c r="A231" i="10"/>
  <c r="P230" i="10"/>
  <c r="O230" i="10"/>
  <c r="N230" i="10"/>
  <c r="M230" i="10"/>
  <c r="L230" i="10"/>
  <c r="K230" i="10"/>
  <c r="J230" i="10"/>
  <c r="I230" i="10"/>
  <c r="G230" i="10"/>
  <c r="F230" i="10"/>
  <c r="E230" i="10"/>
  <c r="D230" i="10"/>
  <c r="C230" i="10"/>
  <c r="B230" i="10"/>
  <c r="A230" i="10"/>
  <c r="P229" i="10"/>
  <c r="O229" i="10"/>
  <c r="N229" i="10"/>
  <c r="M229" i="10"/>
  <c r="L229" i="10"/>
  <c r="K229" i="10"/>
  <c r="J229" i="10"/>
  <c r="I229" i="10"/>
  <c r="G229" i="10"/>
  <c r="H229" i="10" s="1"/>
  <c r="F229" i="10"/>
  <c r="E229" i="10"/>
  <c r="D229" i="10"/>
  <c r="C229" i="10"/>
  <c r="B229" i="10"/>
  <c r="A229" i="10"/>
  <c r="P228" i="10"/>
  <c r="O228" i="10"/>
  <c r="N228" i="10"/>
  <c r="M228" i="10"/>
  <c r="L228" i="10"/>
  <c r="K228" i="10"/>
  <c r="J228" i="10"/>
  <c r="I228" i="10"/>
  <c r="G228" i="10"/>
  <c r="F228" i="10"/>
  <c r="E228" i="10"/>
  <c r="D228" i="10"/>
  <c r="C228" i="10"/>
  <c r="B228" i="10"/>
  <c r="A228" i="10"/>
  <c r="P227" i="10"/>
  <c r="O227" i="10"/>
  <c r="N227" i="10"/>
  <c r="M227" i="10"/>
  <c r="L227" i="10"/>
  <c r="K227" i="10"/>
  <c r="J227" i="10"/>
  <c r="I227" i="10"/>
  <c r="G227" i="10"/>
  <c r="H227" i="10" s="1"/>
  <c r="F227" i="10"/>
  <c r="E227" i="10"/>
  <c r="D227" i="10"/>
  <c r="C227" i="10"/>
  <c r="B227" i="10"/>
  <c r="A227" i="10"/>
  <c r="P226" i="10"/>
  <c r="O226" i="10"/>
  <c r="N226" i="10"/>
  <c r="M226" i="10"/>
  <c r="L226" i="10"/>
  <c r="K226" i="10"/>
  <c r="J226" i="10"/>
  <c r="I226" i="10"/>
  <c r="G226" i="10"/>
  <c r="F226" i="10"/>
  <c r="E226" i="10"/>
  <c r="D226" i="10"/>
  <c r="C226" i="10"/>
  <c r="B226" i="10"/>
  <c r="A226" i="10"/>
  <c r="P225" i="10"/>
  <c r="O225" i="10"/>
  <c r="N225" i="10"/>
  <c r="M225" i="10"/>
  <c r="L225" i="10"/>
  <c r="K225" i="10"/>
  <c r="J225" i="10"/>
  <c r="I225" i="10"/>
  <c r="G225" i="10"/>
  <c r="F225" i="10"/>
  <c r="E225" i="10"/>
  <c r="D225" i="10"/>
  <c r="C225" i="10"/>
  <c r="B225" i="10"/>
  <c r="A225" i="10"/>
  <c r="P224" i="10"/>
  <c r="O224" i="10"/>
  <c r="N224" i="10"/>
  <c r="M224" i="10"/>
  <c r="L224" i="10"/>
  <c r="K224" i="10"/>
  <c r="J224" i="10"/>
  <c r="I224" i="10"/>
  <c r="G224" i="10"/>
  <c r="F224" i="10"/>
  <c r="E224" i="10"/>
  <c r="D224" i="10"/>
  <c r="C224" i="10"/>
  <c r="B224" i="10"/>
  <c r="A224" i="10"/>
  <c r="P223" i="10"/>
  <c r="O223" i="10"/>
  <c r="N223" i="10"/>
  <c r="M223" i="10"/>
  <c r="L223" i="10"/>
  <c r="K223" i="10"/>
  <c r="J223" i="10"/>
  <c r="I223" i="10"/>
  <c r="G223" i="10"/>
  <c r="H223" i="10" s="1"/>
  <c r="F223" i="10"/>
  <c r="E223" i="10"/>
  <c r="D223" i="10"/>
  <c r="C223" i="10"/>
  <c r="B223" i="10"/>
  <c r="A223" i="10"/>
  <c r="P222" i="10"/>
  <c r="O222" i="10"/>
  <c r="N222" i="10"/>
  <c r="M222" i="10"/>
  <c r="L222" i="10"/>
  <c r="K222" i="10"/>
  <c r="J222" i="10"/>
  <c r="I222" i="10"/>
  <c r="G222" i="10"/>
  <c r="F222" i="10"/>
  <c r="E222" i="10"/>
  <c r="D222" i="10"/>
  <c r="C222" i="10"/>
  <c r="B222" i="10"/>
  <c r="A222" i="10"/>
  <c r="P221" i="10"/>
  <c r="O221" i="10"/>
  <c r="N221" i="10"/>
  <c r="M221" i="10"/>
  <c r="L221" i="10"/>
  <c r="K221" i="10"/>
  <c r="J221" i="10"/>
  <c r="I221" i="10"/>
  <c r="G221" i="10"/>
  <c r="H221" i="10" s="1"/>
  <c r="F221" i="10"/>
  <c r="E221" i="10"/>
  <c r="D221" i="10"/>
  <c r="C221" i="10"/>
  <c r="B221" i="10"/>
  <c r="A221" i="10"/>
  <c r="P220" i="10"/>
  <c r="O220" i="10"/>
  <c r="N220" i="10"/>
  <c r="M220" i="10"/>
  <c r="L220" i="10"/>
  <c r="K220" i="10"/>
  <c r="J220" i="10"/>
  <c r="I220" i="10"/>
  <c r="G220" i="10"/>
  <c r="F220" i="10"/>
  <c r="E220" i="10"/>
  <c r="D220" i="10"/>
  <c r="C220" i="10"/>
  <c r="B220" i="10"/>
  <c r="A220" i="10"/>
  <c r="P219" i="10"/>
  <c r="O219" i="10"/>
  <c r="N219" i="10"/>
  <c r="M219" i="10"/>
  <c r="L219" i="10"/>
  <c r="K219" i="10"/>
  <c r="J219" i="10"/>
  <c r="I219" i="10"/>
  <c r="G219" i="10"/>
  <c r="H219" i="10" s="1"/>
  <c r="F219" i="10"/>
  <c r="E219" i="10"/>
  <c r="D219" i="10"/>
  <c r="C219" i="10"/>
  <c r="B219" i="10"/>
  <c r="A219" i="10"/>
  <c r="P218" i="10"/>
  <c r="O218" i="10"/>
  <c r="N218" i="10"/>
  <c r="M218" i="10"/>
  <c r="L218" i="10"/>
  <c r="K218" i="10"/>
  <c r="J218" i="10"/>
  <c r="I218" i="10"/>
  <c r="G218" i="10"/>
  <c r="F218" i="10"/>
  <c r="E218" i="10"/>
  <c r="D218" i="10"/>
  <c r="C218" i="10"/>
  <c r="B218" i="10"/>
  <c r="A218" i="10"/>
  <c r="P217" i="10"/>
  <c r="O217" i="10"/>
  <c r="N217" i="10"/>
  <c r="M217" i="10"/>
  <c r="L217" i="10"/>
  <c r="K217" i="10"/>
  <c r="J217" i="10"/>
  <c r="I217" i="10"/>
  <c r="G217" i="10"/>
  <c r="F217" i="10"/>
  <c r="E217" i="10"/>
  <c r="D217" i="10"/>
  <c r="C217" i="10"/>
  <c r="B217" i="10"/>
  <c r="A217" i="10"/>
  <c r="P216" i="10"/>
  <c r="O216" i="10"/>
  <c r="N216" i="10"/>
  <c r="M216" i="10"/>
  <c r="L216" i="10"/>
  <c r="K216" i="10"/>
  <c r="J216" i="10"/>
  <c r="I216" i="10"/>
  <c r="G216" i="10"/>
  <c r="H216" i="10" s="1"/>
  <c r="F216" i="10"/>
  <c r="E216" i="10"/>
  <c r="D216" i="10"/>
  <c r="C216" i="10"/>
  <c r="B216" i="10"/>
  <c r="A216" i="10"/>
  <c r="P215" i="10"/>
  <c r="O215" i="10"/>
  <c r="N215" i="10"/>
  <c r="M215" i="10"/>
  <c r="L215" i="10"/>
  <c r="K215" i="10"/>
  <c r="J215" i="10"/>
  <c r="I215" i="10"/>
  <c r="G215" i="10"/>
  <c r="H215" i="10" s="1"/>
  <c r="F215" i="10"/>
  <c r="E215" i="10"/>
  <c r="D215" i="10"/>
  <c r="C215" i="10"/>
  <c r="B215" i="10"/>
  <c r="A215" i="10"/>
  <c r="P214" i="10"/>
  <c r="O214" i="10"/>
  <c r="N214" i="10"/>
  <c r="M214" i="10"/>
  <c r="L214" i="10"/>
  <c r="K214" i="10"/>
  <c r="J214" i="10"/>
  <c r="I214" i="10"/>
  <c r="G214" i="10"/>
  <c r="F214" i="10"/>
  <c r="E214" i="10"/>
  <c r="D214" i="10"/>
  <c r="C214" i="10"/>
  <c r="B214" i="10"/>
  <c r="A214" i="10"/>
  <c r="P213" i="10"/>
  <c r="O213" i="10"/>
  <c r="N213" i="10"/>
  <c r="M213" i="10"/>
  <c r="L213" i="10"/>
  <c r="K213" i="10"/>
  <c r="J213" i="10"/>
  <c r="I213" i="10"/>
  <c r="G213" i="10"/>
  <c r="H213" i="10" s="1"/>
  <c r="F213" i="10"/>
  <c r="E213" i="10"/>
  <c r="D213" i="10"/>
  <c r="C213" i="10"/>
  <c r="B213" i="10"/>
  <c r="A213" i="10"/>
  <c r="P212" i="10"/>
  <c r="O212" i="10"/>
  <c r="N212" i="10"/>
  <c r="M212" i="10"/>
  <c r="L212" i="10"/>
  <c r="K212" i="10"/>
  <c r="J212" i="10"/>
  <c r="I212" i="10"/>
  <c r="G212" i="10"/>
  <c r="F212" i="10"/>
  <c r="E212" i="10"/>
  <c r="D212" i="10"/>
  <c r="C212" i="10"/>
  <c r="B212" i="10"/>
  <c r="A212" i="10"/>
  <c r="P211" i="10"/>
  <c r="O211" i="10"/>
  <c r="N211" i="10"/>
  <c r="M211" i="10"/>
  <c r="L211" i="10"/>
  <c r="K211" i="10"/>
  <c r="J211" i="10"/>
  <c r="I211" i="10"/>
  <c r="G211" i="10"/>
  <c r="H211" i="10" s="1"/>
  <c r="F211" i="10"/>
  <c r="E211" i="10"/>
  <c r="D211" i="10"/>
  <c r="C211" i="10"/>
  <c r="B211" i="10"/>
  <c r="A211" i="10"/>
  <c r="P210" i="10"/>
  <c r="O210" i="10"/>
  <c r="N210" i="10"/>
  <c r="M210" i="10"/>
  <c r="L210" i="10"/>
  <c r="K210" i="10"/>
  <c r="J210" i="10"/>
  <c r="I210" i="10"/>
  <c r="G210" i="10"/>
  <c r="F210" i="10"/>
  <c r="E210" i="10"/>
  <c r="D210" i="10"/>
  <c r="C210" i="10"/>
  <c r="B210" i="10"/>
  <c r="A210" i="10"/>
  <c r="P209" i="10"/>
  <c r="O209" i="10"/>
  <c r="N209" i="10"/>
  <c r="M209" i="10"/>
  <c r="L209" i="10"/>
  <c r="K209" i="10"/>
  <c r="J209" i="10"/>
  <c r="I209" i="10"/>
  <c r="G209" i="10"/>
  <c r="F209" i="10"/>
  <c r="E209" i="10"/>
  <c r="D209" i="10"/>
  <c r="C209" i="10"/>
  <c r="B209" i="10"/>
  <c r="A209" i="10"/>
  <c r="P208" i="10"/>
  <c r="O208" i="10"/>
  <c r="N208" i="10"/>
  <c r="M208" i="10"/>
  <c r="L208" i="10"/>
  <c r="K208" i="10"/>
  <c r="J208" i="10"/>
  <c r="I208" i="10"/>
  <c r="G208" i="10"/>
  <c r="H208" i="10" s="1"/>
  <c r="F208" i="10"/>
  <c r="E208" i="10"/>
  <c r="D208" i="10"/>
  <c r="C208" i="10"/>
  <c r="B208" i="10"/>
  <c r="A208" i="10"/>
  <c r="P207" i="10"/>
  <c r="O207" i="10"/>
  <c r="N207" i="10"/>
  <c r="M207" i="10"/>
  <c r="L207" i="10"/>
  <c r="K207" i="10"/>
  <c r="J207" i="10"/>
  <c r="I207" i="10"/>
  <c r="G207" i="10"/>
  <c r="H207" i="10" s="1"/>
  <c r="F207" i="10"/>
  <c r="E207" i="10"/>
  <c r="D207" i="10"/>
  <c r="C207" i="10"/>
  <c r="B207" i="10"/>
  <c r="A207" i="10"/>
  <c r="P206" i="10"/>
  <c r="O206" i="10"/>
  <c r="N206" i="10"/>
  <c r="M206" i="10"/>
  <c r="L206" i="10"/>
  <c r="K206" i="10"/>
  <c r="J206" i="10"/>
  <c r="I206" i="10"/>
  <c r="G206" i="10"/>
  <c r="F206" i="10"/>
  <c r="E206" i="10"/>
  <c r="D206" i="10"/>
  <c r="C206" i="10"/>
  <c r="B206" i="10"/>
  <c r="A206" i="10"/>
  <c r="P205" i="10"/>
  <c r="O205" i="10"/>
  <c r="N205" i="10"/>
  <c r="M205" i="10"/>
  <c r="L205" i="10"/>
  <c r="K205" i="10"/>
  <c r="J205" i="10"/>
  <c r="I205" i="10"/>
  <c r="G205" i="10"/>
  <c r="H205" i="10" s="1"/>
  <c r="F205" i="10"/>
  <c r="E205" i="10"/>
  <c r="D205" i="10"/>
  <c r="C205" i="10"/>
  <c r="B205" i="10"/>
  <c r="A205" i="10"/>
  <c r="P204" i="10"/>
  <c r="O204" i="10"/>
  <c r="N204" i="10"/>
  <c r="M204" i="10"/>
  <c r="L204" i="10"/>
  <c r="K204" i="10"/>
  <c r="J204" i="10"/>
  <c r="I204" i="10"/>
  <c r="G204" i="10"/>
  <c r="F204" i="10"/>
  <c r="E204" i="10"/>
  <c r="D204" i="10"/>
  <c r="C204" i="10"/>
  <c r="B204" i="10"/>
  <c r="A204" i="10"/>
  <c r="P203" i="10"/>
  <c r="O203" i="10"/>
  <c r="N203" i="10"/>
  <c r="M203" i="10"/>
  <c r="L203" i="10"/>
  <c r="K203" i="10"/>
  <c r="J203" i="10"/>
  <c r="I203" i="10"/>
  <c r="G203" i="10"/>
  <c r="H203" i="10" s="1"/>
  <c r="F203" i="10"/>
  <c r="E203" i="10"/>
  <c r="D203" i="10"/>
  <c r="C203" i="10"/>
  <c r="B203" i="10"/>
  <c r="A203" i="10"/>
  <c r="P202" i="10"/>
  <c r="O202" i="10"/>
  <c r="N202" i="10"/>
  <c r="M202" i="10"/>
  <c r="L202" i="10"/>
  <c r="K202" i="10"/>
  <c r="J202" i="10"/>
  <c r="I202" i="10"/>
  <c r="G202" i="10"/>
  <c r="F202" i="10"/>
  <c r="E202" i="10"/>
  <c r="D202" i="10"/>
  <c r="C202" i="10"/>
  <c r="B202" i="10"/>
  <c r="A202" i="10"/>
  <c r="P201" i="10"/>
  <c r="O201" i="10"/>
  <c r="N201" i="10"/>
  <c r="M201" i="10"/>
  <c r="L201" i="10"/>
  <c r="K201" i="10"/>
  <c r="J201" i="10"/>
  <c r="I201" i="10"/>
  <c r="G201" i="10"/>
  <c r="F201" i="10"/>
  <c r="E201" i="10"/>
  <c r="D201" i="10"/>
  <c r="C201" i="10"/>
  <c r="B201" i="10"/>
  <c r="A201" i="10"/>
  <c r="P200" i="10"/>
  <c r="O200" i="10"/>
  <c r="N200" i="10"/>
  <c r="M200" i="10"/>
  <c r="L200" i="10"/>
  <c r="K200" i="10"/>
  <c r="J200" i="10"/>
  <c r="I200" i="10"/>
  <c r="G200" i="10"/>
  <c r="H200" i="10" s="1"/>
  <c r="F200" i="10"/>
  <c r="E200" i="10"/>
  <c r="D200" i="10"/>
  <c r="C200" i="10"/>
  <c r="B200" i="10"/>
  <c r="A200" i="10"/>
  <c r="P199" i="10"/>
  <c r="O199" i="10"/>
  <c r="N199" i="10"/>
  <c r="M199" i="10"/>
  <c r="L199" i="10"/>
  <c r="K199" i="10"/>
  <c r="J199" i="10"/>
  <c r="I199" i="10"/>
  <c r="G199" i="10"/>
  <c r="F199" i="10"/>
  <c r="E199" i="10"/>
  <c r="D199" i="10"/>
  <c r="C199" i="10"/>
  <c r="B199" i="10"/>
  <c r="A199" i="10"/>
  <c r="P198" i="10"/>
  <c r="O198" i="10"/>
  <c r="N198" i="10"/>
  <c r="M198" i="10"/>
  <c r="L198" i="10"/>
  <c r="K198" i="10"/>
  <c r="J198" i="10"/>
  <c r="I198" i="10"/>
  <c r="G198" i="10"/>
  <c r="F198" i="10"/>
  <c r="E198" i="10"/>
  <c r="D198" i="10"/>
  <c r="C198" i="10"/>
  <c r="B198" i="10"/>
  <c r="A198" i="10"/>
  <c r="P197" i="10"/>
  <c r="O197" i="10"/>
  <c r="N197" i="10"/>
  <c r="M197" i="10"/>
  <c r="L197" i="10"/>
  <c r="K197" i="10"/>
  <c r="J197" i="10"/>
  <c r="I197" i="10"/>
  <c r="G197" i="10"/>
  <c r="H197" i="10" s="1"/>
  <c r="F197" i="10"/>
  <c r="E197" i="10"/>
  <c r="D197" i="10"/>
  <c r="C197" i="10"/>
  <c r="B197" i="10"/>
  <c r="A197" i="10"/>
  <c r="P196" i="10"/>
  <c r="O196" i="10"/>
  <c r="N196" i="10"/>
  <c r="M196" i="10"/>
  <c r="L196" i="10"/>
  <c r="K196" i="10"/>
  <c r="J196" i="10"/>
  <c r="I196" i="10"/>
  <c r="G196" i="10"/>
  <c r="F196" i="10"/>
  <c r="E196" i="10"/>
  <c r="D196" i="10"/>
  <c r="C196" i="10"/>
  <c r="B196" i="10"/>
  <c r="A196" i="10"/>
  <c r="P195" i="10"/>
  <c r="O195" i="10"/>
  <c r="N195" i="10"/>
  <c r="M195" i="10"/>
  <c r="L195" i="10"/>
  <c r="K195" i="10"/>
  <c r="J195" i="10"/>
  <c r="I195" i="10"/>
  <c r="G195" i="10"/>
  <c r="F195" i="10"/>
  <c r="E195" i="10"/>
  <c r="D195" i="10"/>
  <c r="C195" i="10"/>
  <c r="B195" i="10"/>
  <c r="A195" i="10"/>
  <c r="P194" i="10"/>
  <c r="O194" i="10"/>
  <c r="N194" i="10"/>
  <c r="M194" i="10"/>
  <c r="L194" i="10"/>
  <c r="K194" i="10"/>
  <c r="J194" i="10"/>
  <c r="I194" i="10"/>
  <c r="G194" i="10"/>
  <c r="F194" i="10"/>
  <c r="E194" i="10"/>
  <c r="D194" i="10"/>
  <c r="C194" i="10"/>
  <c r="B194" i="10"/>
  <c r="A194" i="10"/>
  <c r="P193" i="10"/>
  <c r="O193" i="10"/>
  <c r="N193" i="10"/>
  <c r="M193" i="10"/>
  <c r="L193" i="10"/>
  <c r="K193" i="10"/>
  <c r="J193" i="10"/>
  <c r="I193" i="10"/>
  <c r="G193" i="10"/>
  <c r="F193" i="10"/>
  <c r="E193" i="10"/>
  <c r="D193" i="10"/>
  <c r="C193" i="10"/>
  <c r="B193" i="10"/>
  <c r="A193" i="10"/>
  <c r="P192" i="10"/>
  <c r="O192" i="10"/>
  <c r="N192" i="10"/>
  <c r="M192" i="10"/>
  <c r="L192" i="10"/>
  <c r="K192" i="10"/>
  <c r="J192" i="10"/>
  <c r="I192" i="10"/>
  <c r="G192" i="10"/>
  <c r="H192" i="10" s="1"/>
  <c r="F192" i="10"/>
  <c r="E192" i="10"/>
  <c r="D192" i="10"/>
  <c r="C192" i="10"/>
  <c r="B192" i="10"/>
  <c r="A192" i="10"/>
  <c r="P191" i="10"/>
  <c r="O191" i="10"/>
  <c r="N191" i="10"/>
  <c r="M191" i="10"/>
  <c r="L191" i="10"/>
  <c r="K191" i="10"/>
  <c r="J191" i="10"/>
  <c r="I191" i="10"/>
  <c r="G191" i="10"/>
  <c r="F191" i="10"/>
  <c r="E191" i="10"/>
  <c r="D191" i="10"/>
  <c r="C191" i="10"/>
  <c r="B191" i="10"/>
  <c r="A191" i="10"/>
  <c r="P190" i="10"/>
  <c r="O190" i="10"/>
  <c r="N190" i="10"/>
  <c r="M190" i="10"/>
  <c r="L190" i="10"/>
  <c r="K190" i="10"/>
  <c r="J190" i="10"/>
  <c r="I190" i="10"/>
  <c r="G190" i="10"/>
  <c r="F190" i="10"/>
  <c r="E190" i="10"/>
  <c r="D190" i="10"/>
  <c r="C190" i="10"/>
  <c r="B190" i="10"/>
  <c r="A190" i="10"/>
  <c r="P189" i="10"/>
  <c r="O189" i="10"/>
  <c r="N189" i="10"/>
  <c r="M189" i="10"/>
  <c r="L189" i="10"/>
  <c r="K189" i="10"/>
  <c r="J189" i="10"/>
  <c r="I189" i="10"/>
  <c r="G189" i="10"/>
  <c r="H189" i="10" s="1"/>
  <c r="F189" i="10"/>
  <c r="E189" i="10"/>
  <c r="D189" i="10"/>
  <c r="C189" i="10"/>
  <c r="B189" i="10"/>
  <c r="A189" i="10"/>
  <c r="P188" i="10"/>
  <c r="O188" i="10"/>
  <c r="N188" i="10"/>
  <c r="M188" i="10"/>
  <c r="L188" i="10"/>
  <c r="K188" i="10"/>
  <c r="J188" i="10"/>
  <c r="I188" i="10"/>
  <c r="G188" i="10"/>
  <c r="F188" i="10"/>
  <c r="E188" i="10"/>
  <c r="D188" i="10"/>
  <c r="C188" i="10"/>
  <c r="B188" i="10"/>
  <c r="A188" i="10"/>
  <c r="P187" i="10"/>
  <c r="O187" i="10"/>
  <c r="N187" i="10"/>
  <c r="M187" i="10"/>
  <c r="L187" i="10"/>
  <c r="K187" i="10"/>
  <c r="J187" i="10"/>
  <c r="I187" i="10"/>
  <c r="G187" i="10"/>
  <c r="H187" i="10" s="1"/>
  <c r="F187" i="10"/>
  <c r="E187" i="10"/>
  <c r="D187" i="10"/>
  <c r="C187" i="10"/>
  <c r="B187" i="10"/>
  <c r="A187" i="10"/>
  <c r="P186" i="10"/>
  <c r="O186" i="10"/>
  <c r="N186" i="10"/>
  <c r="M186" i="10"/>
  <c r="L186" i="10"/>
  <c r="K186" i="10"/>
  <c r="J186" i="10"/>
  <c r="I186" i="10"/>
  <c r="G186" i="10"/>
  <c r="F186" i="10"/>
  <c r="E186" i="10"/>
  <c r="D186" i="10"/>
  <c r="C186" i="10"/>
  <c r="B186" i="10"/>
  <c r="A186" i="10"/>
  <c r="P185" i="10"/>
  <c r="O185" i="10"/>
  <c r="N185" i="10"/>
  <c r="M185" i="10"/>
  <c r="L185" i="10"/>
  <c r="K185" i="10"/>
  <c r="J185" i="10"/>
  <c r="I185" i="10"/>
  <c r="G185" i="10"/>
  <c r="F185" i="10"/>
  <c r="E185" i="10"/>
  <c r="D185" i="10"/>
  <c r="C185" i="10"/>
  <c r="B185" i="10"/>
  <c r="A185" i="10"/>
  <c r="P184" i="10"/>
  <c r="O184" i="10"/>
  <c r="N184" i="10"/>
  <c r="M184" i="10"/>
  <c r="L184" i="10"/>
  <c r="K184" i="10"/>
  <c r="J184" i="10"/>
  <c r="I184" i="10"/>
  <c r="G184" i="10"/>
  <c r="F184" i="10"/>
  <c r="E184" i="10"/>
  <c r="D184" i="10"/>
  <c r="C184" i="10"/>
  <c r="B184" i="10"/>
  <c r="A184" i="10"/>
  <c r="P183" i="10"/>
  <c r="O183" i="10"/>
  <c r="N183" i="10"/>
  <c r="M183" i="10"/>
  <c r="L183" i="10"/>
  <c r="K183" i="10"/>
  <c r="J183" i="10"/>
  <c r="I183" i="10"/>
  <c r="G183" i="10"/>
  <c r="F183" i="10"/>
  <c r="E183" i="10"/>
  <c r="D183" i="10"/>
  <c r="C183" i="10"/>
  <c r="B183" i="10"/>
  <c r="A183" i="10"/>
  <c r="P182" i="10"/>
  <c r="O182" i="10"/>
  <c r="N182" i="10"/>
  <c r="M182" i="10"/>
  <c r="L182" i="10"/>
  <c r="K182" i="10"/>
  <c r="J182" i="10"/>
  <c r="I182" i="10"/>
  <c r="G182" i="10"/>
  <c r="F182" i="10"/>
  <c r="E182" i="10"/>
  <c r="D182" i="10"/>
  <c r="C182" i="10"/>
  <c r="B182" i="10"/>
  <c r="A182" i="10"/>
  <c r="P181" i="10"/>
  <c r="O181" i="10"/>
  <c r="N181" i="10"/>
  <c r="M181" i="10"/>
  <c r="L181" i="10"/>
  <c r="K181" i="10"/>
  <c r="J181" i="10"/>
  <c r="I181" i="10"/>
  <c r="G181" i="10"/>
  <c r="H181" i="10" s="1"/>
  <c r="F181" i="10"/>
  <c r="E181" i="10"/>
  <c r="D181" i="10"/>
  <c r="C181" i="10"/>
  <c r="B181" i="10"/>
  <c r="A181" i="10"/>
  <c r="P180" i="10"/>
  <c r="O180" i="10"/>
  <c r="N180" i="10"/>
  <c r="M180" i="10"/>
  <c r="L180" i="10"/>
  <c r="K180" i="10"/>
  <c r="J180" i="10"/>
  <c r="I180" i="10"/>
  <c r="G180" i="10"/>
  <c r="F180" i="10"/>
  <c r="E180" i="10"/>
  <c r="D180" i="10"/>
  <c r="C180" i="10"/>
  <c r="B180" i="10"/>
  <c r="A180" i="10"/>
  <c r="P179" i="10"/>
  <c r="O179" i="10"/>
  <c r="N179" i="10"/>
  <c r="M179" i="10"/>
  <c r="L179" i="10"/>
  <c r="K179" i="10"/>
  <c r="J179" i="10"/>
  <c r="I179" i="10"/>
  <c r="G179" i="10"/>
  <c r="H179" i="10" s="1"/>
  <c r="F179" i="10"/>
  <c r="E179" i="10"/>
  <c r="D179" i="10"/>
  <c r="C179" i="10"/>
  <c r="B179" i="10"/>
  <c r="A179" i="10"/>
  <c r="P178" i="10"/>
  <c r="O178" i="10"/>
  <c r="N178" i="10"/>
  <c r="M178" i="10"/>
  <c r="L178" i="10"/>
  <c r="K178" i="10"/>
  <c r="J178" i="10"/>
  <c r="I178" i="10"/>
  <c r="G178" i="10"/>
  <c r="F178" i="10"/>
  <c r="E178" i="10"/>
  <c r="D178" i="10"/>
  <c r="C178" i="10"/>
  <c r="B178" i="10"/>
  <c r="A178" i="10"/>
  <c r="P177" i="10"/>
  <c r="O177" i="10"/>
  <c r="N177" i="10"/>
  <c r="M177" i="10"/>
  <c r="L177" i="10"/>
  <c r="K177" i="10"/>
  <c r="J177" i="10"/>
  <c r="I177" i="10"/>
  <c r="G177" i="10"/>
  <c r="F177" i="10"/>
  <c r="E177" i="10"/>
  <c r="D177" i="10"/>
  <c r="C177" i="10"/>
  <c r="B177" i="10"/>
  <c r="A177" i="10"/>
  <c r="P176" i="10"/>
  <c r="O176" i="10"/>
  <c r="N176" i="10"/>
  <c r="M176" i="10"/>
  <c r="L176" i="10"/>
  <c r="K176" i="10"/>
  <c r="J176" i="10"/>
  <c r="I176" i="10"/>
  <c r="G176" i="10"/>
  <c r="F176" i="10"/>
  <c r="E176" i="10"/>
  <c r="D176" i="10"/>
  <c r="C176" i="10"/>
  <c r="B176" i="10"/>
  <c r="A176" i="10"/>
  <c r="P175" i="10"/>
  <c r="O175" i="10"/>
  <c r="N175" i="10"/>
  <c r="M175" i="10"/>
  <c r="L175" i="10"/>
  <c r="K175" i="10"/>
  <c r="J175" i="10"/>
  <c r="I175" i="10"/>
  <c r="G175" i="10"/>
  <c r="F175" i="10"/>
  <c r="E175" i="10"/>
  <c r="D175" i="10"/>
  <c r="C175" i="10"/>
  <c r="B175" i="10"/>
  <c r="A175" i="10"/>
  <c r="P174" i="10"/>
  <c r="O174" i="10"/>
  <c r="N174" i="10"/>
  <c r="M174" i="10"/>
  <c r="L174" i="10"/>
  <c r="K174" i="10"/>
  <c r="J174" i="10"/>
  <c r="I174" i="10"/>
  <c r="G174" i="10"/>
  <c r="F174" i="10"/>
  <c r="E174" i="10"/>
  <c r="D174" i="10"/>
  <c r="C174" i="10"/>
  <c r="B174" i="10"/>
  <c r="A174" i="10"/>
  <c r="P173" i="10"/>
  <c r="O173" i="10"/>
  <c r="N173" i="10"/>
  <c r="M173" i="10"/>
  <c r="L173" i="10"/>
  <c r="K173" i="10"/>
  <c r="J173" i="10"/>
  <c r="I173" i="10"/>
  <c r="G173" i="10"/>
  <c r="H173" i="10" s="1"/>
  <c r="F173" i="10"/>
  <c r="E173" i="10"/>
  <c r="D173" i="10"/>
  <c r="C173" i="10"/>
  <c r="B173" i="10"/>
  <c r="A173" i="10"/>
  <c r="P172" i="10"/>
  <c r="O172" i="10"/>
  <c r="N172" i="10"/>
  <c r="M172" i="10"/>
  <c r="L172" i="10"/>
  <c r="K172" i="10"/>
  <c r="J172" i="10"/>
  <c r="I172" i="10"/>
  <c r="G172" i="10"/>
  <c r="F172" i="10"/>
  <c r="E172" i="10"/>
  <c r="D172" i="10"/>
  <c r="C172" i="10"/>
  <c r="B172" i="10"/>
  <c r="A172" i="10"/>
  <c r="P171" i="10"/>
  <c r="O171" i="10"/>
  <c r="N171" i="10"/>
  <c r="M171" i="10"/>
  <c r="L171" i="10"/>
  <c r="K171" i="10"/>
  <c r="J171" i="10"/>
  <c r="I171" i="10"/>
  <c r="G171" i="10"/>
  <c r="H171" i="10" s="1"/>
  <c r="F171" i="10"/>
  <c r="E171" i="10"/>
  <c r="D171" i="10"/>
  <c r="C171" i="10"/>
  <c r="B171" i="10"/>
  <c r="A171" i="10"/>
  <c r="P170" i="10"/>
  <c r="O170" i="10"/>
  <c r="N170" i="10"/>
  <c r="M170" i="10"/>
  <c r="L170" i="10"/>
  <c r="K170" i="10"/>
  <c r="J170" i="10"/>
  <c r="I170" i="10"/>
  <c r="G170" i="10"/>
  <c r="F170" i="10"/>
  <c r="E170" i="10"/>
  <c r="D170" i="10"/>
  <c r="C170" i="10"/>
  <c r="B170" i="10"/>
  <c r="A170" i="10"/>
  <c r="P169" i="10"/>
  <c r="O169" i="10"/>
  <c r="N169" i="10"/>
  <c r="M169" i="10"/>
  <c r="L169" i="10"/>
  <c r="K169" i="10"/>
  <c r="J169" i="10"/>
  <c r="I169" i="10"/>
  <c r="G169" i="10"/>
  <c r="F169" i="10"/>
  <c r="E169" i="10"/>
  <c r="D169" i="10"/>
  <c r="C169" i="10"/>
  <c r="B169" i="10"/>
  <c r="A169" i="10"/>
  <c r="P168" i="10"/>
  <c r="O168" i="10"/>
  <c r="N168" i="10"/>
  <c r="M168" i="10"/>
  <c r="L168" i="10"/>
  <c r="K168" i="10"/>
  <c r="J168" i="10"/>
  <c r="I168" i="10"/>
  <c r="G168" i="10"/>
  <c r="F168" i="10"/>
  <c r="E168" i="10"/>
  <c r="D168" i="10"/>
  <c r="C168" i="10"/>
  <c r="B168" i="10"/>
  <c r="A168" i="10"/>
  <c r="P167" i="10"/>
  <c r="O167" i="10"/>
  <c r="N167" i="10"/>
  <c r="M167" i="10"/>
  <c r="L167" i="10"/>
  <c r="K167" i="10"/>
  <c r="J167" i="10"/>
  <c r="I167" i="10"/>
  <c r="G167" i="10"/>
  <c r="F167" i="10"/>
  <c r="E167" i="10"/>
  <c r="D167" i="10"/>
  <c r="C167" i="10"/>
  <c r="B167" i="10"/>
  <c r="A167" i="10"/>
  <c r="P166" i="10"/>
  <c r="O166" i="10"/>
  <c r="N166" i="10"/>
  <c r="M166" i="10"/>
  <c r="L166" i="10"/>
  <c r="K166" i="10"/>
  <c r="J166" i="10"/>
  <c r="I166" i="10"/>
  <c r="G166" i="10"/>
  <c r="F166" i="10"/>
  <c r="E166" i="10"/>
  <c r="D166" i="10"/>
  <c r="C166" i="10"/>
  <c r="B166" i="10"/>
  <c r="A166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3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2" i="10"/>
  <c r="H508" i="10" l="1"/>
  <c r="J26" i="13"/>
  <c r="E36" i="13"/>
  <c r="I39" i="13"/>
  <c r="G8" i="16"/>
  <c r="C63" i="16"/>
  <c r="H260" i="10"/>
  <c r="H268" i="10"/>
  <c r="H276" i="10"/>
  <c r="H284" i="10"/>
  <c r="H292" i="10"/>
  <c r="H300" i="10"/>
  <c r="H308" i="10"/>
  <c r="H316" i="10"/>
  <c r="H490" i="10"/>
  <c r="H498" i="10"/>
  <c r="H506" i="10"/>
  <c r="H514" i="10"/>
  <c r="H522" i="10"/>
  <c r="E66" i="13"/>
  <c r="B4" i="16"/>
  <c r="F58" i="16"/>
  <c r="C72" i="16"/>
  <c r="H169" i="10"/>
  <c r="H177" i="10"/>
  <c r="H185" i="10"/>
  <c r="H193" i="10"/>
  <c r="H201" i="10"/>
  <c r="H209" i="10"/>
  <c r="H217" i="10"/>
  <c r="H225" i="10"/>
  <c r="H233" i="10"/>
  <c r="H241" i="10"/>
  <c r="H249" i="10"/>
  <c r="H257" i="10"/>
  <c r="H265" i="10"/>
  <c r="H273" i="10"/>
  <c r="H281" i="10"/>
  <c r="H289" i="10"/>
  <c r="H297" i="10"/>
  <c r="H305" i="10"/>
  <c r="H313" i="10"/>
  <c r="H321" i="10"/>
  <c r="G32" i="16"/>
  <c r="F53" i="16"/>
  <c r="H168" i="10"/>
  <c r="H176" i="10"/>
  <c r="H184" i="10"/>
  <c r="H224" i="10"/>
  <c r="H232" i="10"/>
  <c r="H248" i="10"/>
  <c r="H256" i="10"/>
  <c r="H264" i="10"/>
  <c r="H272" i="10"/>
  <c r="H280" i="10"/>
  <c r="H288" i="10"/>
  <c r="F62" i="13"/>
  <c r="D20" i="16"/>
  <c r="H167" i="10"/>
  <c r="H175" i="10"/>
  <c r="H183" i="10"/>
  <c r="H191" i="10"/>
  <c r="H199" i="10"/>
  <c r="H239" i="10"/>
  <c r="H247" i="10"/>
  <c r="J28" i="13"/>
  <c r="H65" i="13"/>
  <c r="H172" i="10"/>
  <c r="H180" i="10"/>
  <c r="H188" i="10"/>
  <c r="H196" i="10"/>
  <c r="H204" i="10"/>
  <c r="H212" i="10"/>
  <c r="H220" i="10"/>
  <c r="H228" i="10"/>
  <c r="H236" i="10"/>
  <c r="H244" i="10"/>
  <c r="A10" i="17"/>
  <c r="H195" i="10"/>
  <c r="H170" i="10"/>
  <c r="H178" i="10"/>
  <c r="H186" i="10"/>
  <c r="H194" i="10"/>
  <c r="H202" i="10"/>
  <c r="H210" i="10"/>
  <c r="H218" i="10"/>
  <c r="H226" i="10"/>
  <c r="H234" i="10"/>
  <c r="H242" i="10"/>
  <c r="E10" i="17"/>
  <c r="H166" i="10"/>
  <c r="H174" i="10"/>
  <c r="H182" i="10"/>
  <c r="H190" i="10"/>
  <c r="H198" i="10"/>
  <c r="H206" i="10"/>
  <c r="H214" i="10"/>
  <c r="H222" i="10"/>
  <c r="H230" i="10"/>
  <c r="H238" i="10"/>
  <c r="H246" i="10"/>
  <c r="H252" i="10"/>
  <c r="H476" i="10"/>
  <c r="H484" i="10"/>
  <c r="H473" i="10"/>
  <c r="H481" i="10"/>
  <c r="H489" i="10"/>
  <c r="H255" i="10"/>
  <c r="H479" i="10"/>
  <c r="H487" i="10"/>
  <c r="H478" i="10"/>
  <c r="H486" i="10"/>
  <c r="H261" i="10"/>
  <c r="H269" i="10"/>
  <c r="H277" i="10"/>
  <c r="H285" i="10"/>
  <c r="H293" i="10"/>
  <c r="H301" i="10"/>
  <c r="H309" i="10"/>
  <c r="H317" i="10"/>
  <c r="H324" i="10"/>
  <c r="H332" i="10"/>
  <c r="H340" i="10"/>
  <c r="H348" i="10"/>
  <c r="H356" i="10"/>
  <c r="H357" i="10"/>
  <c r="H365" i="10"/>
  <c r="H373" i="10"/>
  <c r="H381" i="10"/>
  <c r="H494" i="10"/>
  <c r="H502" i="10"/>
  <c r="H510" i="10"/>
  <c r="H518" i="10"/>
  <c r="H526" i="10"/>
  <c r="J40" i="13"/>
  <c r="J64" i="13"/>
  <c r="H74" i="13"/>
  <c r="D72" i="16"/>
  <c r="F72" i="16"/>
  <c r="H259" i="10"/>
  <c r="H267" i="10"/>
  <c r="H275" i="10"/>
  <c r="H283" i="10"/>
  <c r="H291" i="10"/>
  <c r="H299" i="10"/>
  <c r="H307" i="10"/>
  <c r="H315" i="10"/>
  <c r="H363" i="10"/>
  <c r="H371" i="10"/>
  <c r="H379" i="10"/>
  <c r="H500" i="10"/>
  <c r="H516" i="10"/>
  <c r="H524" i="10"/>
  <c r="H46" i="13"/>
  <c r="E75" i="13"/>
  <c r="F36" i="16"/>
  <c r="D62" i="16"/>
  <c r="G68" i="16"/>
  <c r="H258" i="10"/>
  <c r="H266" i="10"/>
  <c r="H274" i="10"/>
  <c r="H282" i="10"/>
  <c r="H290" i="10"/>
  <c r="H298" i="10"/>
  <c r="H306" i="10"/>
  <c r="H314" i="10"/>
  <c r="H322" i="10"/>
  <c r="H491" i="10"/>
  <c r="H499" i="10"/>
  <c r="H507" i="10"/>
  <c r="H515" i="10"/>
  <c r="H523" i="10"/>
  <c r="F3" i="13"/>
  <c r="E11" i="13"/>
  <c r="G44" i="13"/>
  <c r="G36" i="16"/>
  <c r="H296" i="10"/>
  <c r="H304" i="10"/>
  <c r="H312" i="10"/>
  <c r="H320" i="10"/>
  <c r="G22" i="13"/>
  <c r="G47" i="13"/>
  <c r="B21" i="16"/>
  <c r="H263" i="10"/>
  <c r="H271" i="10"/>
  <c r="H279" i="10"/>
  <c r="H287" i="10"/>
  <c r="H295" i="10"/>
  <c r="H303" i="10"/>
  <c r="H311" i="10"/>
  <c r="H319" i="10"/>
  <c r="H359" i="10"/>
  <c r="H367" i="10"/>
  <c r="H375" i="10"/>
  <c r="H383" i="10"/>
  <c r="H391" i="10"/>
  <c r="H399" i="10"/>
  <c r="H407" i="10"/>
  <c r="H415" i="10"/>
  <c r="H423" i="10"/>
  <c r="H431" i="10"/>
  <c r="H439" i="10"/>
  <c r="H447" i="10"/>
  <c r="H455" i="10"/>
  <c r="H463" i="10"/>
  <c r="H471" i="10"/>
  <c r="H496" i="10"/>
  <c r="H504" i="10"/>
  <c r="H512" i="10"/>
  <c r="H520" i="10"/>
  <c r="H528" i="10"/>
  <c r="H536" i="10"/>
  <c r="H544" i="10"/>
  <c r="H552" i="10"/>
  <c r="H560" i="10"/>
  <c r="H568" i="10"/>
  <c r="H576" i="10"/>
  <c r="H584" i="10"/>
  <c r="H592" i="10"/>
  <c r="H600" i="10"/>
  <c r="H608" i="10"/>
  <c r="H616" i="10"/>
  <c r="H624" i="10"/>
  <c r="H632" i="10"/>
  <c r="H640" i="10"/>
  <c r="H648" i="10"/>
  <c r="H656" i="10"/>
  <c r="H664" i="10"/>
  <c r="H672" i="10"/>
  <c r="H680" i="10"/>
  <c r="H688" i="10"/>
  <c r="H696" i="10"/>
  <c r="H704" i="10"/>
  <c r="H712" i="10"/>
  <c r="H720" i="10"/>
  <c r="J9" i="13"/>
  <c r="F17" i="13"/>
  <c r="I79" i="13"/>
  <c r="B16" i="16"/>
  <c r="C21" i="16"/>
  <c r="E21" i="16" s="1"/>
  <c r="H362" i="10"/>
  <c r="H370" i="10"/>
  <c r="H378" i="10"/>
  <c r="H386" i="10"/>
  <c r="F40" i="13"/>
  <c r="I58" i="13"/>
  <c r="H64" i="13"/>
  <c r="F74" i="13"/>
  <c r="L74" i="13" s="1"/>
  <c r="N74" i="13" s="1"/>
  <c r="D6" i="16"/>
  <c r="F20" i="16"/>
  <c r="D24" i="16"/>
  <c r="C55" i="16"/>
  <c r="B60" i="16"/>
  <c r="H361" i="10"/>
  <c r="H369" i="10"/>
  <c r="H377" i="10"/>
  <c r="H385" i="10"/>
  <c r="H393" i="10"/>
  <c r="H401" i="10"/>
  <c r="H409" i="10"/>
  <c r="H417" i="10"/>
  <c r="H425" i="10"/>
  <c r="H433" i="10"/>
  <c r="H441" i="10"/>
  <c r="H449" i="10"/>
  <c r="H457" i="10"/>
  <c r="H465" i="10"/>
  <c r="J15" i="13"/>
  <c r="F58" i="13"/>
  <c r="I63" i="13"/>
  <c r="I74" i="13"/>
  <c r="G20" i="16"/>
  <c r="F34" i="16"/>
  <c r="C60" i="16"/>
  <c r="B69" i="16"/>
  <c r="H327" i="10"/>
  <c r="H335" i="10"/>
  <c r="H343" i="10"/>
  <c r="H351" i="10"/>
  <c r="H360" i="10"/>
  <c r="H368" i="10"/>
  <c r="H376" i="10"/>
  <c r="H384" i="10"/>
  <c r="H497" i="10"/>
  <c r="H505" i="10"/>
  <c r="H513" i="10"/>
  <c r="H521" i="10"/>
  <c r="H529" i="10"/>
  <c r="H537" i="10"/>
  <c r="H545" i="10"/>
  <c r="H553" i="10"/>
  <c r="H561" i="10"/>
  <c r="H569" i="10"/>
  <c r="H577" i="10"/>
  <c r="H585" i="10"/>
  <c r="H593" i="10"/>
  <c r="H601" i="10"/>
  <c r="H609" i="10"/>
  <c r="H617" i="10"/>
  <c r="H625" i="10"/>
  <c r="H633" i="10"/>
  <c r="H641" i="10"/>
  <c r="H649" i="10"/>
  <c r="H657" i="10"/>
  <c r="H665" i="10"/>
  <c r="H673" i="10"/>
  <c r="H681" i="10"/>
  <c r="H689" i="10"/>
  <c r="H697" i="10"/>
  <c r="H705" i="10"/>
  <c r="H713" i="10"/>
  <c r="H721" i="10"/>
  <c r="H6" i="13"/>
  <c r="I15" i="13"/>
  <c r="J20" i="13"/>
  <c r="I29" i="13"/>
  <c r="E34" i="13"/>
  <c r="I41" i="13"/>
  <c r="J58" i="13"/>
  <c r="G63" i="13"/>
  <c r="K63" i="13" s="1"/>
  <c r="M63" i="13" s="1"/>
  <c r="F70" i="13"/>
  <c r="G77" i="13"/>
  <c r="C7" i="16"/>
  <c r="C31" i="16"/>
  <c r="F45" i="16"/>
  <c r="G56" i="16"/>
  <c r="D60" i="16"/>
  <c r="F69" i="16"/>
  <c r="C80" i="16"/>
  <c r="K29" i="13"/>
  <c r="M29" i="13" s="1"/>
  <c r="H325" i="10"/>
  <c r="H333" i="10"/>
  <c r="H341" i="10"/>
  <c r="H349" i="10"/>
  <c r="H358" i="10"/>
  <c r="H366" i="10"/>
  <c r="H374" i="10"/>
  <c r="H382" i="10"/>
  <c r="H390" i="10"/>
  <c r="H398" i="10"/>
  <c r="H406" i="10"/>
  <c r="H414" i="10"/>
  <c r="H422" i="10"/>
  <c r="H430" i="10"/>
  <c r="H438" i="10"/>
  <c r="H446" i="10"/>
  <c r="H454" i="10"/>
  <c r="H462" i="10"/>
  <c r="H470" i="10"/>
  <c r="H495" i="10"/>
  <c r="H503" i="10"/>
  <c r="H511" i="10"/>
  <c r="H519" i="10"/>
  <c r="H527" i="10"/>
  <c r="F9" i="13"/>
  <c r="H44" i="13"/>
  <c r="E46" i="13"/>
  <c r="D8" i="16"/>
  <c r="C13" i="16"/>
  <c r="F18" i="16"/>
  <c r="D27" i="16"/>
  <c r="B32" i="16"/>
  <c r="C53" i="16"/>
  <c r="B70" i="16"/>
  <c r="G9" i="13"/>
  <c r="H323" i="10"/>
  <c r="H331" i="10"/>
  <c r="H339" i="10"/>
  <c r="H347" i="10"/>
  <c r="H355" i="10"/>
  <c r="H364" i="10"/>
  <c r="H372" i="10"/>
  <c r="H380" i="10"/>
  <c r="H388" i="10"/>
  <c r="H396" i="10"/>
  <c r="H404" i="10"/>
  <c r="H412" i="10"/>
  <c r="H420" i="10"/>
  <c r="H428" i="10"/>
  <c r="H436" i="10"/>
  <c r="H444" i="10"/>
  <c r="H452" i="10"/>
  <c r="H460" i="10"/>
  <c r="H468" i="10"/>
  <c r="H493" i="10"/>
  <c r="H501" i="10"/>
  <c r="H509" i="10"/>
  <c r="H517" i="10"/>
  <c r="H525" i="10"/>
  <c r="H533" i="10"/>
  <c r="H541" i="10"/>
  <c r="H549" i="10"/>
  <c r="H557" i="10"/>
  <c r="H565" i="10"/>
  <c r="H573" i="10"/>
  <c r="H581" i="10"/>
  <c r="H589" i="10"/>
  <c r="H597" i="10"/>
  <c r="H605" i="10"/>
  <c r="H613" i="10"/>
  <c r="H621" i="10"/>
  <c r="H629" i="10"/>
  <c r="H637" i="10"/>
  <c r="H645" i="10"/>
  <c r="H653" i="10"/>
  <c r="H661" i="10"/>
  <c r="H669" i="10"/>
  <c r="H677" i="10"/>
  <c r="H685" i="10"/>
  <c r="H693" i="10"/>
  <c r="H701" i="10"/>
  <c r="H709" i="10"/>
  <c r="H717" i="10"/>
  <c r="H9" i="13"/>
  <c r="F19" i="13"/>
  <c r="E64" i="13"/>
  <c r="G66" i="13"/>
  <c r="G78" i="13"/>
  <c r="G48" i="16"/>
  <c r="B68" i="16"/>
  <c r="I50" i="13"/>
  <c r="J50" i="13"/>
  <c r="F50" i="13"/>
  <c r="F50" i="16"/>
  <c r="B50" i="16"/>
  <c r="C10" i="17"/>
  <c r="H326" i="10"/>
  <c r="H334" i="10"/>
  <c r="H342" i="10"/>
  <c r="H350" i="10"/>
  <c r="H4" i="13"/>
  <c r="G4" i="13"/>
  <c r="G7" i="13"/>
  <c r="G20" i="13"/>
  <c r="G43" i="13"/>
  <c r="J43" i="13"/>
  <c r="I43" i="13"/>
  <c r="H43" i="13"/>
  <c r="E43" i="13"/>
  <c r="I2" i="13"/>
  <c r="J2" i="13"/>
  <c r="H387" i="10"/>
  <c r="H395" i="10"/>
  <c r="H403" i="10"/>
  <c r="H411" i="10"/>
  <c r="H419" i="10"/>
  <c r="H427" i="10"/>
  <c r="H435" i="10"/>
  <c r="H443" i="10"/>
  <c r="H451" i="10"/>
  <c r="H459" i="10"/>
  <c r="H467" i="10"/>
  <c r="H14" i="13"/>
  <c r="E14" i="13"/>
  <c r="I23" i="13"/>
  <c r="J23" i="13"/>
  <c r="G3" i="16"/>
  <c r="D3" i="16"/>
  <c r="C7" i="17"/>
  <c r="H394" i="10"/>
  <c r="H402" i="10"/>
  <c r="H410" i="10"/>
  <c r="H418" i="10"/>
  <c r="H426" i="10"/>
  <c r="H434" i="10"/>
  <c r="H442" i="10"/>
  <c r="H450" i="10"/>
  <c r="H458" i="10"/>
  <c r="H466" i="10"/>
  <c r="H531" i="10"/>
  <c r="H539" i="10"/>
  <c r="H547" i="10"/>
  <c r="H555" i="10"/>
  <c r="J14" i="13"/>
  <c r="B75" i="16"/>
  <c r="G75" i="16"/>
  <c r="D75" i="16"/>
  <c r="A7" i="17"/>
  <c r="H330" i="10"/>
  <c r="H338" i="10"/>
  <c r="H346" i="10"/>
  <c r="H354" i="10"/>
  <c r="H530" i="10"/>
  <c r="H538" i="10"/>
  <c r="H546" i="10"/>
  <c r="H554" i="10"/>
  <c r="H562" i="10"/>
  <c r="H570" i="10"/>
  <c r="H578" i="10"/>
  <c r="H586" i="10"/>
  <c r="H594" i="10"/>
  <c r="H602" i="10"/>
  <c r="H610" i="10"/>
  <c r="H618" i="10"/>
  <c r="H626" i="10"/>
  <c r="H634" i="10"/>
  <c r="H642" i="10"/>
  <c r="H650" i="10"/>
  <c r="H658" i="10"/>
  <c r="H666" i="10"/>
  <c r="H674" i="10"/>
  <c r="H682" i="10"/>
  <c r="H690" i="10"/>
  <c r="H698" i="10"/>
  <c r="H706" i="10"/>
  <c r="H714" i="10"/>
  <c r="J35" i="13"/>
  <c r="I35" i="13"/>
  <c r="G35" i="13"/>
  <c r="F35" i="13"/>
  <c r="H68" i="13"/>
  <c r="G68" i="13"/>
  <c r="F68" i="13"/>
  <c r="E68" i="13"/>
  <c r="G28" i="16"/>
  <c r="B28" i="16"/>
  <c r="H329" i="10"/>
  <c r="H337" i="10"/>
  <c r="H345" i="10"/>
  <c r="H353" i="10"/>
  <c r="E35" i="13"/>
  <c r="J52" i="13"/>
  <c r="I52" i="13"/>
  <c r="H52" i="13"/>
  <c r="G52" i="13"/>
  <c r="G7" i="17"/>
  <c r="H328" i="10"/>
  <c r="H336" i="10"/>
  <c r="H344" i="10"/>
  <c r="H352" i="10"/>
  <c r="H392" i="10"/>
  <c r="H400" i="10"/>
  <c r="H408" i="10"/>
  <c r="H416" i="10"/>
  <c r="H424" i="10"/>
  <c r="H432" i="10"/>
  <c r="H440" i="10"/>
  <c r="H448" i="10"/>
  <c r="H456" i="10"/>
  <c r="H464" i="10"/>
  <c r="H535" i="10"/>
  <c r="H543" i="10"/>
  <c r="H551" i="10"/>
  <c r="H559" i="10"/>
  <c r="H567" i="10"/>
  <c r="H575" i="10"/>
  <c r="H583" i="10"/>
  <c r="H591" i="10"/>
  <c r="H599" i="10"/>
  <c r="H607" i="10"/>
  <c r="H615" i="10"/>
  <c r="H623" i="10"/>
  <c r="H631" i="10"/>
  <c r="H639" i="10"/>
  <c r="H647" i="10"/>
  <c r="H655" i="10"/>
  <c r="H663" i="10"/>
  <c r="H671" i="10"/>
  <c r="H679" i="10"/>
  <c r="H687" i="10"/>
  <c r="H695" i="10"/>
  <c r="H703" i="10"/>
  <c r="H711" i="10"/>
  <c r="H719" i="10"/>
  <c r="E8" i="13"/>
  <c r="H12" i="13"/>
  <c r="E25" i="13"/>
  <c r="F46" i="13"/>
  <c r="F59" i="13"/>
  <c r="H63" i="13"/>
  <c r="H66" i="13"/>
  <c r="J74" i="13"/>
  <c r="F24" i="16"/>
  <c r="F60" i="16"/>
  <c r="C68" i="16"/>
  <c r="E68" i="16" s="1"/>
  <c r="H68" i="16" s="1"/>
  <c r="I68" i="16" s="1"/>
  <c r="D80" i="16"/>
  <c r="H534" i="10"/>
  <c r="H542" i="10"/>
  <c r="H550" i="10"/>
  <c r="H558" i="10"/>
  <c r="H566" i="10"/>
  <c r="H574" i="10"/>
  <c r="H582" i="10"/>
  <c r="H590" i="10"/>
  <c r="H598" i="10"/>
  <c r="H606" i="10"/>
  <c r="H614" i="10"/>
  <c r="H622" i="10"/>
  <c r="H630" i="10"/>
  <c r="H638" i="10"/>
  <c r="H646" i="10"/>
  <c r="H654" i="10"/>
  <c r="H662" i="10"/>
  <c r="H670" i="10"/>
  <c r="H678" i="10"/>
  <c r="H686" i="10"/>
  <c r="H694" i="10"/>
  <c r="H702" i="10"/>
  <c r="H710" i="10"/>
  <c r="H718" i="10"/>
  <c r="I10" i="13"/>
  <c r="G46" i="13"/>
  <c r="F65" i="13"/>
  <c r="J66" i="13"/>
  <c r="H73" i="13"/>
  <c r="G24" i="16"/>
  <c r="D68" i="16"/>
  <c r="E72" i="16"/>
  <c r="F80" i="16"/>
  <c r="J46" i="13"/>
  <c r="H389" i="10"/>
  <c r="H397" i="10"/>
  <c r="H405" i="10"/>
  <c r="H413" i="10"/>
  <c r="H421" i="10"/>
  <c r="H429" i="10"/>
  <c r="H437" i="10"/>
  <c r="H445" i="10"/>
  <c r="H453" i="10"/>
  <c r="H461" i="10"/>
  <c r="H469" i="10"/>
  <c r="H532" i="10"/>
  <c r="H540" i="10"/>
  <c r="H548" i="10"/>
  <c r="H556" i="10"/>
  <c r="H564" i="10"/>
  <c r="H572" i="10"/>
  <c r="H580" i="10"/>
  <c r="H588" i="10"/>
  <c r="H596" i="10"/>
  <c r="H604" i="10"/>
  <c r="H612" i="10"/>
  <c r="H620" i="10"/>
  <c r="H628" i="10"/>
  <c r="H636" i="10"/>
  <c r="H644" i="10"/>
  <c r="H652" i="10"/>
  <c r="H660" i="10"/>
  <c r="H668" i="10"/>
  <c r="H676" i="10"/>
  <c r="H684" i="10"/>
  <c r="H692" i="10"/>
  <c r="H700" i="10"/>
  <c r="H708" i="10"/>
  <c r="H716" i="10"/>
  <c r="F29" i="13"/>
  <c r="I45" i="13"/>
  <c r="E51" i="13"/>
  <c r="I75" i="13"/>
  <c r="H79" i="13"/>
  <c r="H81" i="13"/>
  <c r="C4" i="16"/>
  <c r="E4" i="16" s="1"/>
  <c r="C11" i="16"/>
  <c r="C15" i="16"/>
  <c r="C19" i="16"/>
  <c r="F21" i="16"/>
  <c r="C29" i="16"/>
  <c r="E29" i="16" s="1"/>
  <c r="D32" i="16"/>
  <c r="B36" i="16"/>
  <c r="C39" i="16"/>
  <c r="C44" i="16"/>
  <c r="E44" i="16" s="1"/>
  <c r="H44" i="16" s="1"/>
  <c r="I44" i="16" s="1"/>
  <c r="D48" i="16"/>
  <c r="C52" i="16"/>
  <c r="E52" i="16" s="1"/>
  <c r="B56" i="16"/>
  <c r="B61" i="16"/>
  <c r="H563" i="10"/>
  <c r="H571" i="10"/>
  <c r="H579" i="10"/>
  <c r="H587" i="10"/>
  <c r="H595" i="10"/>
  <c r="H603" i="10"/>
  <c r="H611" i="10"/>
  <c r="H619" i="10"/>
  <c r="H627" i="10"/>
  <c r="H635" i="10"/>
  <c r="H643" i="10"/>
  <c r="H651" i="10"/>
  <c r="H659" i="10"/>
  <c r="H667" i="10"/>
  <c r="H675" i="10"/>
  <c r="H683" i="10"/>
  <c r="H691" i="10"/>
  <c r="H699" i="10"/>
  <c r="H707" i="10"/>
  <c r="H715" i="10"/>
  <c r="I28" i="13"/>
  <c r="G53" i="13"/>
  <c r="I69" i="13"/>
  <c r="E79" i="13"/>
  <c r="D4" i="16"/>
  <c r="F29" i="16"/>
  <c r="C36" i="16"/>
  <c r="D44" i="16"/>
  <c r="F48" i="16"/>
  <c r="C56" i="16"/>
  <c r="E56" i="16" s="1"/>
  <c r="H56" i="16" s="1"/>
  <c r="I56" i="16" s="1"/>
  <c r="E44" i="13"/>
  <c r="E78" i="13"/>
  <c r="D56" i="16"/>
  <c r="J72" i="13"/>
  <c r="E80" i="16"/>
  <c r="G10" i="17"/>
  <c r="I6" i="13"/>
  <c r="F6" i="13"/>
  <c r="E6" i="13"/>
  <c r="J6" i="13"/>
  <c r="G6" i="13"/>
  <c r="E42" i="13"/>
  <c r="G42" i="13"/>
  <c r="F42" i="13"/>
  <c r="J38" i="13"/>
  <c r="E38" i="13"/>
  <c r="G12" i="13"/>
  <c r="J12" i="13"/>
  <c r="I12" i="13"/>
  <c r="I30" i="13"/>
  <c r="J30" i="13"/>
  <c r="J17" i="13"/>
  <c r="H17" i="13"/>
  <c r="L17" i="13" s="1"/>
  <c r="N17" i="13" s="1"/>
  <c r="I17" i="13"/>
  <c r="J19" i="13"/>
  <c r="E19" i="13"/>
  <c r="G19" i="13"/>
  <c r="J32" i="13"/>
  <c r="J48" i="13"/>
  <c r="H48" i="13"/>
  <c r="F48" i="13"/>
  <c r="E48" i="13"/>
  <c r="I14" i="13"/>
  <c r="G14" i="13"/>
  <c r="F14" i="13"/>
  <c r="L14" i="13" s="1"/>
  <c r="N14" i="13" s="1"/>
  <c r="G17" i="13"/>
  <c r="G25" i="13"/>
  <c r="J27" i="13"/>
  <c r="F27" i="13"/>
  <c r="E27" i="13"/>
  <c r="F38" i="13"/>
  <c r="G31" i="13"/>
  <c r="I31" i="13"/>
  <c r="E31" i="13"/>
  <c r="E33" i="13"/>
  <c r="H33" i="13"/>
  <c r="G33" i="13"/>
  <c r="J55" i="13"/>
  <c r="F55" i="13"/>
  <c r="E55" i="13"/>
  <c r="G55" i="13"/>
  <c r="I55" i="13"/>
  <c r="F20" i="13"/>
  <c r="I20" i="13"/>
  <c r="F31" i="13"/>
  <c r="F33" i="13"/>
  <c r="H55" i="13"/>
  <c r="I22" i="13"/>
  <c r="J22" i="13"/>
  <c r="H22" i="13"/>
  <c r="E22" i="13"/>
  <c r="H31" i="13"/>
  <c r="I33" i="13"/>
  <c r="J37" i="13"/>
  <c r="G37" i="13"/>
  <c r="H39" i="13"/>
  <c r="J39" i="13"/>
  <c r="J4" i="13"/>
  <c r="I4" i="13"/>
  <c r="J7" i="13"/>
  <c r="J11" i="13"/>
  <c r="F11" i="13"/>
  <c r="H20" i="13"/>
  <c r="F22" i="13"/>
  <c r="I26" i="13"/>
  <c r="E41" i="13"/>
  <c r="J41" i="13"/>
  <c r="H41" i="13"/>
  <c r="J56" i="13"/>
  <c r="H56" i="13"/>
  <c r="J70" i="13"/>
  <c r="I70" i="13"/>
  <c r="G70" i="13"/>
  <c r="E70" i="13"/>
  <c r="I76" i="13"/>
  <c r="H76" i="13"/>
  <c r="F76" i="13"/>
  <c r="J80" i="13"/>
  <c r="H80" i="13"/>
  <c r="E80" i="13"/>
  <c r="F42" i="16"/>
  <c r="B42" i="16"/>
  <c r="I7" i="13"/>
  <c r="H7" i="13"/>
  <c r="H23" i="13"/>
  <c r="J25" i="13"/>
  <c r="I25" i="13"/>
  <c r="F25" i="13"/>
  <c r="J62" i="13"/>
  <c r="D37" i="16"/>
  <c r="F37" i="16"/>
  <c r="C37" i="16"/>
  <c r="B37" i="16"/>
  <c r="E37" i="16" s="1"/>
  <c r="G47" i="16"/>
  <c r="C47" i="16"/>
  <c r="J65" i="13"/>
  <c r="L65" i="13" s="1"/>
  <c r="N65" i="13" s="1"/>
  <c r="F77" i="13"/>
  <c r="I77" i="13"/>
  <c r="E61" i="13"/>
  <c r="I61" i="13"/>
  <c r="G61" i="13"/>
  <c r="F61" i="13"/>
  <c r="L61" i="13" s="1"/>
  <c r="N61" i="13" s="1"/>
  <c r="F63" i="13"/>
  <c r="E63" i="13"/>
  <c r="J63" i="13"/>
  <c r="J71" i="13"/>
  <c r="G71" i="13"/>
  <c r="J69" i="13"/>
  <c r="G12" i="16"/>
  <c r="F12" i="16"/>
  <c r="D12" i="16"/>
  <c r="C12" i="16"/>
  <c r="B12" i="16"/>
  <c r="G23" i="16"/>
  <c r="C23" i="16"/>
  <c r="G40" i="16"/>
  <c r="F40" i="16"/>
  <c r="D40" i="16"/>
  <c r="C40" i="16"/>
  <c r="B40" i="16"/>
  <c r="E49" i="13"/>
  <c r="I57" i="13"/>
  <c r="F4" i="13"/>
  <c r="I9" i="13"/>
  <c r="H29" i="13"/>
  <c r="H35" i="13"/>
  <c r="L35" i="13" s="1"/>
  <c r="N35" i="13" s="1"/>
  <c r="I37" i="13"/>
  <c r="E50" i="13"/>
  <c r="J51" i="13"/>
  <c r="G58" i="13"/>
  <c r="G59" i="13"/>
  <c r="I66" i="13"/>
  <c r="K66" i="13" s="1"/>
  <c r="M66" i="13" s="1"/>
  <c r="E74" i="13"/>
  <c r="F4" i="16"/>
  <c r="D7" i="16"/>
  <c r="F13" i="16"/>
  <c r="C16" i="16"/>
  <c r="C28" i="16"/>
  <c r="E28" i="16" s="1"/>
  <c r="D52" i="16"/>
  <c r="C61" i="16"/>
  <c r="E61" i="16" s="1"/>
  <c r="B64" i="16"/>
  <c r="B66" i="16"/>
  <c r="D70" i="16"/>
  <c r="G72" i="16"/>
  <c r="B76" i="16"/>
  <c r="C79" i="16"/>
  <c r="G80" i="16"/>
  <c r="H80" i="16" s="1"/>
  <c r="I80" i="16" s="1"/>
  <c r="D16" i="16"/>
  <c r="D28" i="16"/>
  <c r="E36" i="16"/>
  <c r="H36" i="16" s="1"/>
  <c r="I36" i="16" s="1"/>
  <c r="F52" i="16"/>
  <c r="E60" i="16"/>
  <c r="H60" i="16" s="1"/>
  <c r="I60" i="16" s="1"/>
  <c r="F61" i="16"/>
  <c r="C64" i="16"/>
  <c r="C76" i="16"/>
  <c r="D79" i="16"/>
  <c r="F16" i="16"/>
  <c r="F28" i="16"/>
  <c r="G52" i="16"/>
  <c r="D64" i="16"/>
  <c r="D76" i="16"/>
  <c r="G79" i="16"/>
  <c r="F81" i="16"/>
  <c r="E9" i="13"/>
  <c r="H10" i="13"/>
  <c r="F12" i="13"/>
  <c r="L12" i="13" s="1"/>
  <c r="N12" i="13" s="1"/>
  <c r="J18" i="13"/>
  <c r="G39" i="13"/>
  <c r="H42" i="13"/>
  <c r="F43" i="13"/>
  <c r="L43" i="13" s="1"/>
  <c r="N43" i="13" s="1"/>
  <c r="F44" i="13"/>
  <c r="I46" i="13"/>
  <c r="G50" i="13"/>
  <c r="E52" i="13"/>
  <c r="K52" i="13" s="1"/>
  <c r="M52" i="13" s="1"/>
  <c r="I53" i="13"/>
  <c r="H58" i="13"/>
  <c r="I60" i="13"/>
  <c r="F66" i="13"/>
  <c r="L66" i="13" s="1"/>
  <c r="N66" i="13" s="1"/>
  <c r="G74" i="13"/>
  <c r="F75" i="13"/>
  <c r="F79" i="13"/>
  <c r="B8" i="16"/>
  <c r="E8" i="16" s="1"/>
  <c r="H8" i="16" s="1"/>
  <c r="I8" i="16" s="1"/>
  <c r="B10" i="16"/>
  <c r="B20" i="16"/>
  <c r="B24" i="16"/>
  <c r="B45" i="16"/>
  <c r="B48" i="16"/>
  <c r="F64" i="16"/>
  <c r="F76" i="16"/>
  <c r="H15" i="13"/>
  <c r="E17" i="13"/>
  <c r="G79" i="13"/>
  <c r="K79" i="13" s="1"/>
  <c r="M79" i="13" s="1"/>
  <c r="C45" i="16"/>
  <c r="B53" i="16"/>
  <c r="C69" i="16"/>
  <c r="E69" i="16" s="1"/>
  <c r="C75" i="16"/>
  <c r="B13" i="16"/>
  <c r="E13" i="16" s="1"/>
  <c r="D22" i="16"/>
  <c r="E19" i="17"/>
  <c r="E17" i="17"/>
  <c r="C19" i="17"/>
  <c r="C17" i="17"/>
  <c r="B19" i="17"/>
  <c r="B17" i="17"/>
  <c r="E18" i="17"/>
  <c r="C18" i="17"/>
  <c r="B18" i="17"/>
  <c r="K9" i="13"/>
  <c r="M9" i="13" s="1"/>
  <c r="J21" i="13"/>
  <c r="I21" i="13"/>
  <c r="H21" i="13"/>
  <c r="G21" i="13"/>
  <c r="E21" i="13"/>
  <c r="F21" i="13"/>
  <c r="L20" i="13"/>
  <c r="N20" i="13" s="1"/>
  <c r="J8" i="13"/>
  <c r="I8" i="13"/>
  <c r="H8" i="13"/>
  <c r="G8" i="13"/>
  <c r="F8" i="13"/>
  <c r="L9" i="13"/>
  <c r="N9" i="13" s="1"/>
  <c r="J10" i="13"/>
  <c r="K14" i="13"/>
  <c r="M14" i="13" s="1"/>
  <c r="J24" i="13"/>
  <c r="I24" i="13"/>
  <c r="F24" i="13"/>
  <c r="H24" i="13"/>
  <c r="G24" i="13"/>
  <c r="E24" i="13"/>
  <c r="I5" i="13"/>
  <c r="H5" i="13"/>
  <c r="G5" i="13"/>
  <c r="F5" i="13"/>
  <c r="E5" i="13"/>
  <c r="J13" i="13"/>
  <c r="I13" i="13"/>
  <c r="H13" i="13"/>
  <c r="E13" i="13"/>
  <c r="G13" i="13"/>
  <c r="F13" i="13"/>
  <c r="I18" i="13"/>
  <c r="G3" i="13"/>
  <c r="J3" i="13"/>
  <c r="I3" i="13"/>
  <c r="H3" i="13"/>
  <c r="L4" i="13"/>
  <c r="N4" i="13" s="1"/>
  <c r="J5" i="13"/>
  <c r="H2" i="13"/>
  <c r="G2" i="13"/>
  <c r="F2" i="13"/>
  <c r="E2" i="13"/>
  <c r="E3" i="13"/>
  <c r="K46" i="13"/>
  <c r="M46" i="13" s="1"/>
  <c r="J16" i="13"/>
  <c r="F16" i="13"/>
  <c r="I16" i="13"/>
  <c r="H16" i="13"/>
  <c r="G16" i="13"/>
  <c r="H34" i="13"/>
  <c r="F36" i="13"/>
  <c r="E40" i="13"/>
  <c r="F53" i="13"/>
  <c r="E56" i="13"/>
  <c r="E59" i="13"/>
  <c r="E62" i="13"/>
  <c r="E71" i="13"/>
  <c r="C2" i="16"/>
  <c r="G2" i="16"/>
  <c r="D2" i="16"/>
  <c r="B2" i="16"/>
  <c r="G30" i="16"/>
  <c r="C30" i="16"/>
  <c r="B30" i="16"/>
  <c r="F30" i="16"/>
  <c r="D30" i="16"/>
  <c r="H54" i="13"/>
  <c r="F54" i="13"/>
  <c r="G67" i="13"/>
  <c r="E67" i="13"/>
  <c r="H67" i="13"/>
  <c r="E10" i="13"/>
  <c r="H11" i="13"/>
  <c r="E18" i="13"/>
  <c r="H19" i="13"/>
  <c r="L19" i="13" s="1"/>
  <c r="N19" i="13" s="1"/>
  <c r="E26" i="13"/>
  <c r="H27" i="13"/>
  <c r="F28" i="13"/>
  <c r="J29" i="13"/>
  <c r="E30" i="13"/>
  <c r="J31" i="13"/>
  <c r="E32" i="13"/>
  <c r="J33" i="13"/>
  <c r="L33" i="13" s="1"/>
  <c r="N33" i="13" s="1"/>
  <c r="F34" i="13"/>
  <c r="G36" i="13"/>
  <c r="G38" i="13"/>
  <c r="G40" i="13"/>
  <c r="I42" i="13"/>
  <c r="K42" i="13" s="1"/>
  <c r="M42" i="13" s="1"/>
  <c r="I44" i="13"/>
  <c r="K44" i="13" s="1"/>
  <c r="M44" i="13" s="1"/>
  <c r="E45" i="13"/>
  <c r="E47" i="13"/>
  <c r="I48" i="13"/>
  <c r="F49" i="13"/>
  <c r="F51" i="13"/>
  <c r="H53" i="13"/>
  <c r="E54" i="13"/>
  <c r="I56" i="13"/>
  <c r="E57" i="13"/>
  <c r="H59" i="13"/>
  <c r="J60" i="13"/>
  <c r="G60" i="13"/>
  <c r="J61" i="13"/>
  <c r="G62" i="13"/>
  <c r="F67" i="13"/>
  <c r="J68" i="13"/>
  <c r="I68" i="13"/>
  <c r="I71" i="13"/>
  <c r="E72" i="13"/>
  <c r="I73" i="13"/>
  <c r="G73" i="13"/>
  <c r="J73" i="13"/>
  <c r="G11" i="13"/>
  <c r="E7" i="13"/>
  <c r="K7" i="13" s="1"/>
  <c r="M7" i="13" s="1"/>
  <c r="F10" i="13"/>
  <c r="I11" i="13"/>
  <c r="E15" i="13"/>
  <c r="F18" i="13"/>
  <c r="I19" i="13"/>
  <c r="K19" i="13" s="1"/>
  <c r="M19" i="13" s="1"/>
  <c r="E23" i="13"/>
  <c r="F26" i="13"/>
  <c r="I27" i="13"/>
  <c r="E28" i="13"/>
  <c r="F30" i="13"/>
  <c r="F32" i="13"/>
  <c r="G34" i="13"/>
  <c r="H36" i="13"/>
  <c r="H38" i="13"/>
  <c r="L38" i="13" s="1"/>
  <c r="N38" i="13" s="1"/>
  <c r="H40" i="13"/>
  <c r="L40" i="13" s="1"/>
  <c r="N40" i="13" s="1"/>
  <c r="J42" i="13"/>
  <c r="L42" i="13" s="1"/>
  <c r="N42" i="13" s="1"/>
  <c r="K43" i="13"/>
  <c r="M43" i="13" s="1"/>
  <c r="J44" i="13"/>
  <c r="L44" i="13" s="1"/>
  <c r="N44" i="13" s="1"/>
  <c r="F45" i="13"/>
  <c r="F47" i="13"/>
  <c r="G49" i="13"/>
  <c r="G51" i="13"/>
  <c r="G54" i="13"/>
  <c r="F57" i="13"/>
  <c r="I59" i="13"/>
  <c r="E60" i="13"/>
  <c r="I67" i="13"/>
  <c r="G72" i="13"/>
  <c r="E73" i="13"/>
  <c r="E4" i="13"/>
  <c r="F7" i="13"/>
  <c r="L7" i="13" s="1"/>
  <c r="N7" i="13" s="1"/>
  <c r="G10" i="13"/>
  <c r="E12" i="13"/>
  <c r="K12" i="13" s="1"/>
  <c r="M12" i="13" s="1"/>
  <c r="F15" i="13"/>
  <c r="G18" i="13"/>
  <c r="E20" i="13"/>
  <c r="K20" i="13" s="1"/>
  <c r="M20" i="13" s="1"/>
  <c r="F23" i="13"/>
  <c r="G26" i="13"/>
  <c r="G28" i="13"/>
  <c r="G30" i="13"/>
  <c r="G32" i="13"/>
  <c r="I34" i="13"/>
  <c r="I36" i="13"/>
  <c r="E37" i="13"/>
  <c r="K37" i="13" s="1"/>
  <c r="M37" i="13" s="1"/>
  <c r="I38" i="13"/>
  <c r="E39" i="13"/>
  <c r="K39" i="13" s="1"/>
  <c r="M39" i="13" s="1"/>
  <c r="I40" i="13"/>
  <c r="F41" i="13"/>
  <c r="L41" i="13" s="1"/>
  <c r="N41" i="13" s="1"/>
  <c r="G45" i="13"/>
  <c r="H47" i="13"/>
  <c r="H49" i="13"/>
  <c r="H50" i="13"/>
  <c r="L50" i="13" s="1"/>
  <c r="N50" i="13" s="1"/>
  <c r="H51" i="13"/>
  <c r="F52" i="13"/>
  <c r="L52" i="13" s="1"/>
  <c r="N52" i="13" s="1"/>
  <c r="I54" i="13"/>
  <c r="G57" i="13"/>
  <c r="J59" i="13"/>
  <c r="F60" i="13"/>
  <c r="J67" i="13"/>
  <c r="L68" i="13"/>
  <c r="N68" i="13" s="1"/>
  <c r="E69" i="13"/>
  <c r="F69" i="13"/>
  <c r="H69" i="13"/>
  <c r="H72" i="13"/>
  <c r="F73" i="13"/>
  <c r="L73" i="13" s="1"/>
  <c r="N73" i="13" s="1"/>
  <c r="E13" i="17"/>
  <c r="D5" i="16"/>
  <c r="G5" i="16"/>
  <c r="F5" i="16"/>
  <c r="C5" i="16"/>
  <c r="B5" i="16"/>
  <c r="G15" i="13"/>
  <c r="H18" i="13"/>
  <c r="G23" i="13"/>
  <c r="H26" i="13"/>
  <c r="H28" i="13"/>
  <c r="H30" i="13"/>
  <c r="H32" i="13"/>
  <c r="J34" i="13"/>
  <c r="K35" i="13"/>
  <c r="M35" i="13" s="1"/>
  <c r="J36" i="13"/>
  <c r="F37" i="13"/>
  <c r="F39" i="13"/>
  <c r="L39" i="13" s="1"/>
  <c r="N39" i="13" s="1"/>
  <c r="G41" i="13"/>
  <c r="K41" i="13" s="1"/>
  <c r="M41" i="13" s="1"/>
  <c r="H45" i="13"/>
  <c r="I47" i="13"/>
  <c r="I49" i="13"/>
  <c r="I51" i="13"/>
  <c r="J54" i="13"/>
  <c r="K55" i="13"/>
  <c r="M55" i="13" s="1"/>
  <c r="H57" i="13"/>
  <c r="E58" i="13"/>
  <c r="K58" i="13" s="1"/>
  <c r="M58" i="13" s="1"/>
  <c r="H60" i="13"/>
  <c r="F64" i="13"/>
  <c r="I64" i="13"/>
  <c r="G69" i="13"/>
  <c r="I72" i="13"/>
  <c r="G75" i="13"/>
  <c r="K75" i="13" s="1"/>
  <c r="M75" i="13" s="1"/>
  <c r="H75" i="13"/>
  <c r="J75" i="13"/>
  <c r="I78" i="13"/>
  <c r="K78" i="13" s="1"/>
  <c r="M78" i="13" s="1"/>
  <c r="F78" i="13"/>
  <c r="I32" i="13"/>
  <c r="J45" i="13"/>
  <c r="J47" i="13"/>
  <c r="J49" i="13"/>
  <c r="J57" i="13"/>
  <c r="L58" i="13"/>
  <c r="N58" i="13" s="1"/>
  <c r="I65" i="13"/>
  <c r="E65" i="13"/>
  <c r="G65" i="13"/>
  <c r="K70" i="13"/>
  <c r="M70" i="13" s="1"/>
  <c r="J76" i="13"/>
  <c r="L76" i="13" s="1"/>
  <c r="N76" i="13" s="1"/>
  <c r="G76" i="13"/>
  <c r="E76" i="13"/>
  <c r="E77" i="13"/>
  <c r="K77" i="13" s="1"/>
  <c r="M77" i="13" s="1"/>
  <c r="H77" i="13"/>
  <c r="J77" i="13"/>
  <c r="L46" i="13"/>
  <c r="N46" i="13" s="1"/>
  <c r="E53" i="13"/>
  <c r="J53" i="13"/>
  <c r="F56" i="13"/>
  <c r="G56" i="13"/>
  <c r="H62" i="13"/>
  <c r="L62" i="13" s="1"/>
  <c r="N62" i="13" s="1"/>
  <c r="I62" i="13"/>
  <c r="F71" i="13"/>
  <c r="H71" i="13"/>
  <c r="H70" i="13"/>
  <c r="L70" i="13" s="1"/>
  <c r="N70" i="13" s="1"/>
  <c r="F72" i="13"/>
  <c r="L72" i="13" s="1"/>
  <c r="N72" i="13" s="1"/>
  <c r="J79" i="13"/>
  <c r="L79" i="13" s="1"/>
  <c r="N79" i="13" s="1"/>
  <c r="G80" i="13"/>
  <c r="D25" i="16"/>
  <c r="F25" i="16"/>
  <c r="C25" i="16"/>
  <c r="B25" i="16"/>
  <c r="B27" i="16"/>
  <c r="E27" i="16" s="1"/>
  <c r="F27" i="16"/>
  <c r="G27" i="16"/>
  <c r="D49" i="16"/>
  <c r="F49" i="16"/>
  <c r="C49" i="16"/>
  <c r="B49" i="16"/>
  <c r="B51" i="16"/>
  <c r="F51" i="16"/>
  <c r="G51" i="16"/>
  <c r="C51" i="16"/>
  <c r="E81" i="13"/>
  <c r="I81" i="13"/>
  <c r="D9" i="16"/>
  <c r="C9" i="16"/>
  <c r="B9" i="16"/>
  <c r="G46" i="16"/>
  <c r="C46" i="16"/>
  <c r="B46" i="16"/>
  <c r="F46" i="16"/>
  <c r="D51" i="16"/>
  <c r="H72" i="16"/>
  <c r="I72" i="16" s="1"/>
  <c r="I80" i="13"/>
  <c r="F81" i="13"/>
  <c r="B3" i="16"/>
  <c r="F3" i="16"/>
  <c r="C18" i="16"/>
  <c r="E18" i="16" s="1"/>
  <c r="G18" i="16"/>
  <c r="D18" i="16"/>
  <c r="D46" i="16"/>
  <c r="G49" i="16"/>
  <c r="E75" i="16"/>
  <c r="G81" i="13"/>
  <c r="C3" i="16"/>
  <c r="F7" i="16"/>
  <c r="B7" i="16"/>
  <c r="E7" i="16" s="1"/>
  <c r="F9" i="16"/>
  <c r="B11" i="16"/>
  <c r="E11" i="16" s="1"/>
  <c r="F11" i="16"/>
  <c r="G11" i="16"/>
  <c r="E20" i="16"/>
  <c r="D41" i="16"/>
  <c r="F41" i="16"/>
  <c r="C41" i="16"/>
  <c r="B41" i="16"/>
  <c r="B43" i="16"/>
  <c r="F43" i="16"/>
  <c r="G43" i="16"/>
  <c r="C43" i="16"/>
  <c r="E53" i="16"/>
  <c r="G14" i="16"/>
  <c r="C14" i="16"/>
  <c r="B14" i="16"/>
  <c r="C26" i="16"/>
  <c r="G26" i="16"/>
  <c r="D26" i="16"/>
  <c r="G38" i="16"/>
  <c r="C38" i="16"/>
  <c r="B38" i="16"/>
  <c r="F38" i="16"/>
  <c r="G77" i="16"/>
  <c r="D77" i="16"/>
  <c r="C77" i="16"/>
  <c r="F77" i="16"/>
  <c r="B77" i="16"/>
  <c r="J81" i="13"/>
  <c r="G6" i="16"/>
  <c r="C6" i="16"/>
  <c r="D14" i="16"/>
  <c r="B26" i="16"/>
  <c r="D38" i="16"/>
  <c r="D57" i="16"/>
  <c r="F57" i="16"/>
  <c r="C57" i="16"/>
  <c r="B57" i="16"/>
  <c r="G78" i="16"/>
  <c r="F78" i="16"/>
  <c r="C78" i="16"/>
  <c r="B78" i="16"/>
  <c r="D78" i="16"/>
  <c r="H78" i="13"/>
  <c r="F80" i="13"/>
  <c r="B6" i="16"/>
  <c r="C10" i="16"/>
  <c r="E10" i="16" s="1"/>
  <c r="H10" i="16" s="1"/>
  <c r="I10" i="16" s="1"/>
  <c r="G10" i="16"/>
  <c r="D10" i="16"/>
  <c r="D17" i="16"/>
  <c r="F17" i="16"/>
  <c r="C17" i="16"/>
  <c r="B17" i="16"/>
  <c r="B19" i="16"/>
  <c r="F19" i="16"/>
  <c r="G19" i="16"/>
  <c r="G22" i="16"/>
  <c r="C22" i="16"/>
  <c r="B22" i="16"/>
  <c r="F26" i="16"/>
  <c r="D33" i="16"/>
  <c r="F33" i="16"/>
  <c r="C33" i="16"/>
  <c r="B33" i="16"/>
  <c r="B35" i="16"/>
  <c r="F35" i="16"/>
  <c r="G35" i="16"/>
  <c r="C35" i="16"/>
  <c r="E45" i="16"/>
  <c r="G54" i="16"/>
  <c r="C54" i="16"/>
  <c r="B54" i="16"/>
  <c r="F54" i="16"/>
  <c r="G57" i="16"/>
  <c r="D65" i="16"/>
  <c r="F65" i="16"/>
  <c r="C65" i="16"/>
  <c r="B65" i="16"/>
  <c r="D73" i="16"/>
  <c r="C73" i="16"/>
  <c r="G73" i="16"/>
  <c r="F73" i="16"/>
  <c r="B73" i="16"/>
  <c r="B59" i="16"/>
  <c r="F59" i="16"/>
  <c r="B67" i="16"/>
  <c r="F67" i="16"/>
  <c r="C74" i="16"/>
  <c r="B74" i="16"/>
  <c r="G74" i="16"/>
  <c r="C34" i="16"/>
  <c r="E34" i="16" s="1"/>
  <c r="G34" i="16"/>
  <c r="C42" i="16"/>
  <c r="E42" i="16" s="1"/>
  <c r="G42" i="16"/>
  <c r="C50" i="16"/>
  <c r="E50" i="16" s="1"/>
  <c r="G50" i="16"/>
  <c r="C58" i="16"/>
  <c r="E58" i="16" s="1"/>
  <c r="G58" i="16"/>
  <c r="C59" i="16"/>
  <c r="C66" i="16"/>
  <c r="G66" i="16"/>
  <c r="C67" i="16"/>
  <c r="D74" i="16"/>
  <c r="G13" i="16"/>
  <c r="G21" i="16"/>
  <c r="G29" i="16"/>
  <c r="D34" i="16"/>
  <c r="G37" i="16"/>
  <c r="H37" i="16" s="1"/>
  <c r="I37" i="16" s="1"/>
  <c r="D42" i="16"/>
  <c r="G45" i="16"/>
  <c r="D50" i="16"/>
  <c r="G53" i="16"/>
  <c r="D58" i="16"/>
  <c r="G61" i="16"/>
  <c r="D66" i="16"/>
  <c r="G69" i="16"/>
  <c r="F74" i="16"/>
  <c r="F15" i="16"/>
  <c r="B15" i="16"/>
  <c r="E15" i="16" s="1"/>
  <c r="H15" i="16" s="1"/>
  <c r="I15" i="16" s="1"/>
  <c r="E16" i="16"/>
  <c r="H16" i="16" s="1"/>
  <c r="I16" i="16" s="1"/>
  <c r="F23" i="16"/>
  <c r="B23" i="16"/>
  <c r="E23" i="16" s="1"/>
  <c r="E24" i="16"/>
  <c r="H24" i="16" s="1"/>
  <c r="I24" i="16" s="1"/>
  <c r="F31" i="16"/>
  <c r="B31" i="16"/>
  <c r="E31" i="16" s="1"/>
  <c r="E32" i="16"/>
  <c r="H32" i="16" s="1"/>
  <c r="I32" i="16" s="1"/>
  <c r="F39" i="16"/>
  <c r="B39" i="16"/>
  <c r="E39" i="16" s="1"/>
  <c r="E40" i="16"/>
  <c r="H40" i="16" s="1"/>
  <c r="I40" i="16" s="1"/>
  <c r="F47" i="16"/>
  <c r="B47" i="16"/>
  <c r="E47" i="16" s="1"/>
  <c r="E48" i="16"/>
  <c r="H48" i="16" s="1"/>
  <c r="I48" i="16" s="1"/>
  <c r="F55" i="16"/>
  <c r="B55" i="16"/>
  <c r="E55" i="16" s="1"/>
  <c r="G59" i="16"/>
  <c r="F63" i="16"/>
  <c r="B63" i="16"/>
  <c r="E63" i="16" s="1"/>
  <c r="E64" i="16"/>
  <c r="H64" i="16" s="1"/>
  <c r="I64" i="16" s="1"/>
  <c r="G67" i="16"/>
  <c r="F71" i="16"/>
  <c r="B71" i="16"/>
  <c r="G62" i="16"/>
  <c r="C62" i="16"/>
  <c r="G70" i="16"/>
  <c r="C70" i="16"/>
  <c r="E70" i="16" s="1"/>
  <c r="C71" i="16"/>
  <c r="E76" i="16"/>
  <c r="H76" i="16" s="1"/>
  <c r="I76" i="16" s="1"/>
  <c r="D15" i="16"/>
  <c r="D23" i="16"/>
  <c r="D31" i="16"/>
  <c r="D39" i="16"/>
  <c r="D47" i="16"/>
  <c r="D55" i="16"/>
  <c r="B62" i="16"/>
  <c r="D63" i="16"/>
  <c r="D71" i="16"/>
  <c r="G81" i="16"/>
  <c r="F75" i="16"/>
  <c r="B79" i="16"/>
  <c r="E79" i="16" s="1"/>
  <c r="H79" i="16" s="1"/>
  <c r="I79" i="16" s="1"/>
  <c r="B81" i="16"/>
  <c r="C81" i="16"/>
  <c r="H21" i="16" l="1"/>
  <c r="I21" i="16" s="1"/>
  <c r="E74" i="16"/>
  <c r="L10" i="13"/>
  <c r="N10" i="13" s="1"/>
  <c r="K68" i="13"/>
  <c r="M68" i="13" s="1"/>
  <c r="K64" i="13"/>
  <c r="M64" i="13" s="1"/>
  <c r="K27" i="13"/>
  <c r="M27" i="13" s="1"/>
  <c r="H50" i="16"/>
  <c r="I50" i="16" s="1"/>
  <c r="L64" i="13"/>
  <c r="N64" i="13" s="1"/>
  <c r="K4" i="13"/>
  <c r="M4" i="13" s="1"/>
  <c r="K11" i="13"/>
  <c r="M11" i="13" s="1"/>
  <c r="E19" i="16"/>
  <c r="L23" i="13"/>
  <c r="N23" i="13" s="1"/>
  <c r="L80" i="13"/>
  <c r="N80" i="13" s="1"/>
  <c r="L56" i="13"/>
  <c r="N56" i="13" s="1"/>
  <c r="L75" i="13"/>
  <c r="N75" i="13" s="1"/>
  <c r="E66" i="16"/>
  <c r="H20" i="16"/>
  <c r="I20" i="16" s="1"/>
  <c r="K53" i="13"/>
  <c r="M53" i="13" s="1"/>
  <c r="L37" i="13"/>
  <c r="N37" i="13" s="1"/>
  <c r="L15" i="13"/>
  <c r="N15" i="13" s="1"/>
  <c r="K48" i="13"/>
  <c r="M48" i="13" s="1"/>
  <c r="K17" i="13"/>
  <c r="M17" i="13" s="1"/>
  <c r="H42" i="16"/>
  <c r="I42" i="16" s="1"/>
  <c r="E7" i="17"/>
  <c r="K74" i="13"/>
  <c r="M74" i="13" s="1"/>
  <c r="L48" i="13"/>
  <c r="N48" i="13" s="1"/>
  <c r="H18" i="16"/>
  <c r="I18" i="16" s="1"/>
  <c r="L31" i="13"/>
  <c r="N31" i="13" s="1"/>
  <c r="L11" i="13"/>
  <c r="N11" i="13" s="1"/>
  <c r="H66" i="16"/>
  <c r="I66" i="16" s="1"/>
  <c r="L29" i="13"/>
  <c r="N29" i="13" s="1"/>
  <c r="H4" i="16"/>
  <c r="I4" i="16" s="1"/>
  <c r="E43" i="16"/>
  <c r="L5" i="13"/>
  <c r="N5" i="13" s="1"/>
  <c r="L27" i="13"/>
  <c r="N27" i="13" s="1"/>
  <c r="K6" i="13"/>
  <c r="M6" i="13" s="1"/>
  <c r="H58" i="16"/>
  <c r="I58" i="16" s="1"/>
  <c r="H11" i="16"/>
  <c r="I11" i="16" s="1"/>
  <c r="E49" i="16"/>
  <c r="H61" i="16"/>
  <c r="I61" i="16" s="1"/>
  <c r="H29" i="16"/>
  <c r="I29" i="16" s="1"/>
  <c r="K25" i="13"/>
  <c r="M25" i="13" s="1"/>
  <c r="L77" i="13"/>
  <c r="N77" i="13" s="1"/>
  <c r="L21" i="13"/>
  <c r="N21" i="13" s="1"/>
  <c r="H28" i="16"/>
  <c r="I28" i="16" s="1"/>
  <c r="K31" i="13"/>
  <c r="M31" i="13" s="1"/>
  <c r="H31" i="16"/>
  <c r="I31" i="16" s="1"/>
  <c r="H7" i="16"/>
  <c r="I7" i="16" s="1"/>
  <c r="E12" i="16"/>
  <c r="H12" i="16" s="1"/>
  <c r="I12" i="16" s="1"/>
  <c r="H69" i="16"/>
  <c r="I69" i="16" s="1"/>
  <c r="E59" i="16"/>
  <c r="H59" i="16" s="1"/>
  <c r="I59" i="16" s="1"/>
  <c r="D17" i="17"/>
  <c r="L25" i="13"/>
  <c r="N25" i="13" s="1"/>
  <c r="H52" i="16"/>
  <c r="I52" i="16" s="1"/>
  <c r="H70" i="16"/>
  <c r="I70" i="16" s="1"/>
  <c r="H63" i="16"/>
  <c r="I63" i="16" s="1"/>
  <c r="H23" i="16"/>
  <c r="I23" i="16" s="1"/>
  <c r="E78" i="16"/>
  <c r="H78" i="16" s="1"/>
  <c r="I78" i="16" s="1"/>
  <c r="L22" i="13"/>
  <c r="N22" i="13" s="1"/>
  <c r="K51" i="13"/>
  <c r="M51" i="13" s="1"/>
  <c r="K16" i="13"/>
  <c r="M16" i="13" s="1"/>
  <c r="K8" i="13"/>
  <c r="M8" i="13" s="1"/>
  <c r="D19" i="17"/>
  <c r="K50" i="13"/>
  <c r="M50" i="13" s="1"/>
  <c r="L55" i="13"/>
  <c r="N55" i="13" s="1"/>
  <c r="H13" i="16"/>
  <c r="I13" i="16" s="1"/>
  <c r="E9" i="16"/>
  <c r="H9" i="16" s="1"/>
  <c r="I9" i="16" s="1"/>
  <c r="E25" i="16"/>
  <c r="K49" i="13"/>
  <c r="M49" i="13" s="1"/>
  <c r="K38" i="13"/>
  <c r="M38" i="13" s="1"/>
  <c r="L24" i="13"/>
  <c r="N24" i="13" s="1"/>
  <c r="K34" i="13"/>
  <c r="M34" i="13" s="1"/>
  <c r="K36" i="13"/>
  <c r="M36" i="13" s="1"/>
  <c r="K33" i="13"/>
  <c r="M33" i="13" s="1"/>
  <c r="L16" i="13"/>
  <c r="N16" i="13" s="1"/>
  <c r="L6" i="13"/>
  <c r="N6" i="13" s="1"/>
  <c r="H45" i="16"/>
  <c r="I45" i="16" s="1"/>
  <c r="E17" i="16"/>
  <c r="H17" i="16" s="1"/>
  <c r="I17" i="16" s="1"/>
  <c r="E57" i="16"/>
  <c r="H57" i="16" s="1"/>
  <c r="I57" i="16" s="1"/>
  <c r="L59" i="13"/>
  <c r="N59" i="13" s="1"/>
  <c r="D18" i="17"/>
  <c r="L63" i="13"/>
  <c r="N63" i="13" s="1"/>
  <c r="K22" i="13"/>
  <c r="M22" i="13" s="1"/>
  <c r="K80" i="13"/>
  <c r="M80" i="13" s="1"/>
  <c r="E62" i="16"/>
  <c r="H62" i="16" s="1"/>
  <c r="I62" i="16" s="1"/>
  <c r="H34" i="16"/>
  <c r="I34" i="16" s="1"/>
  <c r="E73" i="16"/>
  <c r="H73" i="16" s="1"/>
  <c r="I73" i="16" s="1"/>
  <c r="E77" i="16"/>
  <c r="H77" i="16" s="1"/>
  <c r="I77" i="16" s="1"/>
  <c r="E46" i="16"/>
  <c r="K76" i="13"/>
  <c r="M76" i="13" s="1"/>
  <c r="L69" i="13"/>
  <c r="N69" i="13" s="1"/>
  <c r="L3" i="13"/>
  <c r="N3" i="13" s="1"/>
  <c r="K61" i="13"/>
  <c r="M61" i="13" s="1"/>
  <c r="L47" i="13"/>
  <c r="N47" i="13" s="1"/>
  <c r="L18" i="13"/>
  <c r="N18" i="13" s="1"/>
  <c r="L49" i="13"/>
  <c r="N49" i="13" s="1"/>
  <c r="K67" i="13"/>
  <c r="M67" i="13" s="1"/>
  <c r="K59" i="13"/>
  <c r="M59" i="13" s="1"/>
  <c r="H39" i="16"/>
  <c r="I39" i="16" s="1"/>
  <c r="E54" i="16"/>
  <c r="H54" i="16" s="1"/>
  <c r="I54" i="16" s="1"/>
  <c r="E33" i="16"/>
  <c r="H33" i="16" s="1"/>
  <c r="I33" i="16" s="1"/>
  <c r="H53" i="16"/>
  <c r="I53" i="16" s="1"/>
  <c r="E51" i="16"/>
  <c r="H51" i="16" s="1"/>
  <c r="I51" i="16" s="1"/>
  <c r="H27" i="16"/>
  <c r="I27" i="16" s="1"/>
  <c r="L78" i="13"/>
  <c r="N78" i="13" s="1"/>
  <c r="E5" i="16"/>
  <c r="H5" i="16" s="1"/>
  <c r="I5" i="16" s="1"/>
  <c r="L45" i="13"/>
  <c r="N45" i="13" s="1"/>
  <c r="L32" i="13"/>
  <c r="N32" i="13" s="1"/>
  <c r="K15" i="13"/>
  <c r="M15" i="13" s="1"/>
  <c r="K72" i="13"/>
  <c r="M72" i="13" s="1"/>
  <c r="L34" i="13"/>
  <c r="N34" i="13" s="1"/>
  <c r="K26" i="13"/>
  <c r="M26" i="13" s="1"/>
  <c r="K56" i="13"/>
  <c r="M56" i="13" s="1"/>
  <c r="E81" i="16"/>
  <c r="H81" i="16" s="1"/>
  <c r="I81" i="16" s="1"/>
  <c r="H49" i="16"/>
  <c r="I49" i="16" s="1"/>
  <c r="H25" i="16"/>
  <c r="I25" i="16" s="1"/>
  <c r="K60" i="13"/>
  <c r="M60" i="13" s="1"/>
  <c r="L30" i="13"/>
  <c r="N30" i="13" s="1"/>
  <c r="K47" i="13"/>
  <c r="M47" i="13" s="1"/>
  <c r="L54" i="13"/>
  <c r="N54" i="13" s="1"/>
  <c r="E2" i="16"/>
  <c r="H2" i="16" s="1"/>
  <c r="L53" i="13"/>
  <c r="N53" i="13" s="1"/>
  <c r="K3" i="13"/>
  <c r="M3" i="13" s="1"/>
  <c r="H74" i="16"/>
  <c r="I74" i="16" s="1"/>
  <c r="E35" i="16"/>
  <c r="H35" i="16" s="1"/>
  <c r="I35" i="16" s="1"/>
  <c r="E71" i="16"/>
  <c r="H71" i="16" s="1"/>
  <c r="I71" i="16" s="1"/>
  <c r="H55" i="16"/>
  <c r="I55" i="16" s="1"/>
  <c r="E67" i="16"/>
  <c r="H67" i="16" s="1"/>
  <c r="I67" i="16" s="1"/>
  <c r="E65" i="16"/>
  <c r="H65" i="16" s="1"/>
  <c r="I65" i="16" s="1"/>
  <c r="H19" i="16"/>
  <c r="I19" i="16" s="1"/>
  <c r="E6" i="16"/>
  <c r="H6" i="16" s="1"/>
  <c r="I6" i="16" s="1"/>
  <c r="E26" i="16"/>
  <c r="H26" i="16" s="1"/>
  <c r="I26" i="16" s="1"/>
  <c r="K69" i="13"/>
  <c r="M69" i="13" s="1"/>
  <c r="K28" i="13"/>
  <c r="M28" i="13" s="1"/>
  <c r="K57" i="13"/>
  <c r="M57" i="13" s="1"/>
  <c r="K45" i="13"/>
  <c r="M45" i="13" s="1"/>
  <c r="K32" i="13"/>
  <c r="M32" i="13" s="1"/>
  <c r="K18" i="13"/>
  <c r="M18" i="13" s="1"/>
  <c r="K40" i="13"/>
  <c r="M40" i="13" s="1"/>
  <c r="K2" i="13"/>
  <c r="M2" i="13" s="1"/>
  <c r="K5" i="13"/>
  <c r="M5" i="13" s="1"/>
  <c r="L8" i="13"/>
  <c r="N8" i="13" s="1"/>
  <c r="L57" i="13"/>
  <c r="N57" i="13" s="1"/>
  <c r="L36" i="13"/>
  <c r="N36" i="13" s="1"/>
  <c r="L2" i="13"/>
  <c r="N2" i="13" s="1"/>
  <c r="H43" i="16"/>
  <c r="I43" i="16" s="1"/>
  <c r="E3" i="16"/>
  <c r="H3" i="16" s="1"/>
  <c r="I3" i="16" s="1"/>
  <c r="H46" i="16"/>
  <c r="I46" i="16" s="1"/>
  <c r="K81" i="13"/>
  <c r="M81" i="13" s="1"/>
  <c r="L26" i="13"/>
  <c r="N26" i="13" s="1"/>
  <c r="L67" i="13"/>
  <c r="N67" i="13" s="1"/>
  <c r="K54" i="13"/>
  <c r="M54" i="13" s="1"/>
  <c r="K30" i="13"/>
  <c r="M30" i="13" s="1"/>
  <c r="K10" i="13"/>
  <c r="M10" i="13" s="1"/>
  <c r="G4" i="17"/>
  <c r="C13" i="17"/>
  <c r="L13" i="13"/>
  <c r="N13" i="13" s="1"/>
  <c r="K24" i="13"/>
  <c r="M24" i="13" s="1"/>
  <c r="K21" i="13"/>
  <c r="M21" i="13" s="1"/>
  <c r="H47" i="16"/>
  <c r="I47" i="16" s="1"/>
  <c r="E22" i="16"/>
  <c r="H22" i="16" s="1"/>
  <c r="I22" i="16" s="1"/>
  <c r="E38" i="16"/>
  <c r="H38" i="16" s="1"/>
  <c r="I38" i="16" s="1"/>
  <c r="E14" i="16"/>
  <c r="H14" i="16" s="1"/>
  <c r="I14" i="16" s="1"/>
  <c r="E41" i="16"/>
  <c r="H41" i="16" s="1"/>
  <c r="I41" i="16" s="1"/>
  <c r="H75" i="16"/>
  <c r="I75" i="16" s="1"/>
  <c r="L81" i="13"/>
  <c r="N81" i="13" s="1"/>
  <c r="L71" i="13"/>
  <c r="N71" i="13" s="1"/>
  <c r="L60" i="13"/>
  <c r="N60" i="13" s="1"/>
  <c r="K73" i="13"/>
  <c r="M73" i="13" s="1"/>
  <c r="K23" i="13"/>
  <c r="M23" i="13" s="1"/>
  <c r="K71" i="13"/>
  <c r="M71" i="13" s="1"/>
  <c r="K65" i="13"/>
  <c r="M65" i="13" s="1"/>
  <c r="L51" i="13"/>
  <c r="N51" i="13" s="1"/>
  <c r="L28" i="13"/>
  <c r="N28" i="13" s="1"/>
  <c r="E30" i="16"/>
  <c r="H30" i="16" s="1"/>
  <c r="I30" i="16" s="1"/>
  <c r="K62" i="13"/>
  <c r="M62" i="13" s="1"/>
  <c r="K13" i="13"/>
  <c r="M13" i="13" s="1"/>
  <c r="A13" i="17" l="1"/>
  <c r="I2" i="16"/>
</calcChain>
</file>

<file path=xl/sharedStrings.xml><?xml version="1.0" encoding="utf-8"?>
<sst xmlns="http://schemas.openxmlformats.org/spreadsheetml/2006/main" count="10513" uniqueCount="618">
  <si>
    <t>Currency</t>
  </si>
  <si>
    <t>Order_No</t>
  </si>
  <si>
    <t>Order_Date</t>
  </si>
  <si>
    <t>Buyer</t>
  </si>
  <si>
    <t>Style</t>
  </si>
  <si>
    <t>Product_Category</t>
  </si>
  <si>
    <t>Qty</t>
  </si>
  <si>
    <t>Unit_Price</t>
  </si>
  <si>
    <t>Delivery_Date</t>
  </si>
  <si>
    <t>Merchandiser</t>
  </si>
  <si>
    <t>SO-2026-0001</t>
  </si>
  <si>
    <t>Urban Wear</t>
  </si>
  <si>
    <t>ST-103</t>
  </si>
  <si>
    <t>Hoodie</t>
  </si>
  <si>
    <t>USD</t>
  </si>
  <si>
    <t>Merch-02</t>
  </si>
  <si>
    <t>SO-2026-0002</t>
  </si>
  <si>
    <t>ST-109</t>
  </si>
  <si>
    <t>Shirt</t>
  </si>
  <si>
    <t>SO-2026-0003</t>
  </si>
  <si>
    <t>Global Retail</t>
  </si>
  <si>
    <t>ST-108</t>
  </si>
  <si>
    <t>Merch-01</t>
  </si>
  <si>
    <t>SO-2026-0004</t>
  </si>
  <si>
    <t>ABC Fashion</t>
  </si>
  <si>
    <t>ST-110</t>
  </si>
  <si>
    <t>Jacket</t>
  </si>
  <si>
    <t>SO-2026-0005</t>
  </si>
  <si>
    <t>ST-101</t>
  </si>
  <si>
    <t>T-Shirt</t>
  </si>
  <si>
    <t>Merch-05</t>
  </si>
  <si>
    <t>SO-2026-0006</t>
  </si>
  <si>
    <t>North Star Apparel</t>
  </si>
  <si>
    <t>ST-105</t>
  </si>
  <si>
    <t>SO-2026-0007</t>
  </si>
  <si>
    <t>Fashion Hub</t>
  </si>
  <si>
    <t>ST-107</t>
  </si>
  <si>
    <t>Polo</t>
  </si>
  <si>
    <t>Merch-03</t>
  </si>
  <si>
    <t>SO-2026-0008</t>
  </si>
  <si>
    <t>ST-102</t>
  </si>
  <si>
    <t>SO-2026-0009</t>
  </si>
  <si>
    <t>Merch-04</t>
  </si>
  <si>
    <t>SO-2026-0010</t>
  </si>
  <si>
    <t>SO-2026-0011</t>
  </si>
  <si>
    <t>SO-2026-0012</t>
  </si>
  <si>
    <t>SO-2026-0013</t>
  </si>
  <si>
    <t>SO-2026-0014</t>
  </si>
  <si>
    <t>SO-2026-0015</t>
  </si>
  <si>
    <t>SO-2026-0016</t>
  </si>
  <si>
    <t>SO-2026-0017</t>
  </si>
  <si>
    <t>SO-2026-0018</t>
  </si>
  <si>
    <t>SO-2026-0019</t>
  </si>
  <si>
    <t>SO-2026-0020</t>
  </si>
  <si>
    <t>SO-2026-0021</t>
  </si>
  <si>
    <t>ST-104</t>
  </si>
  <si>
    <t>SO-2026-0022</t>
  </si>
  <si>
    <t>SO-2026-0023</t>
  </si>
  <si>
    <t>SO-2026-0024</t>
  </si>
  <si>
    <t>SO-2026-0025</t>
  </si>
  <si>
    <t>SO-2026-0026</t>
  </si>
  <si>
    <t>SO-2026-0027</t>
  </si>
  <si>
    <t>SO-2026-0028</t>
  </si>
  <si>
    <t>SO-2026-0029</t>
  </si>
  <si>
    <t>SO-2026-0030</t>
  </si>
  <si>
    <t>SO-2026-0031</t>
  </si>
  <si>
    <t>ST-106</t>
  </si>
  <si>
    <t>SO-2026-0032</t>
  </si>
  <si>
    <t>SO-2026-0033</t>
  </si>
  <si>
    <t>SO-2026-0034</t>
  </si>
  <si>
    <t>SO-2026-0035</t>
  </si>
  <si>
    <t>SO-2026-0036</t>
  </si>
  <si>
    <t>SO-2026-0037</t>
  </si>
  <si>
    <t>SO-2026-0038</t>
  </si>
  <si>
    <t>SO-2026-0039</t>
  </si>
  <si>
    <t>SO-2026-0040</t>
  </si>
  <si>
    <t>SO-2026-0041</t>
  </si>
  <si>
    <t>SO-2026-0042</t>
  </si>
  <si>
    <t>SO-2026-0043</t>
  </si>
  <si>
    <t>SO-2026-0044</t>
  </si>
  <si>
    <t>SO-2026-0045</t>
  </si>
  <si>
    <t>SO-2026-0046</t>
  </si>
  <si>
    <t>SO-2026-0047</t>
  </si>
  <si>
    <t>SO-2026-0048</t>
  </si>
  <si>
    <t>SO-2026-0049</t>
  </si>
  <si>
    <t>SO-2026-0050</t>
  </si>
  <si>
    <t>SO-2026-0051</t>
  </si>
  <si>
    <t>SO-2026-0052</t>
  </si>
  <si>
    <t>SO-2026-0053</t>
  </si>
  <si>
    <t>SO-2026-0054</t>
  </si>
  <si>
    <t>SO-2026-0055</t>
  </si>
  <si>
    <t>SO-2026-0056</t>
  </si>
  <si>
    <t>SO-2026-0057</t>
  </si>
  <si>
    <t>SO-2026-0058</t>
  </si>
  <si>
    <t>SO-2026-0059</t>
  </si>
  <si>
    <t>SO-2026-0060</t>
  </si>
  <si>
    <t>SO-2026-0061</t>
  </si>
  <si>
    <t>SO-2026-0062</t>
  </si>
  <si>
    <t>SO-2026-0063</t>
  </si>
  <si>
    <t>SO-2026-0064</t>
  </si>
  <si>
    <t>SO-2026-0065</t>
  </si>
  <si>
    <t>SO-2026-0066</t>
  </si>
  <si>
    <t>SO-2026-0067</t>
  </si>
  <si>
    <t>SO-2026-0068</t>
  </si>
  <si>
    <t>SO-2026-0069</t>
  </si>
  <si>
    <t>SO-2026-0070</t>
  </si>
  <si>
    <t>SO-2026-0071</t>
  </si>
  <si>
    <t>SO-2026-0072</t>
  </si>
  <si>
    <t>SO-2026-0073</t>
  </si>
  <si>
    <t>SO-2026-0074</t>
  </si>
  <si>
    <t>SO-2026-0075</t>
  </si>
  <si>
    <t>SO-2026-0076</t>
  </si>
  <si>
    <t>SO-2026-0077</t>
  </si>
  <si>
    <t>SO-2026-0078</t>
  </si>
  <si>
    <t>SO-2026-0079</t>
  </si>
  <si>
    <t>SO-2026-0080</t>
  </si>
  <si>
    <t>Item_Code</t>
  </si>
  <si>
    <t>Item_Type</t>
  </si>
  <si>
    <t>Item_Description</t>
  </si>
  <si>
    <t>UOM</t>
  </si>
  <si>
    <t>Supplier</t>
  </si>
  <si>
    <t>Purchase_Type</t>
  </si>
  <si>
    <t>Status</t>
  </si>
  <si>
    <t>FAB-0100</t>
  </si>
  <si>
    <t>Fabric</t>
  </si>
  <si>
    <t>Main Cotton Jersey</t>
  </si>
  <si>
    <t>KG</t>
  </si>
  <si>
    <t>Delta Textiles</t>
  </si>
  <si>
    <t>Foreign</t>
  </si>
  <si>
    <t>Active</t>
  </si>
  <si>
    <t>ACC-0101</t>
  </si>
  <si>
    <t>Accessory</t>
  </si>
  <si>
    <t>Zipper</t>
  </si>
  <si>
    <t>PCS</t>
  </si>
  <si>
    <t>Prime Accessories</t>
  </si>
  <si>
    <t>Local</t>
  </si>
  <si>
    <t>PKG-0102</t>
  </si>
  <si>
    <t>Packing</t>
  </si>
  <si>
    <t>Poly Bag</t>
  </si>
  <si>
    <t>ACC-0103</t>
  </si>
  <si>
    <t>Button 4-hole</t>
  </si>
  <si>
    <t>Sunrise Packing</t>
  </si>
  <si>
    <t>ACC-0104</t>
  </si>
  <si>
    <t>Size Label</t>
  </si>
  <si>
    <t>Metro Trims</t>
  </si>
  <si>
    <t>ACC-0105</t>
  </si>
  <si>
    <t>PKG-0106</t>
  </si>
  <si>
    <t>Sticker</t>
  </si>
  <si>
    <t>PKG-0107</t>
  </si>
  <si>
    <t>Global Fabrics Ltd.</t>
  </si>
  <si>
    <t>PKG-0108</t>
  </si>
  <si>
    <t>ACC-0109</t>
  </si>
  <si>
    <t>FAB-0110</t>
  </si>
  <si>
    <t>Fleece Fabric</t>
  </si>
  <si>
    <t>ACC-0111</t>
  </si>
  <si>
    <t>PKG-0112</t>
  </si>
  <si>
    <t>PKG-0113</t>
  </si>
  <si>
    <t>ACC-0114</t>
  </si>
  <si>
    <t>FAB-0115</t>
  </si>
  <si>
    <t>PKG-0116</t>
  </si>
  <si>
    <t>ACC-0117</t>
  </si>
  <si>
    <t>Elastic Tape</t>
  </si>
  <si>
    <t>MTR</t>
  </si>
  <si>
    <t>PKG-0118</t>
  </si>
  <si>
    <t>PKG-0119</t>
  </si>
  <si>
    <t>Carton</t>
  </si>
  <si>
    <t>PKG-0120</t>
  </si>
  <si>
    <t>FAB-0121</t>
  </si>
  <si>
    <t>Rib Fabric</t>
  </si>
  <si>
    <t>PKG-0122</t>
  </si>
  <si>
    <t>ACC-0123</t>
  </si>
  <si>
    <t>Brand Label</t>
  </si>
  <si>
    <t>ACC-0124</t>
  </si>
  <si>
    <t>Sewing Thread</t>
  </si>
  <si>
    <t>CONE</t>
  </si>
  <si>
    <t>PKG-0125</t>
  </si>
  <si>
    <t>ACC-0126</t>
  </si>
  <si>
    <t>ACC-0127</t>
  </si>
  <si>
    <t>PKG-0128</t>
  </si>
  <si>
    <t>ACC-0129</t>
  </si>
  <si>
    <t>PKG-0130</t>
  </si>
  <si>
    <t>FAB-0131</t>
  </si>
  <si>
    <t>FAB-0132</t>
  </si>
  <si>
    <t>Polyester Lining</t>
  </si>
  <si>
    <t>ACC-0133</t>
  </si>
  <si>
    <t>PKG-0134</t>
  </si>
  <si>
    <t>Consumption</t>
  </si>
  <si>
    <t>Wastage_%</t>
  </si>
  <si>
    <t>Approval_Status</t>
  </si>
  <si>
    <t>Approved</t>
  </si>
  <si>
    <t>Lead_Time_Days</t>
  </si>
  <si>
    <t>BDT</t>
  </si>
  <si>
    <t>PO_No</t>
  </si>
  <si>
    <t>PO_Date</t>
  </si>
  <si>
    <t>PO-2026-00001</t>
  </si>
  <si>
    <t>Received</t>
  </si>
  <si>
    <t>PO-2026-00002</t>
  </si>
  <si>
    <t>PO-2026-00003</t>
  </si>
  <si>
    <t>Open</t>
  </si>
  <si>
    <t>PO-2026-00004</t>
  </si>
  <si>
    <t>Partial</t>
  </si>
  <si>
    <t>PO-2026-00005</t>
  </si>
  <si>
    <t>PO-2026-00006</t>
  </si>
  <si>
    <t>PO-2026-00007</t>
  </si>
  <si>
    <t>PO-2026-00008</t>
  </si>
  <si>
    <t>PO-2026-00009</t>
  </si>
  <si>
    <t>PO-2026-00010</t>
  </si>
  <si>
    <t>PO-2026-00011</t>
  </si>
  <si>
    <t>PO-2026-00012</t>
  </si>
  <si>
    <t>PO-2026-00013</t>
  </si>
  <si>
    <t>PO-2026-00014</t>
  </si>
  <si>
    <t>PO-2026-00015</t>
  </si>
  <si>
    <t>PO-2026-00016</t>
  </si>
  <si>
    <t>PO-2026-00017</t>
  </si>
  <si>
    <t>Confirmed</t>
  </si>
  <si>
    <t>PO-2026-00018</t>
  </si>
  <si>
    <t>PO-2026-00019</t>
  </si>
  <si>
    <t>PO-2026-00020</t>
  </si>
  <si>
    <t>PO-2026-00021</t>
  </si>
  <si>
    <t>PO-2026-00022</t>
  </si>
  <si>
    <t>PO-2026-00023</t>
  </si>
  <si>
    <t>PO-2026-00024</t>
  </si>
  <si>
    <t>PO-2026-00025</t>
  </si>
  <si>
    <t>PO-2026-00026</t>
  </si>
  <si>
    <t>PO-2026-00027</t>
  </si>
  <si>
    <t>PO-2026-00028</t>
  </si>
  <si>
    <t>PO-2026-00029</t>
  </si>
  <si>
    <t>PO-2026-00030</t>
  </si>
  <si>
    <t>PO-2026-00031</t>
  </si>
  <si>
    <t>PO-2026-00032</t>
  </si>
  <si>
    <t>PO-2026-00033</t>
  </si>
  <si>
    <t>PO-2026-00034</t>
  </si>
  <si>
    <t>PO-2026-00035</t>
  </si>
  <si>
    <t>PO-2026-00036</t>
  </si>
  <si>
    <t>PO-2026-00037</t>
  </si>
  <si>
    <t>PO-2026-00038</t>
  </si>
  <si>
    <t>PO-2026-00039</t>
  </si>
  <si>
    <t>PO-2026-00040</t>
  </si>
  <si>
    <t>PO-2026-00041</t>
  </si>
  <si>
    <t>PO-2026-00042</t>
  </si>
  <si>
    <t>PO-2026-00043</t>
  </si>
  <si>
    <t>PO-2026-00044</t>
  </si>
  <si>
    <t>PO-2026-00045</t>
  </si>
  <si>
    <t>PO-2026-00046</t>
  </si>
  <si>
    <t>PO-2026-00047</t>
  </si>
  <si>
    <t>PO-2026-00048</t>
  </si>
  <si>
    <t>PO-2026-00049</t>
  </si>
  <si>
    <t>PO-2026-00050</t>
  </si>
  <si>
    <t>PO-2026-00051</t>
  </si>
  <si>
    <t>PO-2026-00052</t>
  </si>
  <si>
    <t>PO-2026-00053</t>
  </si>
  <si>
    <t>PO-2026-00054</t>
  </si>
  <si>
    <t>PO-2026-00055</t>
  </si>
  <si>
    <t>PO-2026-00056</t>
  </si>
  <si>
    <t>PO-2026-00057</t>
  </si>
  <si>
    <t>PO-2026-00058</t>
  </si>
  <si>
    <t>PO-2026-00059</t>
  </si>
  <si>
    <t>PO-2026-00060</t>
  </si>
  <si>
    <t>PO-2026-00061</t>
  </si>
  <si>
    <t>PO-2026-00062</t>
  </si>
  <si>
    <t>PO-2026-00063</t>
  </si>
  <si>
    <t>PO-2026-00064</t>
  </si>
  <si>
    <t>PO-2026-00065</t>
  </si>
  <si>
    <t>PO-2026-00066</t>
  </si>
  <si>
    <t>PO-2026-00067</t>
  </si>
  <si>
    <t>PO-2026-00068</t>
  </si>
  <si>
    <t>PO-2026-00069</t>
  </si>
  <si>
    <t>PO-2026-00070</t>
  </si>
  <si>
    <t>PO-2026-00071</t>
  </si>
  <si>
    <t>PO-2026-00072</t>
  </si>
  <si>
    <t>PO-2026-00073</t>
  </si>
  <si>
    <t>PO-2026-00074</t>
  </si>
  <si>
    <t>PO-2026-00075</t>
  </si>
  <si>
    <t>PO-2026-00076</t>
  </si>
  <si>
    <t>PO-2026-00077</t>
  </si>
  <si>
    <t>PO-2026-00078</t>
  </si>
  <si>
    <t>PO-2026-00079</t>
  </si>
  <si>
    <t>PO-2026-00080</t>
  </si>
  <si>
    <t>PO-2026-00081</t>
  </si>
  <si>
    <t>PO-2026-00082</t>
  </si>
  <si>
    <t>PO-2026-00083</t>
  </si>
  <si>
    <t>PO-2026-00084</t>
  </si>
  <si>
    <t>PO-2026-00085</t>
  </si>
  <si>
    <t>PO-2026-00086</t>
  </si>
  <si>
    <t>PO-2026-00087</t>
  </si>
  <si>
    <t>PO-2026-00088</t>
  </si>
  <si>
    <t>PO-2026-00089</t>
  </si>
  <si>
    <t>PO-2026-00090</t>
  </si>
  <si>
    <t>PO-2026-00091</t>
  </si>
  <si>
    <t>PO-2026-00092</t>
  </si>
  <si>
    <t>PO-2026-00093</t>
  </si>
  <si>
    <t>PO-2026-00094</t>
  </si>
  <si>
    <t>PO-2026-00095</t>
  </si>
  <si>
    <t>PO-2026-00096</t>
  </si>
  <si>
    <t>PO-2026-00097</t>
  </si>
  <si>
    <t>PO-2026-00098</t>
  </si>
  <si>
    <t>PO-2026-00099</t>
  </si>
  <si>
    <t>PO-2026-00100</t>
  </si>
  <si>
    <t>PO-2026-00101</t>
  </si>
  <si>
    <t>PO-2026-00102</t>
  </si>
  <si>
    <t>PO-2026-00103</t>
  </si>
  <si>
    <t>PO-2026-00104</t>
  </si>
  <si>
    <t>PO-2026-00105</t>
  </si>
  <si>
    <t>PO-2026-00106</t>
  </si>
  <si>
    <t>PO-2026-00107</t>
  </si>
  <si>
    <t>PO-2026-00108</t>
  </si>
  <si>
    <t>PO-2026-00109</t>
  </si>
  <si>
    <t>PO-2026-00110</t>
  </si>
  <si>
    <t>PO-2026-00111</t>
  </si>
  <si>
    <t>PO-2026-00112</t>
  </si>
  <si>
    <t>PO-2026-00113</t>
  </si>
  <si>
    <t>PO-2026-00114</t>
  </si>
  <si>
    <t>PO-2026-00115</t>
  </si>
  <si>
    <t>PO-2026-00116</t>
  </si>
  <si>
    <t>PO-2026-00117</t>
  </si>
  <si>
    <t>PO-2026-00118</t>
  </si>
  <si>
    <t>PO-2026-00119</t>
  </si>
  <si>
    <t>PO-2026-00120</t>
  </si>
  <si>
    <t>PO-2026-00121</t>
  </si>
  <si>
    <t>PO-2026-00122</t>
  </si>
  <si>
    <t>PO-2026-00123</t>
  </si>
  <si>
    <t>PO-2026-00124</t>
  </si>
  <si>
    <t>PO-2026-00125</t>
  </si>
  <si>
    <t>PO-2026-00126</t>
  </si>
  <si>
    <t>PO-2026-00127</t>
  </si>
  <si>
    <t>PO-2026-00128</t>
  </si>
  <si>
    <t>PO-2026-00129</t>
  </si>
  <si>
    <t>PO-2026-00130</t>
  </si>
  <si>
    <t>PO-2026-00131</t>
  </si>
  <si>
    <t>PO-2026-00132</t>
  </si>
  <si>
    <t>PO-2026-00133</t>
  </si>
  <si>
    <t>PO-2026-00134</t>
  </si>
  <si>
    <t>PO-2026-00135</t>
  </si>
  <si>
    <t>PO-2026-00136</t>
  </si>
  <si>
    <t>PO-2026-00137</t>
  </si>
  <si>
    <t>PO-2026-00138</t>
  </si>
  <si>
    <t>PO-2026-00139</t>
  </si>
  <si>
    <t>PO-2026-00140</t>
  </si>
  <si>
    <t>PO-2026-00141</t>
  </si>
  <si>
    <t>PO-2026-00142</t>
  </si>
  <si>
    <t>PO-2026-00143</t>
  </si>
  <si>
    <t>PO-2026-00144</t>
  </si>
  <si>
    <t>PO-2026-00145</t>
  </si>
  <si>
    <t>PO-2026-00146</t>
  </si>
  <si>
    <t>PO-2026-00147</t>
  </si>
  <si>
    <t>PO-2026-00148</t>
  </si>
  <si>
    <t>PO-2026-00149</t>
  </si>
  <si>
    <t>PO-2026-00150</t>
  </si>
  <si>
    <t>PO-2026-00151</t>
  </si>
  <si>
    <t>PO-2026-00152</t>
  </si>
  <si>
    <t>PO-2026-00153</t>
  </si>
  <si>
    <t>PO-2026-00154</t>
  </si>
  <si>
    <t>PO-2026-00155</t>
  </si>
  <si>
    <t>PO-2026-00156</t>
  </si>
  <si>
    <t>PO-2026-00157</t>
  </si>
  <si>
    <t>PO-2026-00158</t>
  </si>
  <si>
    <t>PO-2026-00159</t>
  </si>
  <si>
    <t>PO-2026-00160</t>
  </si>
  <si>
    <t>PO-2026-00161</t>
  </si>
  <si>
    <t>PO-2026-00162</t>
  </si>
  <si>
    <t>PO-2026-00163</t>
  </si>
  <si>
    <t>PO-2026-00164</t>
  </si>
  <si>
    <t>PO-2026-00165</t>
  </si>
  <si>
    <t>PO-2026-00166</t>
  </si>
  <si>
    <t>PO-2026-00167</t>
  </si>
  <si>
    <t>PO-2026-00168</t>
  </si>
  <si>
    <t>PO-2026-00169</t>
  </si>
  <si>
    <t>PO-2026-00170</t>
  </si>
  <si>
    <t>PO-2026-00171</t>
  </si>
  <si>
    <t>PO-2026-00172</t>
  </si>
  <si>
    <t>PO-2026-00173</t>
  </si>
  <si>
    <t>PO-2026-00174</t>
  </si>
  <si>
    <t>PO-2026-00175</t>
  </si>
  <si>
    <t>PO-2026-00176</t>
  </si>
  <si>
    <t>PO-2026-00177</t>
  </si>
  <si>
    <t>PO-2026-00178</t>
  </si>
  <si>
    <t>PO-2026-00179</t>
  </si>
  <si>
    <t>PO-2026-00180</t>
  </si>
  <si>
    <t>Fabric_Cost</t>
  </si>
  <si>
    <t>Accessories_Cost</t>
  </si>
  <si>
    <t>Packing_Cost</t>
  </si>
  <si>
    <t>Labor_Cost</t>
  </si>
  <si>
    <t>Overhead</t>
  </si>
  <si>
    <t>Date</t>
  </si>
  <si>
    <t>Day</t>
  </si>
  <si>
    <t>Department</t>
  </si>
  <si>
    <t>Team_no</t>
  </si>
  <si>
    <t>No_of_workers</t>
  </si>
  <si>
    <t>No_of_style_change</t>
  </si>
  <si>
    <t>Targeted_productivity</t>
  </si>
  <si>
    <t>Smv</t>
  </si>
  <si>
    <t>Wip</t>
  </si>
  <si>
    <t>Over_time</t>
  </si>
  <si>
    <t>Incentive</t>
  </si>
  <si>
    <t>Idle_time</t>
  </si>
  <si>
    <t>Idle_men</t>
  </si>
  <si>
    <t>Actual_productivity</t>
  </si>
  <si>
    <t>Monday</t>
  </si>
  <si>
    <t>Cutting</t>
  </si>
  <si>
    <t>T01</t>
  </si>
  <si>
    <t>T06</t>
  </si>
  <si>
    <t>Sewing</t>
  </si>
  <si>
    <t>T02</t>
  </si>
  <si>
    <t>T03</t>
  </si>
  <si>
    <t>Finishing</t>
  </si>
  <si>
    <t>T04</t>
  </si>
  <si>
    <t>T05</t>
  </si>
  <si>
    <t>Tuesday</t>
  </si>
  <si>
    <t>Wednesday</t>
  </si>
  <si>
    <t>Thursday</t>
  </si>
  <si>
    <t>Friday</t>
  </si>
  <si>
    <t>Saturday</t>
  </si>
  <si>
    <t>Sunday</t>
  </si>
  <si>
    <t>Target Productivity</t>
  </si>
  <si>
    <t>Actual Productivity</t>
  </si>
  <si>
    <t>Productivity Gap</t>
  </si>
  <si>
    <t>WIP</t>
  </si>
  <si>
    <t>Overtime (min)</t>
  </si>
  <si>
    <t>Idle Time (min)</t>
  </si>
  <si>
    <t>Idle Men</t>
  </si>
  <si>
    <t>Style Changes</t>
  </si>
  <si>
    <t>SMV</t>
  </si>
  <si>
    <t>Workers</t>
  </si>
  <si>
    <t>Data_Check</t>
  </si>
  <si>
    <t>Not Provided (Raw)</t>
  </si>
  <si>
    <t>BOM_ID</t>
  </si>
  <si>
    <t>Description</t>
  </si>
  <si>
    <t>Reference_Supplier</t>
  </si>
  <si>
    <t>Reference_Price</t>
  </si>
  <si>
    <t>BOM-0001</t>
  </si>
  <si>
    <t>BOM-0002</t>
  </si>
  <si>
    <t>BOM-0003</t>
  </si>
  <si>
    <t>BOM-0004</t>
  </si>
  <si>
    <t>BOM-0005</t>
  </si>
  <si>
    <t>BOM-0006</t>
  </si>
  <si>
    <t>BOM-0007</t>
  </si>
  <si>
    <t>BOM-0008</t>
  </si>
  <si>
    <t>BOM-0009</t>
  </si>
  <si>
    <t>BOM-0010</t>
  </si>
  <si>
    <t>BOM-0011</t>
  </si>
  <si>
    <t>BOM-0012</t>
  </si>
  <si>
    <t>BOM-0013</t>
  </si>
  <si>
    <t>BOM-0014</t>
  </si>
  <si>
    <t>BOM-0015</t>
  </si>
  <si>
    <t>BOM-0016</t>
  </si>
  <si>
    <t>BOM-0017</t>
  </si>
  <si>
    <t>BOM-0018</t>
  </si>
  <si>
    <t>BOM-0019</t>
  </si>
  <si>
    <t>BOM-0020</t>
  </si>
  <si>
    <t>BOM-0021</t>
  </si>
  <si>
    <t>BOM-0022</t>
  </si>
  <si>
    <t>BOM-0023</t>
  </si>
  <si>
    <t>BOM-0024</t>
  </si>
  <si>
    <t>BOM-0025</t>
  </si>
  <si>
    <t>BOM-0026</t>
  </si>
  <si>
    <t>BOM-0027</t>
  </si>
  <si>
    <t>BOM-0028</t>
  </si>
  <si>
    <t>BOM-0029</t>
  </si>
  <si>
    <t>BOM-0030</t>
  </si>
  <si>
    <t>BOM-0031</t>
  </si>
  <si>
    <t>BOM-0032</t>
  </si>
  <si>
    <t>BOM-0033</t>
  </si>
  <si>
    <t>BOM-0034</t>
  </si>
  <si>
    <t>BOM-0035</t>
  </si>
  <si>
    <t>BOM-0036</t>
  </si>
  <si>
    <t>BOM-0037</t>
  </si>
  <si>
    <t>BOM-0038</t>
  </si>
  <si>
    <t>BOM-0039</t>
  </si>
  <si>
    <t>BOM-0040</t>
  </si>
  <si>
    <t>BOM-0041</t>
  </si>
  <si>
    <t>BOM-0042</t>
  </si>
  <si>
    <t>BOM-0043</t>
  </si>
  <si>
    <t>BOM-0044</t>
  </si>
  <si>
    <t>BOM-0045</t>
  </si>
  <si>
    <t>BOM-0046</t>
  </si>
  <si>
    <t>BOM-0047</t>
  </si>
  <si>
    <t>BOM-0048</t>
  </si>
  <si>
    <t>BOM-0049</t>
  </si>
  <si>
    <t>BOM-0050</t>
  </si>
  <si>
    <t>BOM-0051</t>
  </si>
  <si>
    <t>BOM-0052</t>
  </si>
  <si>
    <t>BOM-0053</t>
  </si>
  <si>
    <t>BOM-0054</t>
  </si>
  <si>
    <t>BOM-0055</t>
  </si>
  <si>
    <t>BOM-0056</t>
  </si>
  <si>
    <t>BOM-0057</t>
  </si>
  <si>
    <t>BOM-0058</t>
  </si>
  <si>
    <t>BOM-0059</t>
  </si>
  <si>
    <t>BOM-0060</t>
  </si>
  <si>
    <t>BOM-0061</t>
  </si>
  <si>
    <t>BOM-0062</t>
  </si>
  <si>
    <t>BOM-0063</t>
  </si>
  <si>
    <t>BOM-0064</t>
  </si>
  <si>
    <t>BOM-0065</t>
  </si>
  <si>
    <t>BOM-0066</t>
  </si>
  <si>
    <t>BOM-0067</t>
  </si>
  <si>
    <t>BOM-0068</t>
  </si>
  <si>
    <t>BOM-0069</t>
  </si>
  <si>
    <t>BOM-0070</t>
  </si>
  <si>
    <t>Estimate_ID</t>
  </si>
  <si>
    <t>Fabric_BDT</t>
  </si>
  <si>
    <t>Fabric_USD</t>
  </si>
  <si>
    <t>Accessory_BDT</t>
  </si>
  <si>
    <t>Accessory_USD</t>
  </si>
  <si>
    <t>Packing_BDT</t>
  </si>
  <si>
    <t>Packing_USD</t>
  </si>
  <si>
    <t>Total_BDT</t>
  </si>
  <si>
    <t>Total_USD</t>
  </si>
  <si>
    <t>BDT_per_Piece</t>
  </si>
  <si>
    <t>USD_per_Piece</t>
  </si>
  <si>
    <t>EST-0001</t>
  </si>
  <si>
    <t>EST-0002</t>
  </si>
  <si>
    <t>EST-0003</t>
  </si>
  <si>
    <t>EST-0004</t>
  </si>
  <si>
    <t>EST-0005</t>
  </si>
  <si>
    <t>EST-0006</t>
  </si>
  <si>
    <t>EST-0007</t>
  </si>
  <si>
    <t>EST-0008</t>
  </si>
  <si>
    <t>EST-0009</t>
  </si>
  <si>
    <t>EST-0010</t>
  </si>
  <si>
    <t>EST-0011</t>
  </si>
  <si>
    <t>EST-0012</t>
  </si>
  <si>
    <t>EST-0013</t>
  </si>
  <si>
    <t>EST-0014</t>
  </si>
  <si>
    <t>EST-0015</t>
  </si>
  <si>
    <t>EST-0016</t>
  </si>
  <si>
    <t>EST-0017</t>
  </si>
  <si>
    <t>EST-0018</t>
  </si>
  <si>
    <t>EST-0019</t>
  </si>
  <si>
    <t>EST-0020</t>
  </si>
  <si>
    <t>EST-0021</t>
  </si>
  <si>
    <t>EST-0022</t>
  </si>
  <si>
    <t>EST-0023</t>
  </si>
  <si>
    <t>EST-0024</t>
  </si>
  <si>
    <t>EST-0025</t>
  </si>
  <si>
    <t>EST-0026</t>
  </si>
  <si>
    <t>EST-0027</t>
  </si>
  <si>
    <t>EST-0028</t>
  </si>
  <si>
    <t>EST-0029</t>
  </si>
  <si>
    <t>EST-0030</t>
  </si>
  <si>
    <t>EST-0031</t>
  </si>
  <si>
    <t>EST-0032</t>
  </si>
  <si>
    <t>EST-0033</t>
  </si>
  <si>
    <t>EST-0034</t>
  </si>
  <si>
    <t>EST-0035</t>
  </si>
  <si>
    <t>EST-0036</t>
  </si>
  <si>
    <t>EST-0037</t>
  </si>
  <si>
    <t>EST-0038</t>
  </si>
  <si>
    <t>EST-0039</t>
  </si>
  <si>
    <t>EST-0040</t>
  </si>
  <si>
    <t>EST-0041</t>
  </si>
  <si>
    <t>EST-0042</t>
  </si>
  <si>
    <t>EST-0043</t>
  </si>
  <si>
    <t>EST-0044</t>
  </si>
  <si>
    <t>EST-0045</t>
  </si>
  <si>
    <t>EST-0046</t>
  </si>
  <si>
    <t>EST-0047</t>
  </si>
  <si>
    <t>EST-0048</t>
  </si>
  <si>
    <t>EST-0049</t>
  </si>
  <si>
    <t>EST-0050</t>
  </si>
  <si>
    <t>EST-0051</t>
  </si>
  <si>
    <t>EST-0052</t>
  </si>
  <si>
    <t>EST-0053</t>
  </si>
  <si>
    <t>EST-0054</t>
  </si>
  <si>
    <t>EST-0055</t>
  </si>
  <si>
    <t>EST-0056</t>
  </si>
  <si>
    <t>EST-0057</t>
  </si>
  <si>
    <t>EST-0058</t>
  </si>
  <si>
    <t>EST-0059</t>
  </si>
  <si>
    <t>EST-0060</t>
  </si>
  <si>
    <t>EST-0061</t>
  </si>
  <si>
    <t>EST-0062</t>
  </si>
  <si>
    <t>EST-0063</t>
  </si>
  <si>
    <t>EST-0064</t>
  </si>
  <si>
    <t>EST-0065</t>
  </si>
  <si>
    <t>EST-0066</t>
  </si>
  <si>
    <t>EST-0067</t>
  </si>
  <si>
    <t>EST-0068</t>
  </si>
  <si>
    <t>EST-0069</t>
  </si>
  <si>
    <t>EST-0070</t>
  </si>
  <si>
    <t>EST-0071</t>
  </si>
  <si>
    <t>EST-0072</t>
  </si>
  <si>
    <t>EST-0073</t>
  </si>
  <si>
    <t>EST-0074</t>
  </si>
  <si>
    <t>EST-0075</t>
  </si>
  <si>
    <t>EST-0076</t>
  </si>
  <si>
    <t>EST-0077</t>
  </si>
  <si>
    <t>EST-0078</t>
  </si>
  <si>
    <t>EST-0079</t>
  </si>
  <si>
    <t>EST-0080</t>
  </si>
  <si>
    <t>Total_Cost</t>
  </si>
  <si>
    <t>Cost_per_Piece</t>
  </si>
  <si>
    <t>Order_Qty</t>
  </si>
  <si>
    <t>PO_Qty</t>
  </si>
  <si>
    <t>Cost_Qty</t>
  </si>
  <si>
    <t>Qty_Check</t>
  </si>
  <si>
    <t>Style_Check</t>
  </si>
  <si>
    <t>Currency_Check</t>
  </si>
  <si>
    <t>Overall_Status</t>
  </si>
  <si>
    <t>Action</t>
  </si>
  <si>
    <t>GARMENT OPERATIONS &amp; DATA QUALITY DASHBOARD</t>
  </si>
  <si>
    <t>Orders</t>
  </si>
  <si>
    <t>Order Qty</t>
  </si>
  <si>
    <t>PO Qty</t>
  </si>
  <si>
    <t>PO Coverage</t>
  </si>
  <si>
    <t>Avg Actual Productivity</t>
  </si>
  <si>
    <t>Avg Target Productivity</t>
  </si>
  <si>
    <t>Avg Productivity Gap</t>
  </si>
  <si>
    <t>Total WIP</t>
  </si>
  <si>
    <t>Total Overtime (min)</t>
  </si>
  <si>
    <t>Total Idle Time (min)</t>
  </si>
  <si>
    <t>Total Idle Men</t>
  </si>
  <si>
    <t>Avg Style Changes</t>
  </si>
  <si>
    <t>Action Required Orders</t>
  </si>
  <si>
    <t>Orders Missing PO</t>
  </si>
  <si>
    <t>Avg Cost / Piece</t>
  </si>
  <si>
    <t>Production Rows</t>
  </si>
  <si>
    <t>Avg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</si>
</sst>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0.0%"/>
    <numFmt numFmtId="167" formatCode="#,##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6" fontId="0" fillId="0" borderId="1" xfId="0" applyNumberFormat="1" applyBorder="1"/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/>
    <xf numFmtId="4" fontId="0" fillId="0" borderId="0" xfId="0" applyNumberFormat="1"/>
    <xf numFmtId="167" fontId="0" fillId="0" borderId="0" xfId="0" applyNumberFormat="1"/>
    <xf numFmtId="1" fontId="4" fillId="0" borderId="1" xfId="0" applyNumberFormat="1" applyFont="1" applyBorder="1"/>
    <xf numFmtId="3" fontId="4" fillId="0" borderId="1" xfId="0" applyNumberFormat="1" applyFont="1" applyBorder="1"/>
    <xf numFmtId="166" fontId="4" fillId="0" borderId="1" xfId="0" applyNumberFormat="1" applyFont="1" applyBorder="1"/>
    <xf numFmtId="2" fontId="4" fillId="0" borderId="1" xfId="0" applyNumberFormat="1" applyFont="1" applyBorder="1"/>
    <xf numFmtId="167" fontId="4" fillId="0" borderId="1" xfId="0" applyNumberFormat="1" applyFont="1" applyBorder="1"/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Productivity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Avg Actual Productivity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Dashboard!$A$17:$A$19</c:f>
              <c:strCache>
                <c:ptCount val="3"/>
                <c:pt idx="0">
                  <c:v>Cutting</c:v>
                </c:pt>
                <c:pt idx="1">
                  <c:v>Finishing</c:v>
                </c:pt>
                <c:pt idx="2">
                  <c:v>Sewing</c:v>
                </c:pt>
              </c:strCache>
            </c:strRef>
          </c:cat>
          <c:val>
            <c:numRef>
              <c:f>Dashboard!$B$17:$B$19</c:f>
              <c:numCache>
                <c:formatCode>0.0%</c:formatCode>
                <c:ptCount val="3"/>
                <c:pt idx="0">
                  <c:v>0.73270833333333296</c:v>
                </c:pt>
                <c:pt idx="1">
                  <c:v>0.73583333333333356</c:v>
                </c:pt>
                <c:pt idx="2">
                  <c:v>0.7480833333333331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C-4246-9625-E29BBBEE8D8D}"/>
            </c:ext>
          </c:extLst>
        </c:ser>
        <c:ser>
          <c:idx val="1"/>
          <c:order val="1"/>
          <c:tx>
            <c:strRef>
              <c:f>Dashboard!$C$16</c:f>
              <c:strCache>
                <c:ptCount val="1"/>
                <c:pt idx="0">
                  <c:v>Avg Target Productivity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Dashboard!$A$17:$A$19</c:f>
              <c:strCache>
                <c:ptCount val="3"/>
                <c:pt idx="0">
                  <c:v>Cutting</c:v>
                </c:pt>
                <c:pt idx="1">
                  <c:v>Finishing</c:v>
                </c:pt>
                <c:pt idx="2">
                  <c:v>Sewing</c:v>
                </c:pt>
              </c:strCache>
            </c:strRef>
          </c:cat>
          <c:val>
            <c:numRef>
              <c:f>Dashboard!$C$17:$C$19</c:f>
              <c:numCache>
                <c:formatCode>0.0%</c:formatCode>
                <c:ptCount val="3"/>
                <c:pt idx="0">
                  <c:v>0.80504166666666632</c:v>
                </c:pt>
                <c:pt idx="1">
                  <c:v>0.80337500000000017</c:v>
                </c:pt>
                <c:pt idx="2">
                  <c:v>0.81350000000000022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C-4246-9625-E29BBBEE8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Productivity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236220</xdr:colOff>
      <xdr:row>14</xdr:row>
      <xdr:rowOff>91440</xdr:rowOff>
    </xdr:from>
    <xdr:ext cx="4168140" cy="24079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8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1" customWidth="1"/>
    <col min="3" max="3" width="20" customWidth="1"/>
    <col min="4" max="4" width="12" customWidth="1"/>
    <col min="5" max="5" width="18" customWidth="1"/>
    <col min="6" max="8" width="12" customWidth="1"/>
    <col min="9" max="9" width="21" customWidth="1"/>
    <col min="10" max="10" width="14" customWidth="1"/>
  </cols>
  <sheetData>
    <row r="1" spans="1:10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0</v>
      </c>
      <c r="I1" s="2" t="s">
        <v>8</v>
      </c>
      <c r="J1" s="2" t="s">
        <v>9</v>
      </c>
    </row>
    <row r="2" spans="1:10" x14ac:dyDescent="0.3">
      <c r="A2" s="3" t="s">
        <v>10</v>
      </c>
      <c r="B2" s="4">
        <v>46105</v>
      </c>
      <c r="C2" s="3" t="s">
        <v>11</v>
      </c>
      <c r="D2" s="3" t="s">
        <v>12</v>
      </c>
      <c r="E2" s="3" t="s">
        <v>13</v>
      </c>
      <c r="F2" s="3">
        <v>5263</v>
      </c>
      <c r="G2" s="5">
        <v>12.28</v>
      </c>
      <c r="H2" s="3" t="s">
        <v>14</v>
      </c>
      <c r="I2" s="4">
        <v>46140</v>
      </c>
      <c r="J2" s="3" t="s">
        <v>15</v>
      </c>
    </row>
    <row r="3" spans="1:10" x14ac:dyDescent="0.3">
      <c r="A3" s="3" t="s">
        <v>16</v>
      </c>
      <c r="B3" s="4">
        <v>46074</v>
      </c>
      <c r="C3" s="3" t="s">
        <v>11</v>
      </c>
      <c r="D3" s="3" t="s">
        <v>17</v>
      </c>
      <c r="E3" s="3" t="s">
        <v>18</v>
      </c>
      <c r="F3" s="3">
        <v>9914</v>
      </c>
      <c r="G3" s="5">
        <v>17.579999999999998</v>
      </c>
      <c r="H3" s="3" t="s">
        <v>14</v>
      </c>
      <c r="I3" s="4">
        <v>46122</v>
      </c>
      <c r="J3" s="3" t="s">
        <v>15</v>
      </c>
    </row>
    <row r="4" spans="1:10" x14ac:dyDescent="0.3">
      <c r="A4" s="3" t="s">
        <v>19</v>
      </c>
      <c r="B4" s="4">
        <v>46130</v>
      </c>
      <c r="C4" s="3" t="s">
        <v>20</v>
      </c>
      <c r="D4" s="3" t="s">
        <v>21</v>
      </c>
      <c r="E4" s="3" t="s">
        <v>13</v>
      </c>
      <c r="F4" s="3">
        <v>1342</v>
      </c>
      <c r="G4" s="5">
        <v>9.73</v>
      </c>
      <c r="H4" s="3" t="s">
        <v>14</v>
      </c>
      <c r="I4" s="4">
        <v>46212</v>
      </c>
      <c r="J4" s="3" t="s">
        <v>22</v>
      </c>
    </row>
    <row r="5" spans="1:10" x14ac:dyDescent="0.3">
      <c r="A5" s="3" t="s">
        <v>23</v>
      </c>
      <c r="B5" s="4">
        <v>46046</v>
      </c>
      <c r="C5" s="3" t="s">
        <v>24</v>
      </c>
      <c r="D5" s="3" t="s">
        <v>25</v>
      </c>
      <c r="E5" s="3" t="s">
        <v>26</v>
      </c>
      <c r="F5" s="3">
        <v>5769</v>
      </c>
      <c r="G5" s="5">
        <v>15.61</v>
      </c>
      <c r="H5" s="3" t="s">
        <v>14</v>
      </c>
      <c r="I5" s="4">
        <v>46136</v>
      </c>
      <c r="J5" s="3" t="s">
        <v>22</v>
      </c>
    </row>
    <row r="6" spans="1:10" x14ac:dyDescent="0.3">
      <c r="A6" s="3" t="s">
        <v>27</v>
      </c>
      <c r="B6" s="4">
        <v>46090</v>
      </c>
      <c r="C6" s="3" t="s">
        <v>20</v>
      </c>
      <c r="D6" s="3" t="s">
        <v>28</v>
      </c>
      <c r="E6" s="3" t="s">
        <v>29</v>
      </c>
      <c r="F6" s="3">
        <v>11218</v>
      </c>
      <c r="G6" s="5">
        <v>11.88</v>
      </c>
      <c r="H6" s="3" t="s">
        <v>14</v>
      </c>
      <c r="I6" s="4">
        <v>46175</v>
      </c>
      <c r="J6" s="3" t="s">
        <v>30</v>
      </c>
    </row>
    <row r="7" spans="1:10" x14ac:dyDescent="0.3">
      <c r="A7" s="3" t="s">
        <v>31</v>
      </c>
      <c r="B7" s="4">
        <v>46071</v>
      </c>
      <c r="C7" s="3" t="s">
        <v>32</v>
      </c>
      <c r="D7" s="3" t="s">
        <v>33</v>
      </c>
      <c r="E7" s="3" t="s">
        <v>26</v>
      </c>
      <c r="F7" s="3">
        <v>4306</v>
      </c>
      <c r="G7" s="5">
        <v>10.31</v>
      </c>
      <c r="H7" s="3" t="s">
        <v>14</v>
      </c>
      <c r="I7" s="4">
        <v>46160</v>
      </c>
      <c r="J7" s="3" t="s">
        <v>15</v>
      </c>
    </row>
    <row r="8" spans="1:10" x14ac:dyDescent="0.3">
      <c r="A8" s="3" t="s">
        <v>34</v>
      </c>
      <c r="B8" s="4">
        <v>46032</v>
      </c>
      <c r="C8" s="3" t="s">
        <v>35</v>
      </c>
      <c r="D8" s="3" t="s">
        <v>36</v>
      </c>
      <c r="E8" s="3" t="s">
        <v>37</v>
      </c>
      <c r="F8" s="3">
        <v>4961</v>
      </c>
      <c r="G8" s="5">
        <v>7.51</v>
      </c>
      <c r="H8" s="3" t="s">
        <v>14</v>
      </c>
      <c r="I8" s="4">
        <v>46101</v>
      </c>
      <c r="J8" s="3" t="s">
        <v>38</v>
      </c>
    </row>
    <row r="9" spans="1:10" x14ac:dyDescent="0.3">
      <c r="A9" s="3" t="s">
        <v>39</v>
      </c>
      <c r="B9" s="4">
        <v>46119</v>
      </c>
      <c r="C9" s="3" t="s">
        <v>35</v>
      </c>
      <c r="D9" s="3" t="s">
        <v>40</v>
      </c>
      <c r="E9" s="3" t="s">
        <v>37</v>
      </c>
      <c r="F9" s="3">
        <v>9075</v>
      </c>
      <c r="G9" s="5">
        <v>5.04</v>
      </c>
      <c r="H9" s="3" t="s">
        <v>14</v>
      </c>
      <c r="I9" s="4">
        <v>46157</v>
      </c>
      <c r="J9" s="3" t="s">
        <v>38</v>
      </c>
    </row>
    <row r="10" spans="1:10" x14ac:dyDescent="0.3">
      <c r="A10" s="3" t="s">
        <v>41</v>
      </c>
      <c r="B10" s="4">
        <v>46030</v>
      </c>
      <c r="C10" s="3" t="s">
        <v>11</v>
      </c>
      <c r="D10" s="3" t="s">
        <v>17</v>
      </c>
      <c r="E10" s="3" t="s">
        <v>18</v>
      </c>
      <c r="F10" s="3">
        <v>2613</v>
      </c>
      <c r="G10" s="5">
        <v>12.33</v>
      </c>
      <c r="H10" s="3" t="s">
        <v>14</v>
      </c>
      <c r="I10" s="4">
        <v>46093</v>
      </c>
      <c r="J10" s="3" t="s">
        <v>42</v>
      </c>
    </row>
    <row r="11" spans="1:10" x14ac:dyDescent="0.3">
      <c r="A11" s="3" t="s">
        <v>43</v>
      </c>
      <c r="B11" s="4">
        <v>46043</v>
      </c>
      <c r="C11" s="3" t="s">
        <v>24</v>
      </c>
      <c r="D11" s="3" t="s">
        <v>33</v>
      </c>
      <c r="E11" s="3" t="s">
        <v>26</v>
      </c>
      <c r="F11" s="3">
        <v>5933</v>
      </c>
      <c r="G11" s="5">
        <v>11.34</v>
      </c>
      <c r="H11" s="3" t="s">
        <v>14</v>
      </c>
      <c r="I11" s="4">
        <v>46131</v>
      </c>
      <c r="J11" s="3" t="s">
        <v>22</v>
      </c>
    </row>
    <row r="12" spans="1:10" x14ac:dyDescent="0.3">
      <c r="A12" s="3" t="s">
        <v>44</v>
      </c>
      <c r="B12" s="4">
        <v>46047</v>
      </c>
      <c r="C12" s="3" t="s">
        <v>24</v>
      </c>
      <c r="D12" s="3" t="s">
        <v>36</v>
      </c>
      <c r="E12" s="3" t="s">
        <v>37</v>
      </c>
      <c r="F12" s="3">
        <v>3043</v>
      </c>
      <c r="G12" s="5">
        <v>11.5</v>
      </c>
      <c r="H12" s="3" t="s">
        <v>14</v>
      </c>
      <c r="I12" s="4">
        <v>46086</v>
      </c>
      <c r="J12" s="3" t="s">
        <v>15</v>
      </c>
    </row>
    <row r="13" spans="1:10" x14ac:dyDescent="0.3">
      <c r="A13" s="3" t="s">
        <v>45</v>
      </c>
      <c r="B13" s="4">
        <v>46054</v>
      </c>
      <c r="C13" s="3" t="s">
        <v>35</v>
      </c>
      <c r="D13" s="3" t="s">
        <v>40</v>
      </c>
      <c r="E13" s="3" t="s">
        <v>37</v>
      </c>
      <c r="F13" s="3">
        <v>7152</v>
      </c>
      <c r="G13" s="5">
        <v>12.21</v>
      </c>
      <c r="H13" s="3" t="s">
        <v>14</v>
      </c>
      <c r="I13" s="4">
        <v>46138</v>
      </c>
      <c r="J13" s="3" t="s">
        <v>30</v>
      </c>
    </row>
    <row r="14" spans="1:10" x14ac:dyDescent="0.3">
      <c r="A14" s="3" t="s">
        <v>46</v>
      </c>
      <c r="B14" s="4">
        <v>46093</v>
      </c>
      <c r="C14" s="3" t="s">
        <v>35</v>
      </c>
      <c r="D14" s="3" t="s">
        <v>28</v>
      </c>
      <c r="E14" s="3" t="s">
        <v>29</v>
      </c>
      <c r="F14" s="3">
        <v>10256</v>
      </c>
      <c r="G14" s="5">
        <v>5.23</v>
      </c>
      <c r="H14" s="3" t="s">
        <v>14</v>
      </c>
      <c r="I14" s="4">
        <v>46176</v>
      </c>
      <c r="J14" s="3" t="s">
        <v>42</v>
      </c>
    </row>
    <row r="15" spans="1:10" x14ac:dyDescent="0.3">
      <c r="A15" s="3" t="s">
        <v>47</v>
      </c>
      <c r="B15" s="4">
        <v>46083</v>
      </c>
      <c r="C15" s="3" t="s">
        <v>20</v>
      </c>
      <c r="D15" s="3" t="s">
        <v>12</v>
      </c>
      <c r="E15" s="3" t="s">
        <v>13</v>
      </c>
      <c r="F15" s="3">
        <v>5526</v>
      </c>
      <c r="G15" s="5">
        <v>15.6</v>
      </c>
      <c r="H15" s="3" t="s">
        <v>14</v>
      </c>
      <c r="I15" s="4">
        <v>46147</v>
      </c>
      <c r="J15" s="3" t="s">
        <v>42</v>
      </c>
    </row>
    <row r="16" spans="1:10" x14ac:dyDescent="0.3">
      <c r="A16" s="3" t="s">
        <v>48</v>
      </c>
      <c r="B16" s="4">
        <v>46045</v>
      </c>
      <c r="C16" s="3" t="s">
        <v>11</v>
      </c>
      <c r="D16" s="3" t="s">
        <v>36</v>
      </c>
      <c r="E16" s="3" t="s">
        <v>37</v>
      </c>
      <c r="F16" s="3">
        <v>3355</v>
      </c>
      <c r="G16" s="5">
        <v>16.46</v>
      </c>
      <c r="H16" s="3" t="s">
        <v>14</v>
      </c>
      <c r="I16" s="4">
        <v>46103</v>
      </c>
      <c r="J16" s="3" t="s">
        <v>38</v>
      </c>
    </row>
    <row r="17" spans="1:10" x14ac:dyDescent="0.3">
      <c r="A17" s="3" t="s">
        <v>49</v>
      </c>
      <c r="B17" s="4">
        <v>46030</v>
      </c>
      <c r="C17" s="3" t="s">
        <v>11</v>
      </c>
      <c r="D17" s="3" t="s">
        <v>28</v>
      </c>
      <c r="E17" s="3" t="s">
        <v>29</v>
      </c>
      <c r="F17" s="3">
        <v>10419</v>
      </c>
      <c r="G17" s="5">
        <v>7.98</v>
      </c>
      <c r="H17" s="3" t="s">
        <v>14</v>
      </c>
      <c r="I17" s="4">
        <v>46106</v>
      </c>
      <c r="J17" s="3" t="s">
        <v>38</v>
      </c>
    </row>
    <row r="18" spans="1:10" x14ac:dyDescent="0.3">
      <c r="A18" s="3" t="s">
        <v>50</v>
      </c>
      <c r="B18" s="4">
        <v>46059</v>
      </c>
      <c r="C18" s="3" t="s">
        <v>24</v>
      </c>
      <c r="D18" s="3" t="s">
        <v>33</v>
      </c>
      <c r="E18" s="3" t="s">
        <v>26</v>
      </c>
      <c r="F18" s="3">
        <v>2668</v>
      </c>
      <c r="G18" s="5">
        <v>18.32</v>
      </c>
      <c r="H18" s="3" t="s">
        <v>14</v>
      </c>
      <c r="I18" s="4">
        <v>46121</v>
      </c>
      <c r="J18" s="3" t="s">
        <v>22</v>
      </c>
    </row>
    <row r="19" spans="1:10" x14ac:dyDescent="0.3">
      <c r="A19" s="3" t="s">
        <v>51</v>
      </c>
      <c r="B19" s="4">
        <v>46118</v>
      </c>
      <c r="C19" s="3" t="s">
        <v>35</v>
      </c>
      <c r="D19" s="3" t="s">
        <v>33</v>
      </c>
      <c r="E19" s="3" t="s">
        <v>26</v>
      </c>
      <c r="F19" s="3">
        <v>9312</v>
      </c>
      <c r="G19" s="5">
        <v>16.45</v>
      </c>
      <c r="H19" s="3" t="s">
        <v>14</v>
      </c>
      <c r="I19" s="4">
        <v>46193</v>
      </c>
      <c r="J19" s="3" t="s">
        <v>30</v>
      </c>
    </row>
    <row r="20" spans="1:10" x14ac:dyDescent="0.3">
      <c r="A20" s="3" t="s">
        <v>52</v>
      </c>
      <c r="B20" s="4">
        <v>46049</v>
      </c>
      <c r="C20" s="3" t="s">
        <v>11</v>
      </c>
      <c r="D20" s="3" t="s">
        <v>33</v>
      </c>
      <c r="E20" s="3" t="s">
        <v>26</v>
      </c>
      <c r="F20" s="3">
        <v>9785</v>
      </c>
      <c r="G20" s="5">
        <v>15.92</v>
      </c>
      <c r="H20" s="3" t="s">
        <v>14</v>
      </c>
      <c r="I20" s="4">
        <v>46102</v>
      </c>
      <c r="J20" s="3" t="s">
        <v>15</v>
      </c>
    </row>
    <row r="21" spans="1:10" x14ac:dyDescent="0.3">
      <c r="A21" s="3" t="s">
        <v>53</v>
      </c>
      <c r="B21" s="4">
        <v>46076</v>
      </c>
      <c r="C21" s="3" t="s">
        <v>35</v>
      </c>
      <c r="D21" s="3" t="s">
        <v>21</v>
      </c>
      <c r="E21" s="3" t="s">
        <v>13</v>
      </c>
      <c r="F21" s="3">
        <v>4846</v>
      </c>
      <c r="G21" s="5">
        <v>15.71</v>
      </c>
      <c r="H21" s="3" t="s">
        <v>14</v>
      </c>
      <c r="I21" s="4">
        <v>46143</v>
      </c>
      <c r="J21" s="3" t="s">
        <v>22</v>
      </c>
    </row>
    <row r="22" spans="1:10" x14ac:dyDescent="0.3">
      <c r="A22" s="3" t="s">
        <v>54</v>
      </c>
      <c r="B22" s="4">
        <v>46036</v>
      </c>
      <c r="C22" s="3" t="s">
        <v>20</v>
      </c>
      <c r="D22" s="3" t="s">
        <v>55</v>
      </c>
      <c r="E22" s="3" t="s">
        <v>18</v>
      </c>
      <c r="F22" s="3">
        <v>7858</v>
      </c>
      <c r="G22" s="5">
        <v>7.69</v>
      </c>
      <c r="H22" s="3" t="s">
        <v>14</v>
      </c>
      <c r="I22" s="4">
        <v>46075</v>
      </c>
      <c r="J22" s="3" t="s">
        <v>15</v>
      </c>
    </row>
    <row r="23" spans="1:10" x14ac:dyDescent="0.3">
      <c r="A23" s="3" t="s">
        <v>56</v>
      </c>
      <c r="B23" s="4">
        <v>46121</v>
      </c>
      <c r="C23" s="3" t="s">
        <v>11</v>
      </c>
      <c r="D23" s="3" t="s">
        <v>33</v>
      </c>
      <c r="E23" s="3" t="s">
        <v>26</v>
      </c>
      <c r="F23" s="3">
        <v>5048</v>
      </c>
      <c r="G23" s="5">
        <v>6.01</v>
      </c>
      <c r="H23" s="3" t="s">
        <v>14</v>
      </c>
      <c r="I23" s="4">
        <v>46192</v>
      </c>
      <c r="J23" s="3" t="s">
        <v>15</v>
      </c>
    </row>
    <row r="24" spans="1:10" x14ac:dyDescent="0.3">
      <c r="A24" s="3" t="s">
        <v>57</v>
      </c>
      <c r="B24" s="4">
        <v>46085</v>
      </c>
      <c r="C24" s="3" t="s">
        <v>20</v>
      </c>
      <c r="D24" s="3" t="s">
        <v>17</v>
      </c>
      <c r="E24" s="3" t="s">
        <v>18</v>
      </c>
      <c r="F24" s="3">
        <v>5182</v>
      </c>
      <c r="G24" s="5">
        <v>17.649999999999999</v>
      </c>
      <c r="H24" s="3" t="s">
        <v>14</v>
      </c>
      <c r="I24" s="4">
        <v>46129</v>
      </c>
      <c r="J24" s="3" t="s">
        <v>22</v>
      </c>
    </row>
    <row r="25" spans="1:10" x14ac:dyDescent="0.3">
      <c r="A25" s="3" t="s">
        <v>58</v>
      </c>
      <c r="B25" s="4">
        <v>46072</v>
      </c>
      <c r="C25" s="3" t="s">
        <v>24</v>
      </c>
      <c r="D25" s="3" t="s">
        <v>28</v>
      </c>
      <c r="E25" s="3" t="s">
        <v>29</v>
      </c>
      <c r="F25" s="3">
        <v>8093</v>
      </c>
      <c r="G25" s="5">
        <v>12.36</v>
      </c>
      <c r="H25" s="3" t="s">
        <v>14</v>
      </c>
      <c r="I25" s="4">
        <v>46107</v>
      </c>
      <c r="J25" s="3" t="s">
        <v>15</v>
      </c>
    </row>
    <row r="26" spans="1:10" x14ac:dyDescent="0.3">
      <c r="A26" s="3" t="s">
        <v>59</v>
      </c>
      <c r="B26" s="4">
        <v>46027</v>
      </c>
      <c r="C26" s="3" t="s">
        <v>20</v>
      </c>
      <c r="D26" s="3" t="s">
        <v>12</v>
      </c>
      <c r="E26" s="3" t="s">
        <v>13</v>
      </c>
      <c r="F26" s="3">
        <v>6759</v>
      </c>
      <c r="G26" s="5">
        <v>12.04</v>
      </c>
      <c r="H26" s="3" t="s">
        <v>14</v>
      </c>
      <c r="I26" s="4">
        <v>46062</v>
      </c>
      <c r="J26" s="3" t="s">
        <v>22</v>
      </c>
    </row>
    <row r="27" spans="1:10" x14ac:dyDescent="0.3">
      <c r="A27" s="3" t="s">
        <v>60</v>
      </c>
      <c r="B27" s="4">
        <v>46130</v>
      </c>
      <c r="C27" s="3" t="s">
        <v>24</v>
      </c>
      <c r="D27" s="3" t="s">
        <v>17</v>
      </c>
      <c r="E27" s="3" t="s">
        <v>18</v>
      </c>
      <c r="F27" s="3">
        <v>1596</v>
      </c>
      <c r="G27" s="5">
        <v>8.48</v>
      </c>
      <c r="H27" s="3" t="s">
        <v>14</v>
      </c>
      <c r="I27" s="4">
        <v>46180</v>
      </c>
      <c r="J27" s="3" t="s">
        <v>38</v>
      </c>
    </row>
    <row r="28" spans="1:10" x14ac:dyDescent="0.3">
      <c r="A28" s="3" t="s">
        <v>61</v>
      </c>
      <c r="B28" s="4">
        <v>46089</v>
      </c>
      <c r="C28" s="3" t="s">
        <v>35</v>
      </c>
      <c r="D28" s="3" t="s">
        <v>40</v>
      </c>
      <c r="E28" s="3" t="s">
        <v>37</v>
      </c>
      <c r="F28" s="3">
        <v>8326</v>
      </c>
      <c r="G28" s="5">
        <v>7.13</v>
      </c>
      <c r="H28" s="3" t="s">
        <v>14</v>
      </c>
      <c r="I28" s="4">
        <v>46159</v>
      </c>
      <c r="J28" s="3" t="s">
        <v>15</v>
      </c>
    </row>
    <row r="29" spans="1:10" x14ac:dyDescent="0.3">
      <c r="A29" s="3" t="s">
        <v>62</v>
      </c>
      <c r="B29" s="4">
        <v>46072</v>
      </c>
      <c r="C29" s="3" t="s">
        <v>35</v>
      </c>
      <c r="D29" s="3" t="s">
        <v>25</v>
      </c>
      <c r="E29" s="3" t="s">
        <v>26</v>
      </c>
      <c r="F29" s="3">
        <v>7743</v>
      </c>
      <c r="G29" s="5">
        <v>8.6300000000000008</v>
      </c>
      <c r="H29" s="3" t="s">
        <v>14</v>
      </c>
      <c r="I29" s="4">
        <v>46152</v>
      </c>
      <c r="J29" s="3" t="s">
        <v>42</v>
      </c>
    </row>
    <row r="30" spans="1:10" x14ac:dyDescent="0.3">
      <c r="A30" s="3" t="s">
        <v>63</v>
      </c>
      <c r="B30" s="4">
        <v>46114</v>
      </c>
      <c r="C30" s="3" t="s">
        <v>24</v>
      </c>
      <c r="D30" s="3" t="s">
        <v>25</v>
      </c>
      <c r="E30" s="3" t="s">
        <v>26</v>
      </c>
      <c r="F30" s="3">
        <v>9672</v>
      </c>
      <c r="G30" s="5">
        <v>16.66</v>
      </c>
      <c r="H30" s="3" t="s">
        <v>14</v>
      </c>
      <c r="I30" s="4">
        <v>46201</v>
      </c>
      <c r="J30" s="3" t="s">
        <v>42</v>
      </c>
    </row>
    <row r="31" spans="1:10" x14ac:dyDescent="0.3">
      <c r="A31" s="3" t="s">
        <v>64</v>
      </c>
      <c r="B31" s="4">
        <v>46117</v>
      </c>
      <c r="C31" s="3" t="s">
        <v>20</v>
      </c>
      <c r="D31" s="3" t="s">
        <v>40</v>
      </c>
      <c r="E31" s="3" t="s">
        <v>37</v>
      </c>
      <c r="F31" s="3">
        <v>9850</v>
      </c>
      <c r="G31" s="5">
        <v>12.62</v>
      </c>
      <c r="H31" s="3" t="s">
        <v>14</v>
      </c>
      <c r="I31" s="4">
        <v>46155</v>
      </c>
      <c r="J31" s="3" t="s">
        <v>42</v>
      </c>
    </row>
    <row r="32" spans="1:10" x14ac:dyDescent="0.3">
      <c r="A32" s="3" t="s">
        <v>65</v>
      </c>
      <c r="B32" s="4">
        <v>46125</v>
      </c>
      <c r="C32" s="3" t="s">
        <v>24</v>
      </c>
      <c r="D32" s="3" t="s">
        <v>66</v>
      </c>
      <c r="E32" s="3" t="s">
        <v>29</v>
      </c>
      <c r="F32" s="3">
        <v>10153</v>
      </c>
      <c r="G32" s="5">
        <v>7.43</v>
      </c>
      <c r="H32" s="3" t="s">
        <v>14</v>
      </c>
      <c r="I32" s="4">
        <v>46164</v>
      </c>
      <c r="J32" s="3" t="s">
        <v>30</v>
      </c>
    </row>
    <row r="33" spans="1:10" x14ac:dyDescent="0.3">
      <c r="A33" s="3" t="s">
        <v>67</v>
      </c>
      <c r="B33" s="4">
        <v>46120</v>
      </c>
      <c r="C33" s="3" t="s">
        <v>32</v>
      </c>
      <c r="D33" s="3" t="s">
        <v>55</v>
      </c>
      <c r="E33" s="3" t="s">
        <v>18</v>
      </c>
      <c r="F33" s="3">
        <v>11479</v>
      </c>
      <c r="G33" s="5">
        <v>5.03</v>
      </c>
      <c r="H33" s="3" t="s">
        <v>14</v>
      </c>
      <c r="I33" s="4">
        <v>46209</v>
      </c>
      <c r="J33" s="3" t="s">
        <v>15</v>
      </c>
    </row>
    <row r="34" spans="1:10" x14ac:dyDescent="0.3">
      <c r="A34" s="3" t="s">
        <v>68</v>
      </c>
      <c r="B34" s="4">
        <v>46097</v>
      </c>
      <c r="C34" s="3" t="s">
        <v>32</v>
      </c>
      <c r="D34" s="3" t="s">
        <v>40</v>
      </c>
      <c r="E34" s="3" t="s">
        <v>37</v>
      </c>
      <c r="F34" s="3">
        <v>7357</v>
      </c>
      <c r="G34" s="5">
        <v>9.1</v>
      </c>
      <c r="H34" s="3" t="s">
        <v>14</v>
      </c>
      <c r="I34" s="4">
        <v>46181</v>
      </c>
      <c r="J34" s="3" t="s">
        <v>22</v>
      </c>
    </row>
    <row r="35" spans="1:10" x14ac:dyDescent="0.3">
      <c r="A35" s="3" t="s">
        <v>69</v>
      </c>
      <c r="B35" s="4">
        <v>46055</v>
      </c>
      <c r="C35" s="3" t="s">
        <v>35</v>
      </c>
      <c r="D35" s="3" t="s">
        <v>17</v>
      </c>
      <c r="E35" s="3" t="s">
        <v>18</v>
      </c>
      <c r="F35" s="3">
        <v>5174</v>
      </c>
      <c r="G35" s="5">
        <v>16.63</v>
      </c>
      <c r="H35" s="3" t="s">
        <v>14</v>
      </c>
      <c r="I35" s="4">
        <v>46135</v>
      </c>
      <c r="J35" s="3" t="s">
        <v>42</v>
      </c>
    </row>
    <row r="36" spans="1:10" x14ac:dyDescent="0.3">
      <c r="A36" s="3" t="s">
        <v>70</v>
      </c>
      <c r="B36" s="4">
        <v>46077</v>
      </c>
      <c r="C36" s="3" t="s">
        <v>11</v>
      </c>
      <c r="D36" s="3" t="s">
        <v>25</v>
      </c>
      <c r="E36" s="3" t="s">
        <v>26</v>
      </c>
      <c r="F36" s="3">
        <v>7852</v>
      </c>
      <c r="G36" s="5">
        <v>11.79</v>
      </c>
      <c r="H36" s="3" t="s">
        <v>14</v>
      </c>
      <c r="I36" s="4">
        <v>46125</v>
      </c>
      <c r="J36" s="3" t="s">
        <v>42</v>
      </c>
    </row>
    <row r="37" spans="1:10" x14ac:dyDescent="0.3">
      <c r="A37" s="3" t="s">
        <v>71</v>
      </c>
      <c r="B37" s="4">
        <v>46096</v>
      </c>
      <c r="C37" s="3" t="s">
        <v>20</v>
      </c>
      <c r="D37" s="3" t="s">
        <v>12</v>
      </c>
      <c r="E37" s="3" t="s">
        <v>13</v>
      </c>
      <c r="F37" s="3">
        <v>11193</v>
      </c>
      <c r="G37" s="5">
        <v>15.13</v>
      </c>
      <c r="H37" s="3" t="s">
        <v>14</v>
      </c>
      <c r="I37" s="4">
        <v>46162</v>
      </c>
      <c r="J37" s="3" t="s">
        <v>38</v>
      </c>
    </row>
    <row r="38" spans="1:10" x14ac:dyDescent="0.3">
      <c r="A38" s="3" t="s">
        <v>72</v>
      </c>
      <c r="B38" s="4">
        <v>46031</v>
      </c>
      <c r="C38" s="3" t="s">
        <v>24</v>
      </c>
      <c r="D38" s="3" t="s">
        <v>40</v>
      </c>
      <c r="E38" s="3" t="s">
        <v>37</v>
      </c>
      <c r="F38" s="3">
        <v>8139</v>
      </c>
      <c r="G38" s="5">
        <v>9.61</v>
      </c>
      <c r="H38" s="3" t="s">
        <v>14</v>
      </c>
      <c r="I38" s="4">
        <v>46090</v>
      </c>
      <c r="J38" s="3" t="s">
        <v>42</v>
      </c>
    </row>
    <row r="39" spans="1:10" x14ac:dyDescent="0.3">
      <c r="A39" s="3" t="s">
        <v>73</v>
      </c>
      <c r="B39" s="4">
        <v>46030</v>
      </c>
      <c r="C39" s="3" t="s">
        <v>11</v>
      </c>
      <c r="D39" s="3" t="s">
        <v>21</v>
      </c>
      <c r="E39" s="3" t="s">
        <v>13</v>
      </c>
      <c r="F39" s="3">
        <v>7076</v>
      </c>
      <c r="G39" s="5">
        <v>7.27</v>
      </c>
      <c r="H39" s="3" t="s">
        <v>14</v>
      </c>
      <c r="I39" s="4">
        <v>46082</v>
      </c>
      <c r="J39" s="3" t="s">
        <v>15</v>
      </c>
    </row>
    <row r="40" spans="1:10" x14ac:dyDescent="0.3">
      <c r="A40" s="3" t="s">
        <v>74</v>
      </c>
      <c r="B40" s="4">
        <v>46074</v>
      </c>
      <c r="C40" s="3" t="s">
        <v>20</v>
      </c>
      <c r="D40" s="3" t="s">
        <v>55</v>
      </c>
      <c r="E40" s="3" t="s">
        <v>18</v>
      </c>
      <c r="F40" s="3">
        <v>3093</v>
      </c>
      <c r="G40" s="5">
        <v>14.86</v>
      </c>
      <c r="H40" s="3" t="s">
        <v>14</v>
      </c>
      <c r="I40" s="4">
        <v>46147</v>
      </c>
      <c r="J40" s="3" t="s">
        <v>22</v>
      </c>
    </row>
    <row r="41" spans="1:10" x14ac:dyDescent="0.3">
      <c r="A41" s="3" t="s">
        <v>75</v>
      </c>
      <c r="B41" s="4">
        <v>46098</v>
      </c>
      <c r="C41" s="3" t="s">
        <v>32</v>
      </c>
      <c r="D41" s="3" t="s">
        <v>55</v>
      </c>
      <c r="E41" s="3" t="s">
        <v>18</v>
      </c>
      <c r="F41" s="3">
        <v>2353</v>
      </c>
      <c r="G41" s="5">
        <v>12.31</v>
      </c>
      <c r="H41" s="3" t="s">
        <v>14</v>
      </c>
      <c r="I41" s="4">
        <v>46134</v>
      </c>
      <c r="J41" s="3" t="s">
        <v>15</v>
      </c>
    </row>
    <row r="42" spans="1:10" x14ac:dyDescent="0.3">
      <c r="A42" s="3" t="s">
        <v>76</v>
      </c>
      <c r="B42" s="4">
        <v>46047</v>
      </c>
      <c r="C42" s="3" t="s">
        <v>20</v>
      </c>
      <c r="D42" s="3" t="s">
        <v>33</v>
      </c>
      <c r="E42" s="3" t="s">
        <v>26</v>
      </c>
      <c r="F42" s="3">
        <v>9483</v>
      </c>
      <c r="G42" s="5">
        <v>5.75</v>
      </c>
      <c r="H42" s="3" t="s">
        <v>14</v>
      </c>
      <c r="I42" s="4">
        <v>46086</v>
      </c>
      <c r="J42" s="3" t="s">
        <v>22</v>
      </c>
    </row>
    <row r="43" spans="1:10" x14ac:dyDescent="0.3">
      <c r="A43" s="3" t="s">
        <v>77</v>
      </c>
      <c r="B43" s="4">
        <v>46134</v>
      </c>
      <c r="C43" s="3" t="s">
        <v>35</v>
      </c>
      <c r="D43" s="3" t="s">
        <v>12</v>
      </c>
      <c r="E43" s="3" t="s">
        <v>13</v>
      </c>
      <c r="F43" s="3">
        <v>9553</v>
      </c>
      <c r="G43" s="5">
        <v>10.23</v>
      </c>
      <c r="H43" s="3" t="s">
        <v>14</v>
      </c>
      <c r="I43" s="4">
        <v>46203</v>
      </c>
      <c r="J43" s="3" t="s">
        <v>15</v>
      </c>
    </row>
    <row r="44" spans="1:10" x14ac:dyDescent="0.3">
      <c r="A44" s="3" t="s">
        <v>78</v>
      </c>
      <c r="B44" s="4">
        <v>46090</v>
      </c>
      <c r="C44" s="3" t="s">
        <v>35</v>
      </c>
      <c r="D44" s="3" t="s">
        <v>33</v>
      </c>
      <c r="E44" s="3" t="s">
        <v>26</v>
      </c>
      <c r="F44" s="3">
        <v>8032</v>
      </c>
      <c r="G44" s="5">
        <v>6.08</v>
      </c>
      <c r="H44" s="3" t="s">
        <v>14</v>
      </c>
      <c r="I44" s="4">
        <v>46154</v>
      </c>
      <c r="J44" s="3" t="s">
        <v>38</v>
      </c>
    </row>
    <row r="45" spans="1:10" x14ac:dyDescent="0.3">
      <c r="A45" s="3" t="s">
        <v>79</v>
      </c>
      <c r="B45" s="4">
        <v>46056</v>
      </c>
      <c r="C45" s="3" t="s">
        <v>32</v>
      </c>
      <c r="D45" s="3" t="s">
        <v>36</v>
      </c>
      <c r="E45" s="3" t="s">
        <v>37</v>
      </c>
      <c r="F45" s="3">
        <v>11036</v>
      </c>
      <c r="G45" s="5">
        <v>11.8</v>
      </c>
      <c r="H45" s="3" t="s">
        <v>14</v>
      </c>
      <c r="I45" s="4">
        <v>46143</v>
      </c>
      <c r="J45" s="3" t="s">
        <v>30</v>
      </c>
    </row>
    <row r="46" spans="1:10" x14ac:dyDescent="0.3">
      <c r="A46" s="3" t="s">
        <v>80</v>
      </c>
      <c r="B46" s="4">
        <v>46087</v>
      </c>
      <c r="C46" s="3" t="s">
        <v>24</v>
      </c>
      <c r="D46" s="3" t="s">
        <v>21</v>
      </c>
      <c r="E46" s="3" t="s">
        <v>13</v>
      </c>
      <c r="F46" s="3">
        <v>1567</v>
      </c>
      <c r="G46" s="5">
        <v>14.78</v>
      </c>
      <c r="H46" s="3" t="s">
        <v>14</v>
      </c>
      <c r="I46" s="4">
        <v>46137</v>
      </c>
      <c r="J46" s="3" t="s">
        <v>22</v>
      </c>
    </row>
    <row r="47" spans="1:10" x14ac:dyDescent="0.3">
      <c r="A47" s="3" t="s">
        <v>81</v>
      </c>
      <c r="B47" s="4">
        <v>46124</v>
      </c>
      <c r="C47" s="3" t="s">
        <v>20</v>
      </c>
      <c r="D47" s="3" t="s">
        <v>25</v>
      </c>
      <c r="E47" s="3" t="s">
        <v>26</v>
      </c>
      <c r="F47" s="3">
        <v>10342</v>
      </c>
      <c r="G47" s="5">
        <v>10.4</v>
      </c>
      <c r="H47" s="3" t="s">
        <v>14</v>
      </c>
      <c r="I47" s="4">
        <v>46184</v>
      </c>
      <c r="J47" s="3" t="s">
        <v>22</v>
      </c>
    </row>
    <row r="48" spans="1:10" x14ac:dyDescent="0.3">
      <c r="A48" s="3" t="s">
        <v>82</v>
      </c>
      <c r="B48" s="4">
        <v>46057</v>
      </c>
      <c r="C48" s="3" t="s">
        <v>32</v>
      </c>
      <c r="D48" s="3" t="s">
        <v>25</v>
      </c>
      <c r="E48" s="3" t="s">
        <v>26</v>
      </c>
      <c r="F48" s="3">
        <v>2257</v>
      </c>
      <c r="G48" s="5">
        <v>10.31</v>
      </c>
      <c r="H48" s="3" t="s">
        <v>14</v>
      </c>
      <c r="I48" s="4">
        <v>46138</v>
      </c>
      <c r="J48" s="3" t="s">
        <v>30</v>
      </c>
    </row>
    <row r="49" spans="1:10" x14ac:dyDescent="0.3">
      <c r="A49" s="3" t="s">
        <v>83</v>
      </c>
      <c r="B49" s="4">
        <v>46091</v>
      </c>
      <c r="C49" s="3" t="s">
        <v>20</v>
      </c>
      <c r="D49" s="3" t="s">
        <v>21</v>
      </c>
      <c r="E49" s="3" t="s">
        <v>13</v>
      </c>
      <c r="F49" s="3">
        <v>6149</v>
      </c>
      <c r="G49" s="5">
        <v>8.25</v>
      </c>
      <c r="H49" s="3" t="s">
        <v>14</v>
      </c>
      <c r="I49" s="4">
        <v>46157</v>
      </c>
      <c r="J49" s="3" t="s">
        <v>30</v>
      </c>
    </row>
    <row r="50" spans="1:10" x14ac:dyDescent="0.3">
      <c r="A50" s="3" t="s">
        <v>84</v>
      </c>
      <c r="B50" s="4">
        <v>46044</v>
      </c>
      <c r="C50" s="3" t="s">
        <v>24</v>
      </c>
      <c r="D50" s="3" t="s">
        <v>33</v>
      </c>
      <c r="E50" s="3" t="s">
        <v>26</v>
      </c>
      <c r="F50" s="3">
        <v>11316</v>
      </c>
      <c r="G50" s="5">
        <v>7.62</v>
      </c>
      <c r="H50" s="3" t="s">
        <v>14</v>
      </c>
      <c r="I50" s="4">
        <v>46083</v>
      </c>
      <c r="J50" s="3" t="s">
        <v>15</v>
      </c>
    </row>
    <row r="51" spans="1:10" x14ac:dyDescent="0.3">
      <c r="A51" s="3" t="s">
        <v>85</v>
      </c>
      <c r="B51" s="4">
        <v>46073</v>
      </c>
      <c r="C51" s="3" t="s">
        <v>24</v>
      </c>
      <c r="D51" s="3" t="s">
        <v>12</v>
      </c>
      <c r="E51" s="3" t="s">
        <v>13</v>
      </c>
      <c r="F51" s="3">
        <v>2721</v>
      </c>
      <c r="G51" s="5">
        <v>9.57</v>
      </c>
      <c r="H51" s="3" t="s">
        <v>14</v>
      </c>
      <c r="I51" s="4">
        <v>46129</v>
      </c>
      <c r="J51" s="3" t="s">
        <v>15</v>
      </c>
    </row>
    <row r="52" spans="1:10" x14ac:dyDescent="0.3">
      <c r="A52" s="3" t="s">
        <v>86</v>
      </c>
      <c r="B52" s="4">
        <v>46075</v>
      </c>
      <c r="C52" s="3" t="s">
        <v>24</v>
      </c>
      <c r="D52" s="3" t="s">
        <v>33</v>
      </c>
      <c r="E52" s="3" t="s">
        <v>26</v>
      </c>
      <c r="F52" s="3">
        <v>8888</v>
      </c>
      <c r="G52" s="5">
        <v>9.4499999999999993</v>
      </c>
      <c r="H52" s="3" t="s">
        <v>14</v>
      </c>
      <c r="I52" s="4">
        <v>46135</v>
      </c>
      <c r="J52" s="3" t="s">
        <v>30</v>
      </c>
    </row>
    <row r="53" spans="1:10" x14ac:dyDescent="0.3">
      <c r="A53" s="3" t="s">
        <v>87</v>
      </c>
      <c r="B53" s="4">
        <v>46040</v>
      </c>
      <c r="C53" s="3" t="s">
        <v>32</v>
      </c>
      <c r="D53" s="3" t="s">
        <v>12</v>
      </c>
      <c r="E53" s="3" t="s">
        <v>13</v>
      </c>
      <c r="F53" s="3">
        <v>3009</v>
      </c>
      <c r="G53" s="5">
        <v>4.7300000000000004</v>
      </c>
      <c r="H53" s="3" t="s">
        <v>14</v>
      </c>
      <c r="I53" s="4">
        <v>46081</v>
      </c>
      <c r="J53" s="3" t="s">
        <v>30</v>
      </c>
    </row>
    <row r="54" spans="1:10" x14ac:dyDescent="0.3">
      <c r="A54" s="3" t="s">
        <v>88</v>
      </c>
      <c r="B54" s="4">
        <v>46084</v>
      </c>
      <c r="C54" s="3" t="s">
        <v>35</v>
      </c>
      <c r="D54" s="3" t="s">
        <v>40</v>
      </c>
      <c r="E54" s="3" t="s">
        <v>37</v>
      </c>
      <c r="F54" s="3">
        <v>4422</v>
      </c>
      <c r="G54" s="5">
        <v>7.79</v>
      </c>
      <c r="H54" s="3" t="s">
        <v>14</v>
      </c>
      <c r="I54" s="4">
        <v>46158</v>
      </c>
      <c r="J54" s="3" t="s">
        <v>38</v>
      </c>
    </row>
    <row r="55" spans="1:10" x14ac:dyDescent="0.3">
      <c r="A55" s="3" t="s">
        <v>89</v>
      </c>
      <c r="B55" s="4">
        <v>46114</v>
      </c>
      <c r="C55" s="3" t="s">
        <v>32</v>
      </c>
      <c r="D55" s="3" t="s">
        <v>33</v>
      </c>
      <c r="E55" s="3" t="s">
        <v>26</v>
      </c>
      <c r="F55" s="3">
        <v>7422</v>
      </c>
      <c r="G55" s="5">
        <v>13.08</v>
      </c>
      <c r="H55" s="3" t="s">
        <v>14</v>
      </c>
      <c r="I55" s="4">
        <v>46189</v>
      </c>
      <c r="J55" s="3" t="s">
        <v>30</v>
      </c>
    </row>
    <row r="56" spans="1:10" x14ac:dyDescent="0.3">
      <c r="A56" s="3" t="s">
        <v>90</v>
      </c>
      <c r="B56" s="4">
        <v>46126</v>
      </c>
      <c r="C56" s="3" t="s">
        <v>32</v>
      </c>
      <c r="D56" s="3" t="s">
        <v>40</v>
      </c>
      <c r="E56" s="3" t="s">
        <v>37</v>
      </c>
      <c r="F56" s="3">
        <v>5352</v>
      </c>
      <c r="G56" s="5">
        <v>12.75</v>
      </c>
      <c r="H56" s="3" t="s">
        <v>14</v>
      </c>
      <c r="I56" s="4">
        <v>46185</v>
      </c>
      <c r="J56" s="3" t="s">
        <v>22</v>
      </c>
    </row>
    <row r="57" spans="1:10" x14ac:dyDescent="0.3">
      <c r="A57" s="3" t="s">
        <v>91</v>
      </c>
      <c r="B57" s="4">
        <v>46049</v>
      </c>
      <c r="C57" s="3" t="s">
        <v>11</v>
      </c>
      <c r="D57" s="3" t="s">
        <v>21</v>
      </c>
      <c r="E57" s="3" t="s">
        <v>13</v>
      </c>
      <c r="F57" s="3">
        <v>11180</v>
      </c>
      <c r="G57" s="5">
        <v>13.05</v>
      </c>
      <c r="H57" s="3" t="s">
        <v>14</v>
      </c>
      <c r="I57" s="4">
        <v>46096</v>
      </c>
      <c r="J57" s="3" t="s">
        <v>22</v>
      </c>
    </row>
    <row r="58" spans="1:10" x14ac:dyDescent="0.3">
      <c r="A58" s="3" t="s">
        <v>92</v>
      </c>
      <c r="B58" s="4">
        <v>46086</v>
      </c>
      <c r="C58" s="3" t="s">
        <v>20</v>
      </c>
      <c r="D58" s="3" t="s">
        <v>40</v>
      </c>
      <c r="E58" s="3" t="s">
        <v>37</v>
      </c>
      <c r="F58" s="3">
        <v>6317</v>
      </c>
      <c r="G58" s="5">
        <v>13.49</v>
      </c>
      <c r="H58" s="3" t="s">
        <v>14</v>
      </c>
      <c r="I58" s="4">
        <v>46161</v>
      </c>
      <c r="J58" s="3" t="s">
        <v>15</v>
      </c>
    </row>
    <row r="59" spans="1:10" x14ac:dyDescent="0.3">
      <c r="A59" s="3" t="s">
        <v>93</v>
      </c>
      <c r="B59" s="4">
        <v>46082</v>
      </c>
      <c r="C59" s="3" t="s">
        <v>24</v>
      </c>
      <c r="D59" s="3" t="s">
        <v>66</v>
      </c>
      <c r="E59" s="3" t="s">
        <v>29</v>
      </c>
      <c r="F59" s="3">
        <v>5275</v>
      </c>
      <c r="G59" s="5">
        <v>13.28</v>
      </c>
      <c r="H59" s="3" t="s">
        <v>14</v>
      </c>
      <c r="I59" s="4">
        <v>46155</v>
      </c>
      <c r="J59" s="3" t="s">
        <v>15</v>
      </c>
    </row>
    <row r="60" spans="1:10" x14ac:dyDescent="0.3">
      <c r="A60" s="3" t="s">
        <v>94</v>
      </c>
      <c r="B60" s="4">
        <v>46091</v>
      </c>
      <c r="C60" s="3" t="s">
        <v>35</v>
      </c>
      <c r="D60" s="3" t="s">
        <v>28</v>
      </c>
      <c r="E60" s="3" t="s">
        <v>29</v>
      </c>
      <c r="F60" s="3">
        <v>11673</v>
      </c>
      <c r="G60" s="5">
        <v>17.350000000000001</v>
      </c>
      <c r="H60" s="3" t="s">
        <v>14</v>
      </c>
      <c r="I60" s="4">
        <v>46152</v>
      </c>
      <c r="J60" s="3" t="s">
        <v>22</v>
      </c>
    </row>
    <row r="61" spans="1:10" x14ac:dyDescent="0.3">
      <c r="A61" s="3" t="s">
        <v>95</v>
      </c>
      <c r="B61" s="4">
        <v>46038</v>
      </c>
      <c r="C61" s="3" t="s">
        <v>35</v>
      </c>
      <c r="D61" s="3" t="s">
        <v>36</v>
      </c>
      <c r="E61" s="3" t="s">
        <v>37</v>
      </c>
      <c r="F61" s="3">
        <v>3906</v>
      </c>
      <c r="G61" s="5">
        <v>8.91</v>
      </c>
      <c r="H61" s="3" t="s">
        <v>14</v>
      </c>
      <c r="I61" s="4">
        <v>46115</v>
      </c>
      <c r="J61" s="3" t="s">
        <v>22</v>
      </c>
    </row>
    <row r="62" spans="1:10" x14ac:dyDescent="0.3">
      <c r="A62" s="3" t="s">
        <v>96</v>
      </c>
      <c r="B62" s="4">
        <v>46089</v>
      </c>
      <c r="C62" s="3" t="s">
        <v>32</v>
      </c>
      <c r="D62" s="3" t="s">
        <v>36</v>
      </c>
      <c r="E62" s="3" t="s">
        <v>37</v>
      </c>
      <c r="F62" s="3">
        <v>10620</v>
      </c>
      <c r="G62" s="5">
        <v>7.4</v>
      </c>
      <c r="H62" s="3" t="s">
        <v>14</v>
      </c>
      <c r="I62" s="4">
        <v>46157</v>
      </c>
      <c r="J62" s="3" t="s">
        <v>42</v>
      </c>
    </row>
    <row r="63" spans="1:10" x14ac:dyDescent="0.3">
      <c r="A63" s="3" t="s">
        <v>97</v>
      </c>
      <c r="B63" s="4">
        <v>46124</v>
      </c>
      <c r="C63" s="3" t="s">
        <v>32</v>
      </c>
      <c r="D63" s="3" t="s">
        <v>28</v>
      </c>
      <c r="E63" s="3" t="s">
        <v>29</v>
      </c>
      <c r="F63" s="3">
        <v>5499</v>
      </c>
      <c r="G63" s="5">
        <v>13.39</v>
      </c>
      <c r="H63" s="3" t="s">
        <v>14</v>
      </c>
      <c r="I63" s="4">
        <v>46176</v>
      </c>
      <c r="J63" s="3" t="s">
        <v>30</v>
      </c>
    </row>
    <row r="64" spans="1:10" x14ac:dyDescent="0.3">
      <c r="A64" s="3" t="s">
        <v>98</v>
      </c>
      <c r="B64" s="4">
        <v>46040</v>
      </c>
      <c r="C64" s="3" t="s">
        <v>24</v>
      </c>
      <c r="D64" s="3" t="s">
        <v>55</v>
      </c>
      <c r="E64" s="3" t="s">
        <v>18</v>
      </c>
      <c r="F64" s="3">
        <v>1185</v>
      </c>
      <c r="G64" s="5">
        <v>10.69</v>
      </c>
      <c r="H64" s="3" t="s">
        <v>14</v>
      </c>
      <c r="I64" s="4">
        <v>46130</v>
      </c>
      <c r="J64" s="3" t="s">
        <v>38</v>
      </c>
    </row>
    <row r="65" spans="1:10" x14ac:dyDescent="0.3">
      <c r="A65" s="3" t="s">
        <v>99</v>
      </c>
      <c r="B65" s="4">
        <v>46078</v>
      </c>
      <c r="C65" s="3" t="s">
        <v>35</v>
      </c>
      <c r="D65" s="3" t="s">
        <v>25</v>
      </c>
      <c r="E65" s="3" t="s">
        <v>26</v>
      </c>
      <c r="F65" s="3">
        <v>5876</v>
      </c>
      <c r="G65" s="5">
        <v>16.16</v>
      </c>
      <c r="H65" s="3" t="s">
        <v>14</v>
      </c>
      <c r="I65" s="4">
        <v>46157</v>
      </c>
      <c r="J65" s="3" t="s">
        <v>30</v>
      </c>
    </row>
    <row r="66" spans="1:10" x14ac:dyDescent="0.3">
      <c r="A66" s="3" t="s">
        <v>100</v>
      </c>
      <c r="B66" s="4">
        <v>46038</v>
      </c>
      <c r="C66" s="3" t="s">
        <v>11</v>
      </c>
      <c r="D66" s="3" t="s">
        <v>36</v>
      </c>
      <c r="E66" s="3" t="s">
        <v>37</v>
      </c>
      <c r="F66" s="3">
        <v>7746</v>
      </c>
      <c r="G66" s="5">
        <v>16.38</v>
      </c>
      <c r="H66" s="3" t="s">
        <v>14</v>
      </c>
      <c r="I66" s="4">
        <v>46076</v>
      </c>
      <c r="J66" s="3" t="s">
        <v>22</v>
      </c>
    </row>
    <row r="67" spans="1:10" x14ac:dyDescent="0.3">
      <c r="A67" s="3" t="s">
        <v>101</v>
      </c>
      <c r="B67" s="4">
        <v>46072</v>
      </c>
      <c r="C67" s="3" t="s">
        <v>11</v>
      </c>
      <c r="D67" s="3" t="s">
        <v>55</v>
      </c>
      <c r="E67" s="3" t="s">
        <v>18</v>
      </c>
      <c r="F67" s="3">
        <v>8211</v>
      </c>
      <c r="G67" s="5">
        <v>16.91</v>
      </c>
      <c r="H67" s="3" t="s">
        <v>14</v>
      </c>
      <c r="I67" s="4">
        <v>46160</v>
      </c>
      <c r="J67" s="3" t="s">
        <v>30</v>
      </c>
    </row>
    <row r="68" spans="1:10" x14ac:dyDescent="0.3">
      <c r="A68" s="3" t="s">
        <v>102</v>
      </c>
      <c r="B68" s="4">
        <v>46098</v>
      </c>
      <c r="C68" s="3" t="s">
        <v>32</v>
      </c>
      <c r="D68" s="3" t="s">
        <v>28</v>
      </c>
      <c r="E68" s="3" t="s">
        <v>29</v>
      </c>
      <c r="F68" s="3">
        <v>6018</v>
      </c>
      <c r="G68" s="5">
        <v>17.22</v>
      </c>
      <c r="H68" s="3" t="s">
        <v>14</v>
      </c>
      <c r="I68" s="4">
        <v>46152</v>
      </c>
      <c r="J68" s="3" t="s">
        <v>15</v>
      </c>
    </row>
    <row r="69" spans="1:10" x14ac:dyDescent="0.3">
      <c r="A69" s="3" t="s">
        <v>103</v>
      </c>
      <c r="B69" s="4">
        <v>46092</v>
      </c>
      <c r="C69" s="3" t="s">
        <v>24</v>
      </c>
      <c r="D69" s="3" t="s">
        <v>21</v>
      </c>
      <c r="E69" s="3" t="s">
        <v>13</v>
      </c>
      <c r="F69" s="3">
        <v>7206</v>
      </c>
      <c r="G69" s="5">
        <v>5.37</v>
      </c>
      <c r="H69" s="3" t="s">
        <v>14</v>
      </c>
      <c r="I69" s="4">
        <v>46146</v>
      </c>
      <c r="J69" s="3" t="s">
        <v>22</v>
      </c>
    </row>
    <row r="70" spans="1:10" x14ac:dyDescent="0.3">
      <c r="A70" s="3" t="s">
        <v>104</v>
      </c>
      <c r="B70" s="4">
        <v>46127</v>
      </c>
      <c r="C70" s="3" t="s">
        <v>20</v>
      </c>
      <c r="D70" s="3" t="s">
        <v>21</v>
      </c>
      <c r="E70" s="3" t="s">
        <v>13</v>
      </c>
      <c r="F70" s="3">
        <v>8259</v>
      </c>
      <c r="G70" s="5">
        <v>17.91</v>
      </c>
      <c r="H70" s="3" t="s">
        <v>14</v>
      </c>
      <c r="I70" s="4">
        <v>46168</v>
      </c>
      <c r="J70" s="3" t="s">
        <v>38</v>
      </c>
    </row>
    <row r="71" spans="1:10" x14ac:dyDescent="0.3">
      <c r="A71" s="3" t="s">
        <v>105</v>
      </c>
      <c r="B71" s="4">
        <v>46033</v>
      </c>
      <c r="C71" s="3" t="s">
        <v>32</v>
      </c>
      <c r="D71" s="3" t="s">
        <v>55</v>
      </c>
      <c r="E71" s="3" t="s">
        <v>18</v>
      </c>
      <c r="F71" s="3">
        <v>3397</v>
      </c>
      <c r="G71" s="5">
        <v>12.88</v>
      </c>
      <c r="H71" s="3" t="s">
        <v>14</v>
      </c>
      <c r="I71" s="4">
        <v>46094</v>
      </c>
      <c r="J71" s="3" t="s">
        <v>42</v>
      </c>
    </row>
    <row r="72" spans="1:10" x14ac:dyDescent="0.3">
      <c r="A72" s="3" t="s">
        <v>106</v>
      </c>
      <c r="B72" s="4">
        <v>46116</v>
      </c>
      <c r="C72" s="3" t="s">
        <v>11</v>
      </c>
      <c r="D72" s="3" t="s">
        <v>40</v>
      </c>
      <c r="E72" s="3" t="s">
        <v>37</v>
      </c>
      <c r="F72" s="3">
        <v>5249</v>
      </c>
      <c r="G72" s="5">
        <v>17.989999999999998</v>
      </c>
      <c r="H72" s="3" t="s">
        <v>14</v>
      </c>
      <c r="I72" s="4">
        <v>46151</v>
      </c>
      <c r="J72" s="3" t="s">
        <v>30</v>
      </c>
    </row>
    <row r="73" spans="1:10" x14ac:dyDescent="0.3">
      <c r="A73" s="3" t="s">
        <v>107</v>
      </c>
      <c r="B73" s="4">
        <v>46089</v>
      </c>
      <c r="C73" s="3" t="s">
        <v>20</v>
      </c>
      <c r="D73" s="3" t="s">
        <v>28</v>
      </c>
      <c r="E73" s="3" t="s">
        <v>29</v>
      </c>
      <c r="F73" s="3">
        <v>11147</v>
      </c>
      <c r="G73" s="5">
        <v>9.01</v>
      </c>
      <c r="H73" s="3" t="s">
        <v>14</v>
      </c>
      <c r="I73" s="4">
        <v>46175</v>
      </c>
      <c r="J73" s="3" t="s">
        <v>15</v>
      </c>
    </row>
    <row r="74" spans="1:10" x14ac:dyDescent="0.3">
      <c r="A74" s="3" t="s">
        <v>108</v>
      </c>
      <c r="B74" s="4">
        <v>46117</v>
      </c>
      <c r="C74" s="3" t="s">
        <v>24</v>
      </c>
      <c r="D74" s="3" t="s">
        <v>55</v>
      </c>
      <c r="E74" s="3" t="s">
        <v>18</v>
      </c>
      <c r="F74" s="3">
        <v>5550</v>
      </c>
      <c r="G74" s="5">
        <v>12.46</v>
      </c>
      <c r="H74" s="3" t="s">
        <v>14</v>
      </c>
      <c r="I74" s="4">
        <v>46206</v>
      </c>
      <c r="J74" s="3" t="s">
        <v>30</v>
      </c>
    </row>
    <row r="75" spans="1:10" x14ac:dyDescent="0.3">
      <c r="A75" s="3" t="s">
        <v>109</v>
      </c>
      <c r="B75" s="4">
        <v>46073</v>
      </c>
      <c r="C75" s="3" t="s">
        <v>24</v>
      </c>
      <c r="D75" s="3" t="s">
        <v>55</v>
      </c>
      <c r="E75" s="3" t="s">
        <v>18</v>
      </c>
      <c r="F75" s="3">
        <v>3211</v>
      </c>
      <c r="G75" s="5">
        <v>11.11</v>
      </c>
      <c r="H75" s="3" t="s">
        <v>14</v>
      </c>
      <c r="I75" s="4">
        <v>46118</v>
      </c>
      <c r="J75" s="3" t="s">
        <v>42</v>
      </c>
    </row>
    <row r="76" spans="1:10" x14ac:dyDescent="0.3">
      <c r="A76" s="3" t="s">
        <v>110</v>
      </c>
      <c r="B76" s="4">
        <v>46084</v>
      </c>
      <c r="C76" s="3" t="s">
        <v>24</v>
      </c>
      <c r="D76" s="3" t="s">
        <v>66</v>
      </c>
      <c r="E76" s="3" t="s">
        <v>29</v>
      </c>
      <c r="F76" s="3">
        <v>6581</v>
      </c>
      <c r="G76" s="5">
        <v>17.059999999999999</v>
      </c>
      <c r="H76" s="3" t="s">
        <v>14</v>
      </c>
      <c r="I76" s="4">
        <v>46168</v>
      </c>
      <c r="J76" s="3" t="s">
        <v>38</v>
      </c>
    </row>
    <row r="77" spans="1:10" x14ac:dyDescent="0.3">
      <c r="A77" s="3" t="s">
        <v>111</v>
      </c>
      <c r="B77" s="4">
        <v>46034</v>
      </c>
      <c r="C77" s="3" t="s">
        <v>20</v>
      </c>
      <c r="D77" s="3" t="s">
        <v>21</v>
      </c>
      <c r="E77" s="3" t="s">
        <v>13</v>
      </c>
      <c r="F77" s="3">
        <v>6764</v>
      </c>
      <c r="G77" s="5">
        <v>5.56</v>
      </c>
      <c r="H77" s="3" t="s">
        <v>14</v>
      </c>
      <c r="I77" s="4">
        <v>46119</v>
      </c>
      <c r="J77" s="3" t="s">
        <v>30</v>
      </c>
    </row>
    <row r="78" spans="1:10" x14ac:dyDescent="0.3">
      <c r="A78" s="3" t="s">
        <v>112</v>
      </c>
      <c r="B78" s="4">
        <v>46061</v>
      </c>
      <c r="C78" s="3" t="s">
        <v>35</v>
      </c>
      <c r="D78" s="3" t="s">
        <v>28</v>
      </c>
      <c r="E78" s="3" t="s">
        <v>29</v>
      </c>
      <c r="F78" s="3">
        <v>5915</v>
      </c>
      <c r="G78" s="5">
        <v>13.15</v>
      </c>
      <c r="H78" s="3" t="s">
        <v>14</v>
      </c>
      <c r="I78" s="4">
        <v>46135</v>
      </c>
      <c r="J78" s="3" t="s">
        <v>15</v>
      </c>
    </row>
    <row r="79" spans="1:10" x14ac:dyDescent="0.3">
      <c r="A79" s="3" t="s">
        <v>113</v>
      </c>
      <c r="B79" s="4">
        <v>46054</v>
      </c>
      <c r="C79" s="3" t="s">
        <v>35</v>
      </c>
      <c r="D79" s="3" t="s">
        <v>40</v>
      </c>
      <c r="E79" s="3" t="s">
        <v>37</v>
      </c>
      <c r="F79" s="3">
        <v>6509</v>
      </c>
      <c r="G79" s="5">
        <v>10.5</v>
      </c>
      <c r="H79" s="3" t="s">
        <v>14</v>
      </c>
      <c r="I79" s="4">
        <v>46103</v>
      </c>
      <c r="J79" s="3" t="s">
        <v>30</v>
      </c>
    </row>
    <row r="80" spans="1:10" x14ac:dyDescent="0.3">
      <c r="A80" s="3" t="s">
        <v>114</v>
      </c>
      <c r="B80" s="4">
        <v>46043</v>
      </c>
      <c r="C80" s="3" t="s">
        <v>20</v>
      </c>
      <c r="D80" s="3" t="s">
        <v>66</v>
      </c>
      <c r="E80" s="3" t="s">
        <v>29</v>
      </c>
      <c r="F80" s="3">
        <v>7516</v>
      </c>
      <c r="G80" s="5">
        <v>5.95</v>
      </c>
      <c r="H80" s="3" t="s">
        <v>14</v>
      </c>
      <c r="I80" s="4">
        <v>46113</v>
      </c>
      <c r="J80" s="3" t="s">
        <v>22</v>
      </c>
    </row>
    <row r="81" spans="1:10" x14ac:dyDescent="0.3">
      <c r="A81" s="3" t="s">
        <v>115</v>
      </c>
      <c r="B81" s="4">
        <v>46131</v>
      </c>
      <c r="C81" s="3" t="s">
        <v>35</v>
      </c>
      <c r="D81" s="3" t="s">
        <v>25</v>
      </c>
      <c r="E81" s="3" t="s">
        <v>26</v>
      </c>
      <c r="F81" s="3">
        <v>1732</v>
      </c>
      <c r="G81" s="5">
        <v>13.9</v>
      </c>
      <c r="H81" s="3" t="s">
        <v>14</v>
      </c>
      <c r="I81" s="4">
        <v>46211</v>
      </c>
      <c r="J81" s="3" t="s">
        <v>38</v>
      </c>
    </row>
  </sheetData>
  <autoFilter ref="A1:J81" xr:uid="{00000000-0009-0000-0000-000001000000}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20" customWidth="1"/>
    <col min="4" max="4" width="12" customWidth="1"/>
    <col min="5" max="5" width="21" customWidth="1"/>
    <col min="6" max="6" width="15" customWidth="1"/>
    <col min="7" max="7" width="12" customWidth="1"/>
  </cols>
  <sheetData>
    <row r="1" spans="1:7" x14ac:dyDescent="0.3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</row>
    <row r="2" spans="1:7" x14ac:dyDescent="0.3">
      <c r="A2" s="3" t="s">
        <v>123</v>
      </c>
      <c r="B2" s="3" t="s">
        <v>124</v>
      </c>
      <c r="C2" s="3" t="s">
        <v>125</v>
      </c>
      <c r="D2" s="3" t="s">
        <v>126</v>
      </c>
      <c r="E2" s="3" t="s">
        <v>127</v>
      </c>
      <c r="F2" s="3" t="s">
        <v>128</v>
      </c>
      <c r="G2" s="3" t="s">
        <v>129</v>
      </c>
    </row>
    <row r="3" spans="1:7" x14ac:dyDescent="0.3">
      <c r="A3" s="3" t="s">
        <v>130</v>
      </c>
      <c r="B3" s="3" t="s">
        <v>131</v>
      </c>
      <c r="C3" s="3" t="s">
        <v>132</v>
      </c>
      <c r="D3" s="3" t="s">
        <v>133</v>
      </c>
      <c r="E3" s="3" t="s">
        <v>134</v>
      </c>
      <c r="F3" s="3" t="s">
        <v>135</v>
      </c>
      <c r="G3" s="3" t="s">
        <v>129</v>
      </c>
    </row>
    <row r="4" spans="1:7" x14ac:dyDescent="0.3">
      <c r="A4" s="3" t="s">
        <v>136</v>
      </c>
      <c r="B4" s="3" t="s">
        <v>137</v>
      </c>
      <c r="C4" s="3" t="s">
        <v>138</v>
      </c>
      <c r="D4" s="3" t="s">
        <v>133</v>
      </c>
      <c r="E4" s="3" t="s">
        <v>134</v>
      </c>
      <c r="F4" s="3" t="s">
        <v>135</v>
      </c>
      <c r="G4" s="3" t="s">
        <v>129</v>
      </c>
    </row>
    <row r="5" spans="1:7" x14ac:dyDescent="0.3">
      <c r="A5" s="3" t="s">
        <v>139</v>
      </c>
      <c r="B5" s="3" t="s">
        <v>131</v>
      </c>
      <c r="C5" s="3" t="s">
        <v>140</v>
      </c>
      <c r="D5" s="3" t="s">
        <v>133</v>
      </c>
      <c r="E5" s="3" t="s">
        <v>141</v>
      </c>
      <c r="F5" s="3" t="s">
        <v>135</v>
      </c>
      <c r="G5" s="3" t="s">
        <v>129</v>
      </c>
    </row>
    <row r="6" spans="1:7" x14ac:dyDescent="0.3">
      <c r="A6" s="3" t="s">
        <v>142</v>
      </c>
      <c r="B6" s="3" t="s">
        <v>131</v>
      </c>
      <c r="C6" s="3" t="s">
        <v>143</v>
      </c>
      <c r="D6" s="3" t="s">
        <v>133</v>
      </c>
      <c r="E6" s="3" t="s">
        <v>144</v>
      </c>
      <c r="F6" s="3" t="s">
        <v>135</v>
      </c>
      <c r="G6" s="3" t="s">
        <v>129</v>
      </c>
    </row>
    <row r="7" spans="1:7" x14ac:dyDescent="0.3">
      <c r="A7" s="3" t="s">
        <v>145</v>
      </c>
      <c r="B7" s="3" t="s">
        <v>131</v>
      </c>
      <c r="C7" s="3" t="s">
        <v>132</v>
      </c>
      <c r="D7" s="3" t="s">
        <v>133</v>
      </c>
      <c r="E7" s="3" t="s">
        <v>127</v>
      </c>
      <c r="F7" s="3" t="s">
        <v>135</v>
      </c>
      <c r="G7" s="3" t="s">
        <v>129</v>
      </c>
    </row>
    <row r="8" spans="1:7" x14ac:dyDescent="0.3">
      <c r="A8" s="3" t="s">
        <v>146</v>
      </c>
      <c r="B8" s="3" t="s">
        <v>137</v>
      </c>
      <c r="C8" s="3" t="s">
        <v>147</v>
      </c>
      <c r="D8" s="3" t="s">
        <v>133</v>
      </c>
      <c r="E8" s="3" t="s">
        <v>127</v>
      </c>
      <c r="F8" s="3" t="s">
        <v>135</v>
      </c>
      <c r="G8" s="3" t="s">
        <v>129</v>
      </c>
    </row>
    <row r="9" spans="1:7" x14ac:dyDescent="0.3">
      <c r="A9" s="3" t="s">
        <v>148</v>
      </c>
      <c r="B9" s="3" t="s">
        <v>137</v>
      </c>
      <c r="C9" s="3" t="s">
        <v>138</v>
      </c>
      <c r="D9" s="3" t="s">
        <v>133</v>
      </c>
      <c r="E9" s="3" t="s">
        <v>149</v>
      </c>
      <c r="F9" s="3" t="s">
        <v>135</v>
      </c>
      <c r="G9" s="3" t="s">
        <v>129</v>
      </c>
    </row>
    <row r="10" spans="1:7" x14ac:dyDescent="0.3">
      <c r="A10" s="3" t="s">
        <v>150</v>
      </c>
      <c r="B10" s="3" t="s">
        <v>137</v>
      </c>
      <c r="C10" s="3" t="s">
        <v>138</v>
      </c>
      <c r="D10" s="3" t="s">
        <v>133</v>
      </c>
      <c r="E10" s="3" t="s">
        <v>141</v>
      </c>
      <c r="F10" s="3" t="s">
        <v>135</v>
      </c>
      <c r="G10" s="3" t="s">
        <v>129</v>
      </c>
    </row>
    <row r="11" spans="1:7" x14ac:dyDescent="0.3">
      <c r="A11" s="3" t="s">
        <v>151</v>
      </c>
      <c r="B11" s="3" t="s">
        <v>131</v>
      </c>
      <c r="C11" s="3" t="s">
        <v>140</v>
      </c>
      <c r="D11" s="3" t="s">
        <v>133</v>
      </c>
      <c r="E11" s="3" t="s">
        <v>127</v>
      </c>
      <c r="F11" s="3" t="s">
        <v>135</v>
      </c>
      <c r="G11" s="3" t="s">
        <v>129</v>
      </c>
    </row>
    <row r="12" spans="1:7" x14ac:dyDescent="0.3">
      <c r="A12" s="3" t="s">
        <v>152</v>
      </c>
      <c r="B12" s="3" t="s">
        <v>124</v>
      </c>
      <c r="C12" s="3" t="s">
        <v>153</v>
      </c>
      <c r="D12" s="3" t="s">
        <v>126</v>
      </c>
      <c r="E12" s="3" t="s">
        <v>127</v>
      </c>
      <c r="F12" s="3" t="s">
        <v>128</v>
      </c>
      <c r="G12" s="3" t="s">
        <v>129</v>
      </c>
    </row>
    <row r="13" spans="1:7" x14ac:dyDescent="0.3">
      <c r="A13" s="3" t="s">
        <v>154</v>
      </c>
      <c r="B13" s="3" t="s">
        <v>131</v>
      </c>
      <c r="C13" s="3" t="s">
        <v>132</v>
      </c>
      <c r="D13" s="3" t="s">
        <v>133</v>
      </c>
      <c r="E13" s="3" t="s">
        <v>127</v>
      </c>
      <c r="F13" s="3" t="s">
        <v>135</v>
      </c>
      <c r="G13" s="3" t="s">
        <v>129</v>
      </c>
    </row>
    <row r="14" spans="1:7" x14ac:dyDescent="0.3">
      <c r="A14" s="3" t="s">
        <v>155</v>
      </c>
      <c r="B14" s="3" t="s">
        <v>137</v>
      </c>
      <c r="C14" s="3" t="s">
        <v>147</v>
      </c>
      <c r="D14" s="3" t="s">
        <v>133</v>
      </c>
      <c r="E14" s="3" t="s">
        <v>149</v>
      </c>
      <c r="F14" s="3" t="s">
        <v>135</v>
      </c>
      <c r="G14" s="3" t="s">
        <v>129</v>
      </c>
    </row>
    <row r="15" spans="1:7" x14ac:dyDescent="0.3">
      <c r="A15" s="3" t="s">
        <v>156</v>
      </c>
      <c r="B15" s="3" t="s">
        <v>137</v>
      </c>
      <c r="C15" s="3" t="s">
        <v>138</v>
      </c>
      <c r="D15" s="3" t="s">
        <v>133</v>
      </c>
      <c r="E15" s="3" t="s">
        <v>144</v>
      </c>
      <c r="F15" s="3" t="s">
        <v>135</v>
      </c>
      <c r="G15" s="3" t="s">
        <v>129</v>
      </c>
    </row>
    <row r="16" spans="1:7" x14ac:dyDescent="0.3">
      <c r="A16" s="3" t="s">
        <v>157</v>
      </c>
      <c r="B16" s="3" t="s">
        <v>131</v>
      </c>
      <c r="C16" s="3" t="s">
        <v>140</v>
      </c>
      <c r="D16" s="3" t="s">
        <v>133</v>
      </c>
      <c r="E16" s="3" t="s">
        <v>141</v>
      </c>
      <c r="F16" s="3" t="s">
        <v>135</v>
      </c>
      <c r="G16" s="3" t="s">
        <v>129</v>
      </c>
    </row>
    <row r="17" spans="1:7" x14ac:dyDescent="0.3">
      <c r="A17" s="3" t="s">
        <v>158</v>
      </c>
      <c r="B17" s="3" t="s">
        <v>124</v>
      </c>
      <c r="C17" s="3" t="s">
        <v>125</v>
      </c>
      <c r="D17" s="3" t="s">
        <v>126</v>
      </c>
      <c r="E17" s="3" t="s">
        <v>144</v>
      </c>
      <c r="F17" s="3" t="s">
        <v>135</v>
      </c>
      <c r="G17" s="3" t="s">
        <v>129</v>
      </c>
    </row>
    <row r="18" spans="1:7" x14ac:dyDescent="0.3">
      <c r="A18" s="3" t="s">
        <v>159</v>
      </c>
      <c r="B18" s="3" t="s">
        <v>137</v>
      </c>
      <c r="C18" s="3" t="s">
        <v>138</v>
      </c>
      <c r="D18" s="3" t="s">
        <v>133</v>
      </c>
      <c r="E18" s="3" t="s">
        <v>149</v>
      </c>
      <c r="F18" s="3" t="s">
        <v>135</v>
      </c>
      <c r="G18" s="3" t="s">
        <v>129</v>
      </c>
    </row>
    <row r="19" spans="1:7" x14ac:dyDescent="0.3">
      <c r="A19" s="3" t="s">
        <v>160</v>
      </c>
      <c r="B19" s="3" t="s">
        <v>131</v>
      </c>
      <c r="C19" s="3" t="s">
        <v>161</v>
      </c>
      <c r="D19" s="3" t="s">
        <v>162</v>
      </c>
      <c r="E19" s="3" t="s">
        <v>149</v>
      </c>
      <c r="F19" s="3" t="s">
        <v>135</v>
      </c>
      <c r="G19" s="3" t="s">
        <v>129</v>
      </c>
    </row>
    <row r="20" spans="1:7" x14ac:dyDescent="0.3">
      <c r="A20" s="3" t="s">
        <v>163</v>
      </c>
      <c r="B20" s="3" t="s">
        <v>137</v>
      </c>
      <c r="C20" s="3" t="s">
        <v>138</v>
      </c>
      <c r="D20" s="3" t="s">
        <v>133</v>
      </c>
      <c r="E20" s="3" t="s">
        <v>127</v>
      </c>
      <c r="F20" s="3" t="s">
        <v>135</v>
      </c>
      <c r="G20" s="3" t="s">
        <v>129</v>
      </c>
    </row>
    <row r="21" spans="1:7" x14ac:dyDescent="0.3">
      <c r="A21" s="3" t="s">
        <v>164</v>
      </c>
      <c r="B21" s="3" t="s">
        <v>137</v>
      </c>
      <c r="C21" s="3" t="s">
        <v>165</v>
      </c>
      <c r="D21" s="3" t="s">
        <v>133</v>
      </c>
      <c r="E21" s="3" t="s">
        <v>149</v>
      </c>
      <c r="F21" s="3" t="s">
        <v>135</v>
      </c>
      <c r="G21" s="3" t="s">
        <v>129</v>
      </c>
    </row>
    <row r="22" spans="1:7" x14ac:dyDescent="0.3">
      <c r="A22" s="3" t="s">
        <v>166</v>
      </c>
      <c r="B22" s="3" t="s">
        <v>137</v>
      </c>
      <c r="C22" s="3" t="s">
        <v>147</v>
      </c>
      <c r="D22" s="3" t="s">
        <v>133</v>
      </c>
      <c r="E22" s="3" t="s">
        <v>141</v>
      </c>
      <c r="F22" s="3" t="s">
        <v>135</v>
      </c>
      <c r="G22" s="3" t="s">
        <v>129</v>
      </c>
    </row>
    <row r="23" spans="1:7" x14ac:dyDescent="0.3">
      <c r="A23" s="3" t="s">
        <v>167</v>
      </c>
      <c r="B23" s="3" t="s">
        <v>124</v>
      </c>
      <c r="C23" s="3" t="s">
        <v>168</v>
      </c>
      <c r="D23" s="3" t="s">
        <v>126</v>
      </c>
      <c r="E23" s="3" t="s">
        <v>141</v>
      </c>
      <c r="F23" s="3" t="s">
        <v>135</v>
      </c>
      <c r="G23" s="3" t="s">
        <v>129</v>
      </c>
    </row>
    <row r="24" spans="1:7" x14ac:dyDescent="0.3">
      <c r="A24" s="3" t="s">
        <v>169</v>
      </c>
      <c r="B24" s="3" t="s">
        <v>137</v>
      </c>
      <c r="C24" s="3" t="s">
        <v>147</v>
      </c>
      <c r="D24" s="3" t="s">
        <v>133</v>
      </c>
      <c r="E24" s="3" t="s">
        <v>127</v>
      </c>
      <c r="F24" s="3" t="s">
        <v>135</v>
      </c>
      <c r="G24" s="3" t="s">
        <v>129</v>
      </c>
    </row>
    <row r="25" spans="1:7" x14ac:dyDescent="0.3">
      <c r="A25" s="3" t="s">
        <v>170</v>
      </c>
      <c r="B25" s="3" t="s">
        <v>131</v>
      </c>
      <c r="C25" s="3" t="s">
        <v>171</v>
      </c>
      <c r="D25" s="3" t="s">
        <v>133</v>
      </c>
      <c r="E25" s="3" t="s">
        <v>141</v>
      </c>
      <c r="F25" s="3" t="s">
        <v>135</v>
      </c>
      <c r="G25" s="3" t="s">
        <v>129</v>
      </c>
    </row>
    <row r="26" spans="1:7" x14ac:dyDescent="0.3">
      <c r="A26" s="3" t="s">
        <v>172</v>
      </c>
      <c r="B26" s="3" t="s">
        <v>131</v>
      </c>
      <c r="C26" s="3" t="s">
        <v>173</v>
      </c>
      <c r="D26" s="3" t="s">
        <v>174</v>
      </c>
      <c r="E26" s="3" t="s">
        <v>141</v>
      </c>
      <c r="F26" s="3" t="s">
        <v>135</v>
      </c>
      <c r="G26" s="3" t="s">
        <v>129</v>
      </c>
    </row>
    <row r="27" spans="1:7" x14ac:dyDescent="0.3">
      <c r="A27" s="3" t="s">
        <v>175</v>
      </c>
      <c r="B27" s="3" t="s">
        <v>137</v>
      </c>
      <c r="C27" s="3" t="s">
        <v>147</v>
      </c>
      <c r="D27" s="3" t="s">
        <v>133</v>
      </c>
      <c r="E27" s="3" t="s">
        <v>141</v>
      </c>
      <c r="F27" s="3" t="s">
        <v>135</v>
      </c>
      <c r="G27" s="3" t="s">
        <v>129</v>
      </c>
    </row>
    <row r="28" spans="1:7" x14ac:dyDescent="0.3">
      <c r="A28" s="3" t="s">
        <v>176</v>
      </c>
      <c r="B28" s="3" t="s">
        <v>131</v>
      </c>
      <c r="C28" s="3" t="s">
        <v>173</v>
      </c>
      <c r="D28" s="3" t="s">
        <v>174</v>
      </c>
      <c r="E28" s="3" t="s">
        <v>149</v>
      </c>
      <c r="F28" s="3" t="s">
        <v>135</v>
      </c>
      <c r="G28" s="3" t="s">
        <v>129</v>
      </c>
    </row>
    <row r="29" spans="1:7" x14ac:dyDescent="0.3">
      <c r="A29" s="3" t="s">
        <v>177</v>
      </c>
      <c r="B29" s="3" t="s">
        <v>131</v>
      </c>
      <c r="C29" s="3" t="s">
        <v>161</v>
      </c>
      <c r="D29" s="3" t="s">
        <v>162</v>
      </c>
      <c r="E29" s="3" t="s">
        <v>149</v>
      </c>
      <c r="F29" s="3" t="s">
        <v>135</v>
      </c>
      <c r="G29" s="3" t="s">
        <v>129</v>
      </c>
    </row>
    <row r="30" spans="1:7" x14ac:dyDescent="0.3">
      <c r="A30" s="3" t="s">
        <v>178</v>
      </c>
      <c r="B30" s="3" t="s">
        <v>137</v>
      </c>
      <c r="C30" s="3" t="s">
        <v>147</v>
      </c>
      <c r="D30" s="3" t="s">
        <v>133</v>
      </c>
      <c r="E30" s="3" t="s">
        <v>127</v>
      </c>
      <c r="F30" s="3" t="s">
        <v>135</v>
      </c>
      <c r="G30" s="3" t="s">
        <v>129</v>
      </c>
    </row>
    <row r="31" spans="1:7" x14ac:dyDescent="0.3">
      <c r="A31" s="3" t="s">
        <v>179</v>
      </c>
      <c r="B31" s="3" t="s">
        <v>131</v>
      </c>
      <c r="C31" s="3" t="s">
        <v>161</v>
      </c>
      <c r="D31" s="3" t="s">
        <v>162</v>
      </c>
      <c r="E31" s="3" t="s">
        <v>141</v>
      </c>
      <c r="F31" s="3" t="s">
        <v>135</v>
      </c>
      <c r="G31" s="3" t="s">
        <v>129</v>
      </c>
    </row>
    <row r="32" spans="1:7" x14ac:dyDescent="0.3">
      <c r="A32" s="3" t="s">
        <v>180</v>
      </c>
      <c r="B32" s="3" t="s">
        <v>137</v>
      </c>
      <c r="C32" s="3" t="s">
        <v>138</v>
      </c>
      <c r="D32" s="3" t="s">
        <v>133</v>
      </c>
      <c r="E32" s="3" t="s">
        <v>144</v>
      </c>
      <c r="F32" s="3" t="s">
        <v>135</v>
      </c>
      <c r="G32" s="3" t="s">
        <v>129</v>
      </c>
    </row>
    <row r="33" spans="1:7" x14ac:dyDescent="0.3">
      <c r="A33" s="3" t="s">
        <v>181</v>
      </c>
      <c r="B33" s="3" t="s">
        <v>124</v>
      </c>
      <c r="C33" s="3" t="s">
        <v>153</v>
      </c>
      <c r="D33" s="3" t="s">
        <v>126</v>
      </c>
      <c r="E33" s="3" t="s">
        <v>134</v>
      </c>
      <c r="F33" s="3" t="s">
        <v>135</v>
      </c>
      <c r="G33" s="3" t="s">
        <v>129</v>
      </c>
    </row>
    <row r="34" spans="1:7" x14ac:dyDescent="0.3">
      <c r="A34" s="3" t="s">
        <v>182</v>
      </c>
      <c r="B34" s="3" t="s">
        <v>124</v>
      </c>
      <c r="C34" s="3" t="s">
        <v>183</v>
      </c>
      <c r="D34" s="3" t="s">
        <v>162</v>
      </c>
      <c r="E34" s="3" t="s">
        <v>141</v>
      </c>
      <c r="F34" s="3" t="s">
        <v>135</v>
      </c>
      <c r="G34" s="3" t="s">
        <v>129</v>
      </c>
    </row>
    <row r="35" spans="1:7" x14ac:dyDescent="0.3">
      <c r="A35" s="3" t="s">
        <v>184</v>
      </c>
      <c r="B35" s="3" t="s">
        <v>131</v>
      </c>
      <c r="C35" s="3" t="s">
        <v>173</v>
      </c>
      <c r="D35" s="3" t="s">
        <v>174</v>
      </c>
      <c r="E35" s="3" t="s">
        <v>141</v>
      </c>
      <c r="F35" s="3" t="s">
        <v>135</v>
      </c>
      <c r="G35" s="3" t="s">
        <v>129</v>
      </c>
    </row>
    <row r="36" spans="1:7" x14ac:dyDescent="0.3">
      <c r="A36" s="3" t="s">
        <v>185</v>
      </c>
      <c r="B36" s="3" t="s">
        <v>137</v>
      </c>
      <c r="C36" s="3" t="s">
        <v>165</v>
      </c>
      <c r="D36" s="3" t="s">
        <v>133</v>
      </c>
      <c r="E36" s="3" t="s">
        <v>144</v>
      </c>
      <c r="F36" s="3" t="s">
        <v>135</v>
      </c>
      <c r="G36" s="3" t="s">
        <v>129</v>
      </c>
    </row>
  </sheetData>
  <autoFilter ref="A1:G36" xr:uid="{00000000-0009-0000-0000-000002000000}"/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7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13" customWidth="1"/>
    <col min="5" max="6" width="12" customWidth="1"/>
    <col min="7" max="7" width="17" customWidth="1"/>
  </cols>
  <sheetData>
    <row r="1" spans="1:7" x14ac:dyDescent="0.3">
      <c r="A1" s="2" t="s">
        <v>4</v>
      </c>
      <c r="B1" s="2" t="s">
        <v>116</v>
      </c>
      <c r="C1" s="2" t="s">
        <v>117</v>
      </c>
      <c r="D1" s="2" t="s">
        <v>186</v>
      </c>
      <c r="E1" s="2" t="s">
        <v>187</v>
      </c>
      <c r="F1" s="2" t="s">
        <v>119</v>
      </c>
      <c r="G1" s="2" t="s">
        <v>188</v>
      </c>
    </row>
    <row r="2" spans="1:7" x14ac:dyDescent="0.3">
      <c r="A2" s="3" t="s">
        <v>28</v>
      </c>
      <c r="B2" s="3" t="s">
        <v>167</v>
      </c>
      <c r="C2" s="3" t="s">
        <v>124</v>
      </c>
      <c r="D2" s="3">
        <v>0.27800000000000002</v>
      </c>
      <c r="E2" s="6">
        <v>5.0999999999999997E-2</v>
      </c>
      <c r="F2" s="3" t="s">
        <v>126</v>
      </c>
      <c r="G2" s="3" t="s">
        <v>189</v>
      </c>
    </row>
    <row r="3" spans="1:7" x14ac:dyDescent="0.3">
      <c r="A3" s="3" t="s">
        <v>28</v>
      </c>
      <c r="B3" s="3" t="s">
        <v>181</v>
      </c>
      <c r="C3" s="3" t="s">
        <v>124</v>
      </c>
      <c r="D3" s="3">
        <v>0.46600000000000003</v>
      </c>
      <c r="E3" s="6">
        <v>1.4E-2</v>
      </c>
      <c r="F3" s="3" t="s">
        <v>126</v>
      </c>
      <c r="G3" s="3" t="s">
        <v>189</v>
      </c>
    </row>
    <row r="4" spans="1:7" x14ac:dyDescent="0.3">
      <c r="A4" s="3" t="s">
        <v>28</v>
      </c>
      <c r="B4" s="3" t="s">
        <v>176</v>
      </c>
      <c r="C4" s="3" t="s">
        <v>131</v>
      </c>
      <c r="D4" s="3">
        <v>6.5119999999999996</v>
      </c>
      <c r="E4" s="6">
        <v>6.5000000000000002E-2</v>
      </c>
      <c r="F4" s="3" t="s">
        <v>174</v>
      </c>
      <c r="G4" s="3" t="s">
        <v>189</v>
      </c>
    </row>
    <row r="5" spans="1:7" x14ac:dyDescent="0.3">
      <c r="A5" s="3" t="s">
        <v>28</v>
      </c>
      <c r="B5" s="3" t="s">
        <v>139</v>
      </c>
      <c r="C5" s="3" t="s">
        <v>131</v>
      </c>
      <c r="D5" s="3">
        <v>5.4379999999999997</v>
      </c>
      <c r="E5" s="6">
        <v>2.4E-2</v>
      </c>
      <c r="F5" s="3" t="s">
        <v>133</v>
      </c>
      <c r="G5" s="3" t="s">
        <v>189</v>
      </c>
    </row>
    <row r="6" spans="1:7" x14ac:dyDescent="0.3">
      <c r="A6" s="3" t="s">
        <v>28</v>
      </c>
      <c r="B6" s="3" t="s">
        <v>184</v>
      </c>
      <c r="C6" s="3" t="s">
        <v>131</v>
      </c>
      <c r="D6" s="3">
        <v>12.823</v>
      </c>
      <c r="E6" s="6">
        <v>3.2000000000000001E-2</v>
      </c>
      <c r="F6" s="3" t="s">
        <v>174</v>
      </c>
      <c r="G6" s="3" t="s">
        <v>189</v>
      </c>
    </row>
    <row r="7" spans="1:7" x14ac:dyDescent="0.3">
      <c r="A7" s="3" t="s">
        <v>28</v>
      </c>
      <c r="B7" s="3" t="s">
        <v>172</v>
      </c>
      <c r="C7" s="3" t="s">
        <v>131</v>
      </c>
      <c r="D7" s="3">
        <v>8.7829999999999995</v>
      </c>
      <c r="E7" s="6">
        <v>6.2E-2</v>
      </c>
      <c r="F7" s="3" t="s">
        <v>174</v>
      </c>
      <c r="G7" s="3" t="s">
        <v>189</v>
      </c>
    </row>
    <row r="8" spans="1:7" x14ac:dyDescent="0.3">
      <c r="A8" s="3" t="s">
        <v>28</v>
      </c>
      <c r="B8" s="3" t="s">
        <v>148</v>
      </c>
      <c r="C8" s="3" t="s">
        <v>137</v>
      </c>
      <c r="D8" s="3">
        <v>0.84499999999999997</v>
      </c>
      <c r="E8" s="6">
        <v>7.9000000000000001E-2</v>
      </c>
      <c r="F8" s="3" t="s">
        <v>133</v>
      </c>
      <c r="G8" s="3" t="s">
        <v>189</v>
      </c>
    </row>
    <row r="9" spans="1:7" x14ac:dyDescent="0.3">
      <c r="A9" s="3" t="s">
        <v>40</v>
      </c>
      <c r="B9" s="3" t="s">
        <v>158</v>
      </c>
      <c r="C9" s="3" t="s">
        <v>124</v>
      </c>
      <c r="D9" s="3">
        <v>0.625</v>
      </c>
      <c r="E9" s="6">
        <v>2.5000000000000001E-2</v>
      </c>
      <c r="F9" s="3" t="s">
        <v>126</v>
      </c>
      <c r="G9" s="3" t="s">
        <v>189</v>
      </c>
    </row>
    <row r="10" spans="1:7" x14ac:dyDescent="0.3">
      <c r="A10" s="3" t="s">
        <v>40</v>
      </c>
      <c r="B10" s="3" t="s">
        <v>152</v>
      </c>
      <c r="C10" s="3" t="s">
        <v>124</v>
      </c>
      <c r="D10" s="3">
        <v>0.74</v>
      </c>
      <c r="E10" s="6">
        <v>3.9E-2</v>
      </c>
      <c r="F10" s="3" t="s">
        <v>126</v>
      </c>
      <c r="G10" s="3" t="s">
        <v>189</v>
      </c>
    </row>
    <row r="11" spans="1:7" x14ac:dyDescent="0.3">
      <c r="A11" s="3" t="s">
        <v>40</v>
      </c>
      <c r="B11" s="3" t="s">
        <v>139</v>
      </c>
      <c r="C11" s="3" t="s">
        <v>131</v>
      </c>
      <c r="D11" s="3">
        <v>4.4349999999999996</v>
      </c>
      <c r="E11" s="6">
        <v>4.3999999999999997E-2</v>
      </c>
      <c r="F11" s="3" t="s">
        <v>133</v>
      </c>
      <c r="G11" s="3" t="s">
        <v>189</v>
      </c>
    </row>
    <row r="12" spans="1:7" x14ac:dyDescent="0.3">
      <c r="A12" s="3" t="s">
        <v>40</v>
      </c>
      <c r="B12" s="3" t="s">
        <v>157</v>
      </c>
      <c r="C12" s="3" t="s">
        <v>131</v>
      </c>
      <c r="D12" s="3">
        <v>6.2889999999999997</v>
      </c>
      <c r="E12" s="6">
        <v>0.03</v>
      </c>
      <c r="F12" s="3" t="s">
        <v>133</v>
      </c>
      <c r="G12" s="3" t="s">
        <v>189</v>
      </c>
    </row>
    <row r="13" spans="1:7" x14ac:dyDescent="0.3">
      <c r="A13" s="3" t="s">
        <v>40</v>
      </c>
      <c r="B13" s="3" t="s">
        <v>142</v>
      </c>
      <c r="C13" s="3" t="s">
        <v>131</v>
      </c>
      <c r="D13" s="3">
        <v>4.3170000000000002</v>
      </c>
      <c r="E13" s="6">
        <v>2E-3</v>
      </c>
      <c r="F13" s="3" t="s">
        <v>133</v>
      </c>
      <c r="G13" s="3" t="s">
        <v>189</v>
      </c>
    </row>
    <row r="14" spans="1:7" x14ac:dyDescent="0.3">
      <c r="A14" s="3" t="s">
        <v>40</v>
      </c>
      <c r="B14" s="3" t="s">
        <v>176</v>
      </c>
      <c r="C14" s="3" t="s">
        <v>131</v>
      </c>
      <c r="D14" s="3">
        <v>1.615</v>
      </c>
      <c r="E14" s="6">
        <v>4.1000000000000002E-2</v>
      </c>
      <c r="F14" s="3" t="s">
        <v>174</v>
      </c>
      <c r="G14" s="3" t="s">
        <v>189</v>
      </c>
    </row>
    <row r="15" spans="1:7" x14ac:dyDescent="0.3">
      <c r="A15" s="3" t="s">
        <v>40</v>
      </c>
      <c r="B15" s="3" t="s">
        <v>155</v>
      </c>
      <c r="C15" s="3" t="s">
        <v>137</v>
      </c>
      <c r="D15" s="3">
        <v>0.27900000000000003</v>
      </c>
      <c r="E15" s="6">
        <v>2.3E-2</v>
      </c>
      <c r="F15" s="3" t="s">
        <v>133</v>
      </c>
      <c r="G15" s="3" t="s">
        <v>189</v>
      </c>
    </row>
    <row r="16" spans="1:7" x14ac:dyDescent="0.3">
      <c r="A16" s="3" t="s">
        <v>12</v>
      </c>
      <c r="B16" s="3" t="s">
        <v>123</v>
      </c>
      <c r="C16" s="3" t="s">
        <v>124</v>
      </c>
      <c r="D16" s="3">
        <v>0.374</v>
      </c>
      <c r="E16" s="6">
        <v>1.2E-2</v>
      </c>
      <c r="F16" s="3" t="s">
        <v>126</v>
      </c>
      <c r="G16" s="3" t="s">
        <v>189</v>
      </c>
    </row>
    <row r="17" spans="1:7" x14ac:dyDescent="0.3">
      <c r="A17" s="3" t="s">
        <v>12</v>
      </c>
      <c r="B17" s="3" t="s">
        <v>152</v>
      </c>
      <c r="C17" s="3" t="s">
        <v>124</v>
      </c>
      <c r="D17" s="3">
        <v>0.53900000000000003</v>
      </c>
      <c r="E17" s="6">
        <v>7.8E-2</v>
      </c>
      <c r="F17" s="3" t="s">
        <v>126</v>
      </c>
      <c r="G17" s="3" t="s">
        <v>189</v>
      </c>
    </row>
    <row r="18" spans="1:7" x14ac:dyDescent="0.3">
      <c r="A18" s="3" t="s">
        <v>12</v>
      </c>
      <c r="B18" s="3" t="s">
        <v>177</v>
      </c>
      <c r="C18" s="3" t="s">
        <v>131</v>
      </c>
      <c r="D18" s="3">
        <v>14.484999999999999</v>
      </c>
      <c r="E18" s="6">
        <v>7.0000000000000001E-3</v>
      </c>
      <c r="F18" s="3" t="s">
        <v>162</v>
      </c>
      <c r="G18" s="3" t="s">
        <v>189</v>
      </c>
    </row>
    <row r="19" spans="1:7" x14ac:dyDescent="0.3">
      <c r="A19" s="3" t="s">
        <v>12</v>
      </c>
      <c r="B19" s="3" t="s">
        <v>179</v>
      </c>
      <c r="C19" s="3" t="s">
        <v>131</v>
      </c>
      <c r="D19" s="3">
        <v>2.5379999999999998</v>
      </c>
      <c r="E19" s="6">
        <v>5.7000000000000002E-2</v>
      </c>
      <c r="F19" s="3" t="s">
        <v>162</v>
      </c>
      <c r="G19" s="3" t="s">
        <v>189</v>
      </c>
    </row>
    <row r="20" spans="1:7" x14ac:dyDescent="0.3">
      <c r="A20" s="3" t="s">
        <v>12</v>
      </c>
      <c r="B20" s="3" t="s">
        <v>157</v>
      </c>
      <c r="C20" s="3" t="s">
        <v>131</v>
      </c>
      <c r="D20" s="3">
        <v>11.688000000000001</v>
      </c>
      <c r="E20" s="6">
        <v>7.1999999999999995E-2</v>
      </c>
      <c r="F20" s="3" t="s">
        <v>133</v>
      </c>
      <c r="G20" s="3" t="s">
        <v>189</v>
      </c>
    </row>
    <row r="21" spans="1:7" x14ac:dyDescent="0.3">
      <c r="A21" s="3" t="s">
        <v>12</v>
      </c>
      <c r="B21" s="3" t="s">
        <v>130</v>
      </c>
      <c r="C21" s="3" t="s">
        <v>131</v>
      </c>
      <c r="D21" s="3">
        <v>8.5410000000000004</v>
      </c>
      <c r="E21" s="6">
        <v>2.4E-2</v>
      </c>
      <c r="F21" s="3" t="s">
        <v>133</v>
      </c>
      <c r="G21" s="3" t="s">
        <v>189</v>
      </c>
    </row>
    <row r="22" spans="1:7" x14ac:dyDescent="0.3">
      <c r="A22" s="3" t="s">
        <v>12</v>
      </c>
      <c r="B22" s="3" t="s">
        <v>164</v>
      </c>
      <c r="C22" s="3" t="s">
        <v>137</v>
      </c>
      <c r="D22" s="3">
        <v>1.0620000000000001</v>
      </c>
      <c r="E22" s="6">
        <v>3.1E-2</v>
      </c>
      <c r="F22" s="3" t="s">
        <v>133</v>
      </c>
      <c r="G22" s="3" t="s">
        <v>189</v>
      </c>
    </row>
    <row r="23" spans="1:7" x14ac:dyDescent="0.3">
      <c r="A23" s="3" t="s">
        <v>55</v>
      </c>
      <c r="B23" s="3" t="s">
        <v>152</v>
      </c>
      <c r="C23" s="3" t="s">
        <v>124</v>
      </c>
      <c r="D23" s="3">
        <v>0.81599999999999995</v>
      </c>
      <c r="E23" s="6">
        <v>3.6999999999999998E-2</v>
      </c>
      <c r="F23" s="3" t="s">
        <v>126</v>
      </c>
      <c r="G23" s="3" t="s">
        <v>189</v>
      </c>
    </row>
    <row r="24" spans="1:7" x14ac:dyDescent="0.3">
      <c r="A24" s="3" t="s">
        <v>55</v>
      </c>
      <c r="B24" s="3" t="s">
        <v>167</v>
      </c>
      <c r="C24" s="3" t="s">
        <v>124</v>
      </c>
      <c r="D24" s="3">
        <v>0.72099999999999997</v>
      </c>
      <c r="E24" s="6">
        <v>3.9E-2</v>
      </c>
      <c r="F24" s="3" t="s">
        <v>126</v>
      </c>
      <c r="G24" s="3" t="s">
        <v>189</v>
      </c>
    </row>
    <row r="25" spans="1:7" x14ac:dyDescent="0.3">
      <c r="A25" s="3" t="s">
        <v>55</v>
      </c>
      <c r="B25" s="3" t="s">
        <v>177</v>
      </c>
      <c r="C25" s="3" t="s">
        <v>131</v>
      </c>
      <c r="D25" s="3">
        <v>3.9220000000000002</v>
      </c>
      <c r="E25" s="6">
        <v>5.2999999999999999E-2</v>
      </c>
      <c r="F25" s="3" t="s">
        <v>162</v>
      </c>
      <c r="G25" s="3" t="s">
        <v>189</v>
      </c>
    </row>
    <row r="26" spans="1:7" x14ac:dyDescent="0.3">
      <c r="A26" s="3" t="s">
        <v>55</v>
      </c>
      <c r="B26" s="3" t="s">
        <v>160</v>
      </c>
      <c r="C26" s="3" t="s">
        <v>131</v>
      </c>
      <c r="D26" s="3">
        <v>5.9059999999999997</v>
      </c>
      <c r="E26" s="6">
        <v>6.6000000000000003E-2</v>
      </c>
      <c r="F26" s="3" t="s">
        <v>162</v>
      </c>
      <c r="G26" s="3" t="s">
        <v>189</v>
      </c>
    </row>
    <row r="27" spans="1:7" x14ac:dyDescent="0.3">
      <c r="A27" s="3" t="s">
        <v>55</v>
      </c>
      <c r="B27" s="3" t="s">
        <v>170</v>
      </c>
      <c r="C27" s="3" t="s">
        <v>131</v>
      </c>
      <c r="D27" s="3">
        <v>4.6790000000000003</v>
      </c>
      <c r="E27" s="6">
        <v>5.1999999999999998E-2</v>
      </c>
      <c r="F27" s="3" t="s">
        <v>133</v>
      </c>
      <c r="G27" s="3" t="s">
        <v>189</v>
      </c>
    </row>
    <row r="28" spans="1:7" x14ac:dyDescent="0.3">
      <c r="A28" s="3" t="s">
        <v>55</v>
      </c>
      <c r="B28" s="3" t="s">
        <v>184</v>
      </c>
      <c r="C28" s="3" t="s">
        <v>131</v>
      </c>
      <c r="D28" s="3">
        <v>9.2639999999999993</v>
      </c>
      <c r="E28" s="6">
        <v>0.02</v>
      </c>
      <c r="F28" s="3" t="s">
        <v>174</v>
      </c>
      <c r="G28" s="3" t="s">
        <v>189</v>
      </c>
    </row>
    <row r="29" spans="1:7" x14ac:dyDescent="0.3">
      <c r="A29" s="3" t="s">
        <v>55</v>
      </c>
      <c r="B29" s="3" t="s">
        <v>148</v>
      </c>
      <c r="C29" s="3" t="s">
        <v>137</v>
      </c>
      <c r="D29" s="3">
        <v>0.48899999999999999</v>
      </c>
      <c r="E29" s="6">
        <v>2.9000000000000001E-2</v>
      </c>
      <c r="F29" s="3" t="s">
        <v>133</v>
      </c>
      <c r="G29" s="3" t="s">
        <v>189</v>
      </c>
    </row>
    <row r="30" spans="1:7" x14ac:dyDescent="0.3">
      <c r="A30" s="3" t="s">
        <v>33</v>
      </c>
      <c r="B30" s="3" t="s">
        <v>123</v>
      </c>
      <c r="C30" s="3" t="s">
        <v>124</v>
      </c>
      <c r="D30" s="3">
        <v>0.46600000000000003</v>
      </c>
      <c r="E30" s="6">
        <v>7.1999999999999995E-2</v>
      </c>
      <c r="F30" s="3" t="s">
        <v>126</v>
      </c>
      <c r="G30" s="3" t="s">
        <v>189</v>
      </c>
    </row>
    <row r="31" spans="1:7" x14ac:dyDescent="0.3">
      <c r="A31" s="3" t="s">
        <v>33</v>
      </c>
      <c r="B31" s="3" t="s">
        <v>182</v>
      </c>
      <c r="C31" s="3" t="s">
        <v>124</v>
      </c>
      <c r="D31" s="3">
        <v>0.33200000000000002</v>
      </c>
      <c r="E31" s="6">
        <v>1.6E-2</v>
      </c>
      <c r="F31" s="3" t="s">
        <v>162</v>
      </c>
      <c r="G31" s="3" t="s">
        <v>189</v>
      </c>
    </row>
    <row r="32" spans="1:7" x14ac:dyDescent="0.3">
      <c r="A32" s="3" t="s">
        <v>33</v>
      </c>
      <c r="B32" s="3" t="s">
        <v>142</v>
      </c>
      <c r="C32" s="3" t="s">
        <v>131</v>
      </c>
      <c r="D32" s="3">
        <v>9.9329999999999998</v>
      </c>
      <c r="E32" s="6">
        <v>4.2000000000000003E-2</v>
      </c>
      <c r="F32" s="3" t="s">
        <v>133</v>
      </c>
      <c r="G32" s="3" t="s">
        <v>189</v>
      </c>
    </row>
    <row r="33" spans="1:7" x14ac:dyDescent="0.3">
      <c r="A33" s="3" t="s">
        <v>33</v>
      </c>
      <c r="B33" s="3" t="s">
        <v>176</v>
      </c>
      <c r="C33" s="3" t="s">
        <v>131</v>
      </c>
      <c r="D33" s="3">
        <v>12.888999999999999</v>
      </c>
      <c r="E33" s="6">
        <v>5.5E-2</v>
      </c>
      <c r="F33" s="3" t="s">
        <v>174</v>
      </c>
      <c r="G33" s="3" t="s">
        <v>189</v>
      </c>
    </row>
    <row r="34" spans="1:7" x14ac:dyDescent="0.3">
      <c r="A34" s="3" t="s">
        <v>33</v>
      </c>
      <c r="B34" s="3" t="s">
        <v>177</v>
      </c>
      <c r="C34" s="3" t="s">
        <v>131</v>
      </c>
      <c r="D34" s="3">
        <v>12.635999999999999</v>
      </c>
      <c r="E34" s="6">
        <v>3.7999999999999999E-2</v>
      </c>
      <c r="F34" s="3" t="s">
        <v>162</v>
      </c>
      <c r="G34" s="3" t="s">
        <v>189</v>
      </c>
    </row>
    <row r="35" spans="1:7" x14ac:dyDescent="0.3">
      <c r="A35" s="3" t="s">
        <v>33</v>
      </c>
      <c r="B35" s="3" t="s">
        <v>145</v>
      </c>
      <c r="C35" s="3" t="s">
        <v>131</v>
      </c>
      <c r="D35" s="3">
        <v>4.7380000000000004</v>
      </c>
      <c r="E35" s="6">
        <v>3.2000000000000001E-2</v>
      </c>
      <c r="F35" s="3" t="s">
        <v>133</v>
      </c>
      <c r="G35" s="3" t="s">
        <v>189</v>
      </c>
    </row>
    <row r="36" spans="1:7" x14ac:dyDescent="0.3">
      <c r="A36" s="3" t="s">
        <v>33</v>
      </c>
      <c r="B36" s="3" t="s">
        <v>178</v>
      </c>
      <c r="C36" s="3" t="s">
        <v>137</v>
      </c>
      <c r="D36" s="3">
        <v>0.90900000000000003</v>
      </c>
      <c r="E36" s="6">
        <v>1.0999999999999999E-2</v>
      </c>
      <c r="F36" s="3" t="s">
        <v>133</v>
      </c>
      <c r="G36" s="3" t="s">
        <v>189</v>
      </c>
    </row>
    <row r="37" spans="1:7" x14ac:dyDescent="0.3">
      <c r="A37" s="3" t="s">
        <v>66</v>
      </c>
      <c r="B37" s="3" t="s">
        <v>123</v>
      </c>
      <c r="C37" s="3" t="s">
        <v>124</v>
      </c>
      <c r="D37" s="3">
        <v>0.23899999999999999</v>
      </c>
      <c r="E37" s="6">
        <v>4.3999999999999997E-2</v>
      </c>
      <c r="F37" s="3" t="s">
        <v>126</v>
      </c>
      <c r="G37" s="3" t="s">
        <v>189</v>
      </c>
    </row>
    <row r="38" spans="1:7" x14ac:dyDescent="0.3">
      <c r="A38" s="3" t="s">
        <v>66</v>
      </c>
      <c r="B38" s="3" t="s">
        <v>181</v>
      </c>
      <c r="C38" s="3" t="s">
        <v>124</v>
      </c>
      <c r="D38" s="3">
        <v>0.93200000000000005</v>
      </c>
      <c r="E38" s="6">
        <v>1.6E-2</v>
      </c>
      <c r="F38" s="3" t="s">
        <v>126</v>
      </c>
      <c r="G38" s="3" t="s">
        <v>189</v>
      </c>
    </row>
    <row r="39" spans="1:7" x14ac:dyDescent="0.3">
      <c r="A39" s="3" t="s">
        <v>66</v>
      </c>
      <c r="B39" s="3" t="s">
        <v>154</v>
      </c>
      <c r="C39" s="3" t="s">
        <v>131</v>
      </c>
      <c r="D39" s="3">
        <v>7.64</v>
      </c>
      <c r="E39" s="6">
        <v>4.4999999999999998E-2</v>
      </c>
      <c r="F39" s="3" t="s">
        <v>133</v>
      </c>
      <c r="G39" s="3" t="s">
        <v>189</v>
      </c>
    </row>
    <row r="40" spans="1:7" x14ac:dyDescent="0.3">
      <c r="A40" s="3" t="s">
        <v>66</v>
      </c>
      <c r="B40" s="3" t="s">
        <v>170</v>
      </c>
      <c r="C40" s="3" t="s">
        <v>131</v>
      </c>
      <c r="D40" s="3">
        <v>5.0069999999999997</v>
      </c>
      <c r="E40" s="6">
        <v>8.0000000000000002E-3</v>
      </c>
      <c r="F40" s="3" t="s">
        <v>133</v>
      </c>
      <c r="G40" s="3" t="s">
        <v>189</v>
      </c>
    </row>
    <row r="41" spans="1:7" x14ac:dyDescent="0.3">
      <c r="A41" s="3" t="s">
        <v>66</v>
      </c>
      <c r="B41" s="3" t="s">
        <v>142</v>
      </c>
      <c r="C41" s="3" t="s">
        <v>131</v>
      </c>
      <c r="D41" s="3">
        <v>10.012</v>
      </c>
      <c r="E41" s="6">
        <v>2.3E-2</v>
      </c>
      <c r="F41" s="3" t="s">
        <v>133</v>
      </c>
      <c r="G41" s="3" t="s">
        <v>189</v>
      </c>
    </row>
    <row r="42" spans="1:7" x14ac:dyDescent="0.3">
      <c r="A42" s="3" t="s">
        <v>66</v>
      </c>
      <c r="B42" s="3" t="s">
        <v>157</v>
      </c>
      <c r="C42" s="3" t="s">
        <v>131</v>
      </c>
      <c r="D42" s="3">
        <v>13.452</v>
      </c>
      <c r="E42" s="6">
        <v>3.2000000000000001E-2</v>
      </c>
      <c r="F42" s="3" t="s">
        <v>133</v>
      </c>
      <c r="G42" s="3" t="s">
        <v>189</v>
      </c>
    </row>
    <row r="43" spans="1:7" x14ac:dyDescent="0.3">
      <c r="A43" s="3" t="s">
        <v>66</v>
      </c>
      <c r="B43" s="3" t="s">
        <v>185</v>
      </c>
      <c r="C43" s="3" t="s">
        <v>137</v>
      </c>
      <c r="D43" s="3">
        <v>0.66900000000000004</v>
      </c>
      <c r="E43" s="6">
        <v>4.1000000000000002E-2</v>
      </c>
      <c r="F43" s="3" t="s">
        <v>133</v>
      </c>
      <c r="G43" s="3" t="s">
        <v>189</v>
      </c>
    </row>
    <row r="44" spans="1:7" x14ac:dyDescent="0.3">
      <c r="A44" s="3" t="s">
        <v>36</v>
      </c>
      <c r="B44" s="3" t="s">
        <v>182</v>
      </c>
      <c r="C44" s="3" t="s">
        <v>124</v>
      </c>
      <c r="D44" s="3">
        <v>1.143</v>
      </c>
      <c r="E44" s="6">
        <v>1.2999999999999999E-2</v>
      </c>
      <c r="F44" s="3" t="s">
        <v>162</v>
      </c>
      <c r="G44" s="3" t="s">
        <v>189</v>
      </c>
    </row>
    <row r="45" spans="1:7" x14ac:dyDescent="0.3">
      <c r="A45" s="3" t="s">
        <v>36</v>
      </c>
      <c r="B45" s="3" t="s">
        <v>158</v>
      </c>
      <c r="C45" s="3" t="s">
        <v>124</v>
      </c>
      <c r="D45" s="3">
        <v>0.54200000000000004</v>
      </c>
      <c r="E45" s="6">
        <v>3.4000000000000002E-2</v>
      </c>
      <c r="F45" s="3" t="s">
        <v>126</v>
      </c>
      <c r="G45" s="3" t="s">
        <v>189</v>
      </c>
    </row>
    <row r="46" spans="1:7" x14ac:dyDescent="0.3">
      <c r="A46" s="3" t="s">
        <v>36</v>
      </c>
      <c r="B46" s="3" t="s">
        <v>130</v>
      </c>
      <c r="C46" s="3" t="s">
        <v>131</v>
      </c>
      <c r="D46" s="3">
        <v>8.2840000000000007</v>
      </c>
      <c r="E46" s="6">
        <v>4.4999999999999998E-2</v>
      </c>
      <c r="F46" s="3" t="s">
        <v>133</v>
      </c>
      <c r="G46" s="3" t="s">
        <v>189</v>
      </c>
    </row>
    <row r="47" spans="1:7" x14ac:dyDescent="0.3">
      <c r="A47" s="3" t="s">
        <v>36</v>
      </c>
      <c r="B47" s="3" t="s">
        <v>160</v>
      </c>
      <c r="C47" s="3" t="s">
        <v>131</v>
      </c>
      <c r="D47" s="3">
        <v>12.897</v>
      </c>
      <c r="E47" s="6">
        <v>6.8000000000000005E-2</v>
      </c>
      <c r="F47" s="3" t="s">
        <v>162</v>
      </c>
      <c r="G47" s="3" t="s">
        <v>189</v>
      </c>
    </row>
    <row r="48" spans="1:7" x14ac:dyDescent="0.3">
      <c r="A48" s="3" t="s">
        <v>36</v>
      </c>
      <c r="B48" s="3" t="s">
        <v>170</v>
      </c>
      <c r="C48" s="3" t="s">
        <v>131</v>
      </c>
      <c r="D48" s="3">
        <v>3.3279999999999998</v>
      </c>
      <c r="E48" s="6">
        <v>2.8000000000000001E-2</v>
      </c>
      <c r="F48" s="3" t="s">
        <v>133</v>
      </c>
      <c r="G48" s="3" t="s">
        <v>189</v>
      </c>
    </row>
    <row r="49" spans="1:7" x14ac:dyDescent="0.3">
      <c r="A49" s="3" t="s">
        <v>36</v>
      </c>
      <c r="B49" s="3" t="s">
        <v>157</v>
      </c>
      <c r="C49" s="3" t="s">
        <v>131</v>
      </c>
      <c r="D49" s="3">
        <v>12.098000000000001</v>
      </c>
      <c r="E49" s="6">
        <v>7.9000000000000001E-2</v>
      </c>
      <c r="F49" s="3" t="s">
        <v>133</v>
      </c>
      <c r="G49" s="3" t="s">
        <v>189</v>
      </c>
    </row>
    <row r="50" spans="1:7" x14ac:dyDescent="0.3">
      <c r="A50" s="3" t="s">
        <v>36</v>
      </c>
      <c r="B50" s="3" t="s">
        <v>146</v>
      </c>
      <c r="C50" s="3" t="s">
        <v>137</v>
      </c>
      <c r="D50" s="3">
        <v>0.38100000000000001</v>
      </c>
      <c r="E50" s="6">
        <v>0.05</v>
      </c>
      <c r="F50" s="3" t="s">
        <v>133</v>
      </c>
      <c r="G50" s="3" t="s">
        <v>189</v>
      </c>
    </row>
    <row r="51" spans="1:7" x14ac:dyDescent="0.3">
      <c r="A51" s="3" t="s">
        <v>21</v>
      </c>
      <c r="B51" s="3" t="s">
        <v>167</v>
      </c>
      <c r="C51" s="3" t="s">
        <v>124</v>
      </c>
      <c r="D51" s="3">
        <v>0.34699999999999998</v>
      </c>
      <c r="E51" s="6">
        <v>3.5999999999999997E-2</v>
      </c>
      <c r="F51" s="3" t="s">
        <v>126</v>
      </c>
      <c r="G51" s="3" t="s">
        <v>189</v>
      </c>
    </row>
    <row r="52" spans="1:7" x14ac:dyDescent="0.3">
      <c r="A52" s="3" t="s">
        <v>21</v>
      </c>
      <c r="B52" s="3" t="s">
        <v>182</v>
      </c>
      <c r="C52" s="3" t="s">
        <v>124</v>
      </c>
      <c r="D52" s="3">
        <v>0.223</v>
      </c>
      <c r="E52" s="6">
        <v>5.5E-2</v>
      </c>
      <c r="F52" s="3" t="s">
        <v>162</v>
      </c>
      <c r="G52" s="3" t="s">
        <v>189</v>
      </c>
    </row>
    <row r="53" spans="1:7" x14ac:dyDescent="0.3">
      <c r="A53" s="3" t="s">
        <v>21</v>
      </c>
      <c r="B53" s="3" t="s">
        <v>160</v>
      </c>
      <c r="C53" s="3" t="s">
        <v>131</v>
      </c>
      <c r="D53" s="3">
        <v>6.4089999999999998</v>
      </c>
      <c r="E53" s="6">
        <v>2.8000000000000001E-2</v>
      </c>
      <c r="F53" s="3" t="s">
        <v>162</v>
      </c>
      <c r="G53" s="3" t="s">
        <v>189</v>
      </c>
    </row>
    <row r="54" spans="1:7" x14ac:dyDescent="0.3">
      <c r="A54" s="3" t="s">
        <v>21</v>
      </c>
      <c r="B54" s="3" t="s">
        <v>130</v>
      </c>
      <c r="C54" s="3" t="s">
        <v>131</v>
      </c>
      <c r="D54" s="3">
        <v>11.781000000000001</v>
      </c>
      <c r="E54" s="6">
        <v>3.5999999999999997E-2</v>
      </c>
      <c r="F54" s="3" t="s">
        <v>133</v>
      </c>
      <c r="G54" s="3" t="s">
        <v>189</v>
      </c>
    </row>
    <row r="55" spans="1:7" x14ac:dyDescent="0.3">
      <c r="A55" s="3" t="s">
        <v>21</v>
      </c>
      <c r="B55" s="3" t="s">
        <v>179</v>
      </c>
      <c r="C55" s="3" t="s">
        <v>131</v>
      </c>
      <c r="D55" s="3">
        <v>3.1949999999999998</v>
      </c>
      <c r="E55" s="6">
        <v>5.8000000000000003E-2</v>
      </c>
      <c r="F55" s="3" t="s">
        <v>162</v>
      </c>
      <c r="G55" s="3" t="s">
        <v>189</v>
      </c>
    </row>
    <row r="56" spans="1:7" x14ac:dyDescent="0.3">
      <c r="A56" s="3" t="s">
        <v>21</v>
      </c>
      <c r="B56" s="3" t="s">
        <v>139</v>
      </c>
      <c r="C56" s="3" t="s">
        <v>131</v>
      </c>
      <c r="D56" s="3">
        <v>14.856999999999999</v>
      </c>
      <c r="E56" s="6">
        <v>2.1000000000000001E-2</v>
      </c>
      <c r="F56" s="3" t="s">
        <v>133</v>
      </c>
      <c r="G56" s="3" t="s">
        <v>189</v>
      </c>
    </row>
    <row r="57" spans="1:7" x14ac:dyDescent="0.3">
      <c r="A57" s="3" t="s">
        <v>21</v>
      </c>
      <c r="B57" s="3" t="s">
        <v>163</v>
      </c>
      <c r="C57" s="3" t="s">
        <v>137</v>
      </c>
      <c r="D57" s="3">
        <v>0.61399999999999999</v>
      </c>
      <c r="E57" s="6">
        <v>0.02</v>
      </c>
      <c r="F57" s="3" t="s">
        <v>133</v>
      </c>
      <c r="G57" s="3" t="s">
        <v>189</v>
      </c>
    </row>
    <row r="58" spans="1:7" x14ac:dyDescent="0.3">
      <c r="A58" s="3" t="s">
        <v>17</v>
      </c>
      <c r="B58" s="3" t="s">
        <v>123</v>
      </c>
      <c r="C58" s="3" t="s">
        <v>124</v>
      </c>
      <c r="D58" s="3">
        <v>0.96399999999999997</v>
      </c>
      <c r="E58" s="6">
        <v>6.4000000000000001E-2</v>
      </c>
      <c r="F58" s="3" t="s">
        <v>126</v>
      </c>
      <c r="G58" s="3" t="s">
        <v>189</v>
      </c>
    </row>
    <row r="59" spans="1:7" x14ac:dyDescent="0.3">
      <c r="A59" s="3" t="s">
        <v>17</v>
      </c>
      <c r="B59" s="3" t="s">
        <v>158</v>
      </c>
      <c r="C59" s="3" t="s">
        <v>124</v>
      </c>
      <c r="D59" s="3">
        <v>1.1910000000000001</v>
      </c>
      <c r="E59" s="6">
        <v>0.03</v>
      </c>
      <c r="F59" s="3" t="s">
        <v>126</v>
      </c>
      <c r="G59" s="3" t="s">
        <v>189</v>
      </c>
    </row>
    <row r="60" spans="1:7" x14ac:dyDescent="0.3">
      <c r="A60" s="3" t="s">
        <v>17</v>
      </c>
      <c r="B60" s="3" t="s">
        <v>176</v>
      </c>
      <c r="C60" s="3" t="s">
        <v>131</v>
      </c>
      <c r="D60" s="3">
        <v>13.177</v>
      </c>
      <c r="E60" s="6">
        <v>1.2999999999999999E-2</v>
      </c>
      <c r="F60" s="3" t="s">
        <v>174</v>
      </c>
      <c r="G60" s="3" t="s">
        <v>189</v>
      </c>
    </row>
    <row r="61" spans="1:7" x14ac:dyDescent="0.3">
      <c r="A61" s="3" t="s">
        <v>17</v>
      </c>
      <c r="B61" s="3" t="s">
        <v>170</v>
      </c>
      <c r="C61" s="3" t="s">
        <v>131</v>
      </c>
      <c r="D61" s="3">
        <v>1.1839999999999999</v>
      </c>
      <c r="E61" s="6">
        <v>6.0000000000000001E-3</v>
      </c>
      <c r="F61" s="3" t="s">
        <v>133</v>
      </c>
      <c r="G61" s="3" t="s">
        <v>189</v>
      </c>
    </row>
    <row r="62" spans="1:7" x14ac:dyDescent="0.3">
      <c r="A62" s="3" t="s">
        <v>17</v>
      </c>
      <c r="B62" s="3" t="s">
        <v>184</v>
      </c>
      <c r="C62" s="3" t="s">
        <v>131</v>
      </c>
      <c r="D62" s="3">
        <v>7.6689999999999996</v>
      </c>
      <c r="E62" s="6">
        <v>3.0000000000000001E-3</v>
      </c>
      <c r="F62" s="3" t="s">
        <v>174</v>
      </c>
      <c r="G62" s="3" t="s">
        <v>189</v>
      </c>
    </row>
    <row r="63" spans="1:7" x14ac:dyDescent="0.3">
      <c r="A63" s="3" t="s">
        <v>17</v>
      </c>
      <c r="B63" s="3" t="s">
        <v>151</v>
      </c>
      <c r="C63" s="3" t="s">
        <v>131</v>
      </c>
      <c r="D63" s="3">
        <v>9.3770000000000007</v>
      </c>
      <c r="E63" s="6">
        <v>6.0000000000000001E-3</v>
      </c>
      <c r="F63" s="3" t="s">
        <v>133</v>
      </c>
      <c r="G63" s="3" t="s">
        <v>189</v>
      </c>
    </row>
    <row r="64" spans="1:7" x14ac:dyDescent="0.3">
      <c r="A64" s="3" t="s">
        <v>17</v>
      </c>
      <c r="B64" s="3" t="s">
        <v>150</v>
      </c>
      <c r="C64" s="3" t="s">
        <v>137</v>
      </c>
      <c r="D64" s="3">
        <v>0.39800000000000002</v>
      </c>
      <c r="E64" s="6">
        <v>1.4999999999999999E-2</v>
      </c>
      <c r="F64" s="3" t="s">
        <v>133</v>
      </c>
      <c r="G64" s="3" t="s">
        <v>189</v>
      </c>
    </row>
    <row r="65" spans="1:7" x14ac:dyDescent="0.3">
      <c r="A65" s="3" t="s">
        <v>25</v>
      </c>
      <c r="B65" s="3" t="s">
        <v>181</v>
      </c>
      <c r="C65" s="3" t="s">
        <v>124</v>
      </c>
      <c r="D65" s="3">
        <v>1.095</v>
      </c>
      <c r="E65" s="6">
        <v>1.9E-2</v>
      </c>
      <c r="F65" s="3" t="s">
        <v>126</v>
      </c>
      <c r="G65" s="3" t="s">
        <v>189</v>
      </c>
    </row>
    <row r="66" spans="1:7" x14ac:dyDescent="0.3">
      <c r="A66" s="3" t="s">
        <v>25</v>
      </c>
      <c r="B66" s="3" t="s">
        <v>152</v>
      </c>
      <c r="C66" s="3" t="s">
        <v>124</v>
      </c>
      <c r="D66" s="3">
        <v>0.73699999999999999</v>
      </c>
      <c r="E66" s="6">
        <v>1.2999999999999999E-2</v>
      </c>
      <c r="F66" s="3" t="s">
        <v>126</v>
      </c>
      <c r="G66" s="3" t="s">
        <v>189</v>
      </c>
    </row>
    <row r="67" spans="1:7" x14ac:dyDescent="0.3">
      <c r="A67" s="3" t="s">
        <v>25</v>
      </c>
      <c r="B67" s="3" t="s">
        <v>130</v>
      </c>
      <c r="C67" s="3" t="s">
        <v>131</v>
      </c>
      <c r="D67" s="3">
        <v>5.2729999999999997</v>
      </c>
      <c r="E67" s="6">
        <v>2.4E-2</v>
      </c>
      <c r="F67" s="3" t="s">
        <v>133</v>
      </c>
      <c r="G67" s="3" t="s">
        <v>189</v>
      </c>
    </row>
    <row r="68" spans="1:7" x14ac:dyDescent="0.3">
      <c r="A68" s="3" t="s">
        <v>25</v>
      </c>
      <c r="B68" s="3" t="s">
        <v>142</v>
      </c>
      <c r="C68" s="3" t="s">
        <v>131</v>
      </c>
      <c r="D68" s="3">
        <v>3.073</v>
      </c>
      <c r="E68" s="6">
        <v>5.2999999999999999E-2</v>
      </c>
      <c r="F68" s="3" t="s">
        <v>133</v>
      </c>
      <c r="G68" s="3" t="s">
        <v>189</v>
      </c>
    </row>
    <row r="69" spans="1:7" x14ac:dyDescent="0.3">
      <c r="A69" s="3" t="s">
        <v>25</v>
      </c>
      <c r="B69" s="3" t="s">
        <v>177</v>
      </c>
      <c r="C69" s="3" t="s">
        <v>131</v>
      </c>
      <c r="D69" s="3">
        <v>6.0970000000000004</v>
      </c>
      <c r="E69" s="6">
        <v>4.8000000000000001E-2</v>
      </c>
      <c r="F69" s="3" t="s">
        <v>162</v>
      </c>
      <c r="G69" s="3" t="s">
        <v>189</v>
      </c>
    </row>
    <row r="70" spans="1:7" x14ac:dyDescent="0.3">
      <c r="A70" s="3" t="s">
        <v>25</v>
      </c>
      <c r="B70" s="3" t="s">
        <v>184</v>
      </c>
      <c r="C70" s="3" t="s">
        <v>131</v>
      </c>
      <c r="D70" s="3">
        <v>6.1260000000000003</v>
      </c>
      <c r="E70" s="6">
        <v>7.8E-2</v>
      </c>
      <c r="F70" s="3" t="s">
        <v>174</v>
      </c>
      <c r="G70" s="3" t="s">
        <v>189</v>
      </c>
    </row>
    <row r="71" spans="1:7" x14ac:dyDescent="0.3">
      <c r="A71" s="3" t="s">
        <v>25</v>
      </c>
      <c r="B71" s="3" t="s">
        <v>136</v>
      </c>
      <c r="C71" s="3" t="s">
        <v>137</v>
      </c>
      <c r="D71" s="3">
        <v>0.96599999999999997</v>
      </c>
      <c r="E71" s="6">
        <v>5.0999999999999997E-2</v>
      </c>
      <c r="F71" s="3" t="s">
        <v>133</v>
      </c>
      <c r="G71" s="3" t="s">
        <v>189</v>
      </c>
    </row>
  </sheetData>
  <autoFilter ref="A1:G71" xr:uid="{00000000-0009-0000-0000-000003000000}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6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2" customWidth="1"/>
    <col min="3" max="3" width="15" customWidth="1"/>
    <col min="4" max="5" width="12" customWidth="1"/>
    <col min="6" max="6" width="16" customWidth="1"/>
  </cols>
  <sheetData>
    <row r="1" spans="1:6" x14ac:dyDescent="0.3">
      <c r="A1" s="2" t="s">
        <v>120</v>
      </c>
      <c r="B1" s="2" t="s">
        <v>116</v>
      </c>
      <c r="C1" s="2" t="s">
        <v>121</v>
      </c>
      <c r="D1" s="2" t="s">
        <v>7</v>
      </c>
      <c r="E1" s="2" t="s">
        <v>0</v>
      </c>
      <c r="F1" s="2" t="s">
        <v>190</v>
      </c>
    </row>
    <row r="2" spans="1:6" x14ac:dyDescent="0.3">
      <c r="A2" s="3" t="s">
        <v>134</v>
      </c>
      <c r="B2" s="3" t="s">
        <v>123</v>
      </c>
      <c r="C2" s="3" t="s">
        <v>135</v>
      </c>
      <c r="D2" s="5">
        <v>3.54</v>
      </c>
      <c r="E2" s="3" t="s">
        <v>191</v>
      </c>
      <c r="F2" s="3">
        <v>30</v>
      </c>
    </row>
    <row r="3" spans="1:6" x14ac:dyDescent="0.3">
      <c r="A3" s="3" t="s">
        <v>149</v>
      </c>
      <c r="B3" s="3" t="s">
        <v>123</v>
      </c>
      <c r="C3" s="3" t="s">
        <v>128</v>
      </c>
      <c r="D3" s="5">
        <v>6.37</v>
      </c>
      <c r="E3" s="3" t="s">
        <v>14</v>
      </c>
      <c r="F3" s="3">
        <v>17</v>
      </c>
    </row>
    <row r="4" spans="1:6" x14ac:dyDescent="0.3">
      <c r="A4" s="3" t="s">
        <v>141</v>
      </c>
      <c r="B4" s="3" t="s">
        <v>130</v>
      </c>
      <c r="C4" s="3" t="s">
        <v>135</v>
      </c>
      <c r="D4" s="5">
        <v>0.22</v>
      </c>
      <c r="E4" s="3" t="s">
        <v>191</v>
      </c>
      <c r="F4" s="3">
        <v>40</v>
      </c>
    </row>
    <row r="5" spans="1:6" x14ac:dyDescent="0.3">
      <c r="A5" s="3" t="s">
        <v>144</v>
      </c>
      <c r="B5" s="3" t="s">
        <v>136</v>
      </c>
      <c r="C5" s="3" t="s">
        <v>135</v>
      </c>
      <c r="D5" s="5">
        <v>3.83</v>
      </c>
      <c r="E5" s="3" t="s">
        <v>191</v>
      </c>
      <c r="F5" s="3">
        <v>45</v>
      </c>
    </row>
    <row r="6" spans="1:6" x14ac:dyDescent="0.3">
      <c r="A6" s="3" t="s">
        <v>134</v>
      </c>
      <c r="B6" s="3" t="s">
        <v>139</v>
      </c>
      <c r="C6" s="3" t="s">
        <v>135</v>
      </c>
      <c r="D6" s="5">
        <v>1.38</v>
      </c>
      <c r="E6" s="3" t="s">
        <v>191</v>
      </c>
      <c r="F6" s="3">
        <v>50</v>
      </c>
    </row>
    <row r="7" spans="1:6" x14ac:dyDescent="0.3">
      <c r="A7" s="3" t="s">
        <v>127</v>
      </c>
      <c r="B7" s="3" t="s">
        <v>139</v>
      </c>
      <c r="C7" s="3" t="s">
        <v>135</v>
      </c>
      <c r="D7" s="5">
        <v>2.5299999999999998</v>
      </c>
      <c r="E7" s="3" t="s">
        <v>191</v>
      </c>
      <c r="F7" s="3">
        <v>48</v>
      </c>
    </row>
    <row r="8" spans="1:6" x14ac:dyDescent="0.3">
      <c r="A8" s="3" t="s">
        <v>149</v>
      </c>
      <c r="B8" s="3" t="s">
        <v>142</v>
      </c>
      <c r="C8" s="3" t="s">
        <v>135</v>
      </c>
      <c r="D8" s="5">
        <v>1.08</v>
      </c>
      <c r="E8" s="3" t="s">
        <v>191</v>
      </c>
      <c r="F8" s="3">
        <v>31</v>
      </c>
    </row>
    <row r="9" spans="1:6" x14ac:dyDescent="0.3">
      <c r="A9" s="3" t="s">
        <v>144</v>
      </c>
      <c r="B9" s="3" t="s">
        <v>142</v>
      </c>
      <c r="C9" s="3" t="s">
        <v>135</v>
      </c>
      <c r="D9" s="5">
        <v>1.65</v>
      </c>
      <c r="E9" s="3" t="s">
        <v>191</v>
      </c>
      <c r="F9" s="3">
        <v>40</v>
      </c>
    </row>
    <row r="10" spans="1:6" x14ac:dyDescent="0.3">
      <c r="A10" s="3" t="s">
        <v>134</v>
      </c>
      <c r="B10" s="3" t="s">
        <v>145</v>
      </c>
      <c r="C10" s="3" t="s">
        <v>135</v>
      </c>
      <c r="D10" s="5">
        <v>4.18</v>
      </c>
      <c r="E10" s="3" t="s">
        <v>191</v>
      </c>
      <c r="F10" s="3">
        <v>36</v>
      </c>
    </row>
    <row r="11" spans="1:6" x14ac:dyDescent="0.3">
      <c r="A11" s="3" t="s">
        <v>149</v>
      </c>
      <c r="B11" s="3" t="s">
        <v>145</v>
      </c>
      <c r="C11" s="3" t="s">
        <v>135</v>
      </c>
      <c r="D11" s="5">
        <v>4.21</v>
      </c>
      <c r="E11" s="3" t="s">
        <v>191</v>
      </c>
      <c r="F11" s="3">
        <v>38</v>
      </c>
    </row>
    <row r="12" spans="1:6" x14ac:dyDescent="0.3">
      <c r="A12" s="3" t="s">
        <v>141</v>
      </c>
      <c r="B12" s="3" t="s">
        <v>146</v>
      </c>
      <c r="C12" s="3" t="s">
        <v>135</v>
      </c>
      <c r="D12" s="5">
        <v>2.58</v>
      </c>
      <c r="E12" s="3" t="s">
        <v>191</v>
      </c>
      <c r="F12" s="3">
        <v>41</v>
      </c>
    </row>
    <row r="13" spans="1:6" x14ac:dyDescent="0.3">
      <c r="A13" s="3" t="s">
        <v>141</v>
      </c>
      <c r="B13" s="3" t="s">
        <v>148</v>
      </c>
      <c r="C13" s="3" t="s">
        <v>135</v>
      </c>
      <c r="D13" s="5">
        <v>1.99</v>
      </c>
      <c r="E13" s="3" t="s">
        <v>191</v>
      </c>
      <c r="F13" s="3">
        <v>42</v>
      </c>
    </row>
    <row r="14" spans="1:6" x14ac:dyDescent="0.3">
      <c r="A14" s="3" t="s">
        <v>134</v>
      </c>
      <c r="B14" s="3" t="s">
        <v>148</v>
      </c>
      <c r="C14" s="3" t="s">
        <v>135</v>
      </c>
      <c r="D14" s="5">
        <v>2.0299999999999998</v>
      </c>
      <c r="E14" s="3" t="s">
        <v>191</v>
      </c>
      <c r="F14" s="3">
        <v>22</v>
      </c>
    </row>
    <row r="15" spans="1:6" x14ac:dyDescent="0.3">
      <c r="A15" s="3" t="s">
        <v>134</v>
      </c>
      <c r="B15" s="3" t="s">
        <v>150</v>
      </c>
      <c r="C15" s="3" t="s">
        <v>135</v>
      </c>
      <c r="D15" s="5">
        <v>7.0000000000000007E-2</v>
      </c>
      <c r="E15" s="3" t="s">
        <v>191</v>
      </c>
      <c r="F15" s="3">
        <v>29</v>
      </c>
    </row>
    <row r="16" spans="1:6" x14ac:dyDescent="0.3">
      <c r="A16" s="3" t="s">
        <v>144</v>
      </c>
      <c r="B16" s="3" t="s">
        <v>150</v>
      </c>
      <c r="C16" s="3" t="s">
        <v>135</v>
      </c>
      <c r="D16" s="5">
        <v>2.95</v>
      </c>
      <c r="E16" s="3" t="s">
        <v>191</v>
      </c>
      <c r="F16" s="3">
        <v>26</v>
      </c>
    </row>
    <row r="17" spans="1:6" x14ac:dyDescent="0.3">
      <c r="A17" s="3" t="s">
        <v>141</v>
      </c>
      <c r="B17" s="3" t="s">
        <v>150</v>
      </c>
      <c r="C17" s="3" t="s">
        <v>135</v>
      </c>
      <c r="D17" s="5">
        <v>0.26</v>
      </c>
      <c r="E17" s="3" t="s">
        <v>191</v>
      </c>
      <c r="F17" s="3">
        <v>14</v>
      </c>
    </row>
    <row r="18" spans="1:6" x14ac:dyDescent="0.3">
      <c r="A18" s="3" t="s">
        <v>141</v>
      </c>
      <c r="B18" s="3" t="s">
        <v>151</v>
      </c>
      <c r="C18" s="3" t="s">
        <v>135</v>
      </c>
      <c r="D18" s="5">
        <v>0.46</v>
      </c>
      <c r="E18" s="3" t="s">
        <v>191</v>
      </c>
      <c r="F18" s="3">
        <v>20</v>
      </c>
    </row>
    <row r="19" spans="1:6" x14ac:dyDescent="0.3">
      <c r="A19" s="3" t="s">
        <v>144</v>
      </c>
      <c r="B19" s="3" t="s">
        <v>151</v>
      </c>
      <c r="C19" s="3" t="s">
        <v>135</v>
      </c>
      <c r="D19" s="5">
        <v>2.66</v>
      </c>
      <c r="E19" s="3" t="s">
        <v>191</v>
      </c>
      <c r="F19" s="3">
        <v>47</v>
      </c>
    </row>
    <row r="20" spans="1:6" x14ac:dyDescent="0.3">
      <c r="A20" s="3" t="s">
        <v>141</v>
      </c>
      <c r="B20" s="3" t="s">
        <v>152</v>
      </c>
      <c r="C20" s="3" t="s">
        <v>135</v>
      </c>
      <c r="D20" s="5">
        <v>4.71</v>
      </c>
      <c r="E20" s="3" t="s">
        <v>191</v>
      </c>
      <c r="F20" s="3">
        <v>25</v>
      </c>
    </row>
    <row r="21" spans="1:6" x14ac:dyDescent="0.3">
      <c r="A21" s="3" t="s">
        <v>134</v>
      </c>
      <c r="B21" s="3" t="s">
        <v>152</v>
      </c>
      <c r="C21" s="3" t="s">
        <v>135</v>
      </c>
      <c r="D21" s="5">
        <v>4.62</v>
      </c>
      <c r="E21" s="3" t="s">
        <v>191</v>
      </c>
      <c r="F21" s="3">
        <v>45</v>
      </c>
    </row>
    <row r="22" spans="1:6" x14ac:dyDescent="0.3">
      <c r="A22" s="3" t="s">
        <v>134</v>
      </c>
      <c r="B22" s="3" t="s">
        <v>154</v>
      </c>
      <c r="C22" s="3" t="s">
        <v>135</v>
      </c>
      <c r="D22" s="5">
        <v>2.11</v>
      </c>
      <c r="E22" s="3" t="s">
        <v>191</v>
      </c>
      <c r="F22" s="3">
        <v>26</v>
      </c>
    </row>
    <row r="23" spans="1:6" x14ac:dyDescent="0.3">
      <c r="A23" s="3" t="s">
        <v>144</v>
      </c>
      <c r="B23" s="3" t="s">
        <v>154</v>
      </c>
      <c r="C23" s="3" t="s">
        <v>135</v>
      </c>
      <c r="D23" s="5">
        <v>1.98</v>
      </c>
      <c r="E23" s="3" t="s">
        <v>191</v>
      </c>
      <c r="F23" s="3">
        <v>13</v>
      </c>
    </row>
    <row r="24" spans="1:6" x14ac:dyDescent="0.3">
      <c r="A24" s="3" t="s">
        <v>141</v>
      </c>
      <c r="B24" s="3" t="s">
        <v>154</v>
      </c>
      <c r="C24" s="3" t="s">
        <v>135</v>
      </c>
      <c r="D24" s="5">
        <v>2.1</v>
      </c>
      <c r="E24" s="3" t="s">
        <v>191</v>
      </c>
      <c r="F24" s="3">
        <v>16</v>
      </c>
    </row>
    <row r="25" spans="1:6" x14ac:dyDescent="0.3">
      <c r="A25" s="3" t="s">
        <v>141</v>
      </c>
      <c r="B25" s="3" t="s">
        <v>155</v>
      </c>
      <c r="C25" s="3" t="s">
        <v>135</v>
      </c>
      <c r="D25" s="5">
        <v>2.73</v>
      </c>
      <c r="E25" s="3" t="s">
        <v>191</v>
      </c>
      <c r="F25" s="3">
        <v>27</v>
      </c>
    </row>
    <row r="26" spans="1:6" x14ac:dyDescent="0.3">
      <c r="A26" s="3" t="s">
        <v>134</v>
      </c>
      <c r="B26" s="3" t="s">
        <v>155</v>
      </c>
      <c r="C26" s="3" t="s">
        <v>135</v>
      </c>
      <c r="D26" s="5">
        <v>1.58</v>
      </c>
      <c r="E26" s="3" t="s">
        <v>191</v>
      </c>
      <c r="F26" s="3">
        <v>12</v>
      </c>
    </row>
    <row r="27" spans="1:6" x14ac:dyDescent="0.3">
      <c r="A27" s="3" t="s">
        <v>144</v>
      </c>
      <c r="B27" s="3" t="s">
        <v>156</v>
      </c>
      <c r="C27" s="3" t="s">
        <v>135</v>
      </c>
      <c r="D27" s="5">
        <v>3.43</v>
      </c>
      <c r="E27" s="3" t="s">
        <v>191</v>
      </c>
      <c r="F27" s="3">
        <v>20</v>
      </c>
    </row>
    <row r="28" spans="1:6" x14ac:dyDescent="0.3">
      <c r="A28" s="3" t="s">
        <v>144</v>
      </c>
      <c r="B28" s="3" t="s">
        <v>157</v>
      </c>
      <c r="C28" s="3" t="s">
        <v>135</v>
      </c>
      <c r="D28" s="5">
        <v>0.28999999999999998</v>
      </c>
      <c r="E28" s="3" t="s">
        <v>191</v>
      </c>
      <c r="F28" s="3">
        <v>11</v>
      </c>
    </row>
    <row r="29" spans="1:6" x14ac:dyDescent="0.3">
      <c r="A29" s="3" t="s">
        <v>149</v>
      </c>
      <c r="B29" s="3" t="s">
        <v>158</v>
      </c>
      <c r="C29" s="3" t="s">
        <v>128</v>
      </c>
      <c r="D29" s="5">
        <v>2.7</v>
      </c>
      <c r="E29" s="3" t="s">
        <v>14</v>
      </c>
      <c r="F29" s="3">
        <v>39</v>
      </c>
    </row>
    <row r="30" spans="1:6" x14ac:dyDescent="0.3">
      <c r="A30" s="3" t="s">
        <v>141</v>
      </c>
      <c r="B30" s="3" t="s">
        <v>158</v>
      </c>
      <c r="C30" s="3" t="s">
        <v>135</v>
      </c>
      <c r="D30" s="5">
        <v>2.38</v>
      </c>
      <c r="E30" s="3" t="s">
        <v>191</v>
      </c>
      <c r="F30" s="3">
        <v>21</v>
      </c>
    </row>
    <row r="31" spans="1:6" x14ac:dyDescent="0.3">
      <c r="A31" s="3" t="s">
        <v>144</v>
      </c>
      <c r="B31" s="3" t="s">
        <v>158</v>
      </c>
      <c r="C31" s="3" t="s">
        <v>135</v>
      </c>
      <c r="D31" s="5">
        <v>5.15</v>
      </c>
      <c r="E31" s="3" t="s">
        <v>191</v>
      </c>
      <c r="F31" s="3">
        <v>28</v>
      </c>
    </row>
    <row r="32" spans="1:6" x14ac:dyDescent="0.3">
      <c r="A32" s="3" t="s">
        <v>127</v>
      </c>
      <c r="B32" s="3" t="s">
        <v>159</v>
      </c>
      <c r="C32" s="3" t="s">
        <v>135</v>
      </c>
      <c r="D32" s="5">
        <v>2.2799999999999998</v>
      </c>
      <c r="E32" s="3" t="s">
        <v>191</v>
      </c>
      <c r="F32" s="3">
        <v>11</v>
      </c>
    </row>
    <row r="33" spans="1:6" x14ac:dyDescent="0.3">
      <c r="A33" s="3" t="s">
        <v>134</v>
      </c>
      <c r="B33" s="3" t="s">
        <v>160</v>
      </c>
      <c r="C33" s="3" t="s">
        <v>135</v>
      </c>
      <c r="D33" s="5">
        <v>1.58</v>
      </c>
      <c r="E33" s="3" t="s">
        <v>191</v>
      </c>
      <c r="F33" s="3">
        <v>28</v>
      </c>
    </row>
    <row r="34" spans="1:6" x14ac:dyDescent="0.3">
      <c r="A34" s="3" t="s">
        <v>141</v>
      </c>
      <c r="B34" s="3" t="s">
        <v>163</v>
      </c>
      <c r="C34" s="3" t="s">
        <v>135</v>
      </c>
      <c r="D34" s="5">
        <v>0.66</v>
      </c>
      <c r="E34" s="3" t="s">
        <v>191</v>
      </c>
      <c r="F34" s="3">
        <v>28</v>
      </c>
    </row>
    <row r="35" spans="1:6" x14ac:dyDescent="0.3">
      <c r="A35" s="3" t="s">
        <v>127</v>
      </c>
      <c r="B35" s="3" t="s">
        <v>163</v>
      </c>
      <c r="C35" s="3" t="s">
        <v>135</v>
      </c>
      <c r="D35" s="5">
        <v>3.19</v>
      </c>
      <c r="E35" s="3" t="s">
        <v>191</v>
      </c>
      <c r="F35" s="3">
        <v>26</v>
      </c>
    </row>
    <row r="36" spans="1:6" x14ac:dyDescent="0.3">
      <c r="A36" s="3" t="s">
        <v>141</v>
      </c>
      <c r="B36" s="3" t="s">
        <v>164</v>
      </c>
      <c r="C36" s="3" t="s">
        <v>135</v>
      </c>
      <c r="D36" s="5">
        <v>0.94</v>
      </c>
      <c r="E36" s="3" t="s">
        <v>191</v>
      </c>
      <c r="F36" s="3">
        <v>12</v>
      </c>
    </row>
    <row r="37" spans="1:6" x14ac:dyDescent="0.3">
      <c r="A37" s="3" t="s">
        <v>149</v>
      </c>
      <c r="B37" s="3" t="s">
        <v>166</v>
      </c>
      <c r="C37" s="3" t="s">
        <v>135</v>
      </c>
      <c r="D37" s="5">
        <v>0.64</v>
      </c>
      <c r="E37" s="3" t="s">
        <v>191</v>
      </c>
      <c r="F37" s="3">
        <v>31</v>
      </c>
    </row>
    <row r="38" spans="1:6" x14ac:dyDescent="0.3">
      <c r="A38" s="3" t="s">
        <v>127</v>
      </c>
      <c r="B38" s="3" t="s">
        <v>167</v>
      </c>
      <c r="C38" s="3" t="s">
        <v>128</v>
      </c>
      <c r="D38" s="5">
        <v>1.22</v>
      </c>
      <c r="E38" s="3" t="s">
        <v>14</v>
      </c>
      <c r="F38" s="3">
        <v>24</v>
      </c>
    </row>
    <row r="39" spans="1:6" x14ac:dyDescent="0.3">
      <c r="A39" s="3" t="s">
        <v>134</v>
      </c>
      <c r="B39" s="3" t="s">
        <v>167</v>
      </c>
      <c r="C39" s="3" t="s">
        <v>135</v>
      </c>
      <c r="D39" s="5">
        <v>4.6500000000000004</v>
      </c>
      <c r="E39" s="3" t="s">
        <v>191</v>
      </c>
      <c r="F39" s="3">
        <v>25</v>
      </c>
    </row>
    <row r="40" spans="1:6" x14ac:dyDescent="0.3">
      <c r="A40" s="3" t="s">
        <v>141</v>
      </c>
      <c r="B40" s="3" t="s">
        <v>169</v>
      </c>
      <c r="C40" s="3" t="s">
        <v>135</v>
      </c>
      <c r="D40" s="5">
        <v>1.99</v>
      </c>
      <c r="E40" s="3" t="s">
        <v>191</v>
      </c>
      <c r="F40" s="3">
        <v>43</v>
      </c>
    </row>
    <row r="41" spans="1:6" x14ac:dyDescent="0.3">
      <c r="A41" s="3" t="s">
        <v>134</v>
      </c>
      <c r="B41" s="3" t="s">
        <v>169</v>
      </c>
      <c r="C41" s="3" t="s">
        <v>135</v>
      </c>
      <c r="D41" s="5">
        <v>0.71</v>
      </c>
      <c r="E41" s="3" t="s">
        <v>191</v>
      </c>
      <c r="F41" s="3">
        <v>36</v>
      </c>
    </row>
    <row r="42" spans="1:6" x14ac:dyDescent="0.3">
      <c r="A42" s="3" t="s">
        <v>149</v>
      </c>
      <c r="B42" s="3" t="s">
        <v>169</v>
      </c>
      <c r="C42" s="3" t="s">
        <v>135</v>
      </c>
      <c r="D42" s="5">
        <v>4.3899999999999997</v>
      </c>
      <c r="E42" s="3" t="s">
        <v>191</v>
      </c>
      <c r="F42" s="3">
        <v>23</v>
      </c>
    </row>
    <row r="43" spans="1:6" x14ac:dyDescent="0.3">
      <c r="A43" s="3" t="s">
        <v>127</v>
      </c>
      <c r="B43" s="3" t="s">
        <v>170</v>
      </c>
      <c r="C43" s="3" t="s">
        <v>135</v>
      </c>
      <c r="D43" s="5">
        <v>1.25</v>
      </c>
      <c r="E43" s="3" t="s">
        <v>191</v>
      </c>
      <c r="F43" s="3">
        <v>42</v>
      </c>
    </row>
    <row r="44" spans="1:6" x14ac:dyDescent="0.3">
      <c r="A44" s="3" t="s">
        <v>134</v>
      </c>
      <c r="B44" s="3" t="s">
        <v>170</v>
      </c>
      <c r="C44" s="3" t="s">
        <v>135</v>
      </c>
      <c r="D44" s="5">
        <v>0.5</v>
      </c>
      <c r="E44" s="3" t="s">
        <v>191</v>
      </c>
      <c r="F44" s="3">
        <v>41</v>
      </c>
    </row>
    <row r="45" spans="1:6" x14ac:dyDescent="0.3">
      <c r="A45" s="3" t="s">
        <v>144</v>
      </c>
      <c r="B45" s="3" t="s">
        <v>172</v>
      </c>
      <c r="C45" s="3" t="s">
        <v>135</v>
      </c>
      <c r="D45" s="5">
        <v>1.96</v>
      </c>
      <c r="E45" s="3" t="s">
        <v>191</v>
      </c>
      <c r="F45" s="3">
        <v>23</v>
      </c>
    </row>
    <row r="46" spans="1:6" x14ac:dyDescent="0.3">
      <c r="A46" s="3" t="s">
        <v>141</v>
      </c>
      <c r="B46" s="3" t="s">
        <v>172</v>
      </c>
      <c r="C46" s="3" t="s">
        <v>135</v>
      </c>
      <c r="D46" s="5">
        <v>0.21</v>
      </c>
      <c r="E46" s="3" t="s">
        <v>191</v>
      </c>
      <c r="F46" s="3">
        <v>48</v>
      </c>
    </row>
    <row r="47" spans="1:6" x14ac:dyDescent="0.3">
      <c r="A47" s="3" t="s">
        <v>149</v>
      </c>
      <c r="B47" s="3" t="s">
        <v>175</v>
      </c>
      <c r="C47" s="3" t="s">
        <v>135</v>
      </c>
      <c r="D47" s="5">
        <v>1.08</v>
      </c>
      <c r="E47" s="3" t="s">
        <v>191</v>
      </c>
      <c r="F47" s="3">
        <v>41</v>
      </c>
    </row>
    <row r="48" spans="1:6" x14ac:dyDescent="0.3">
      <c r="A48" s="3" t="s">
        <v>141</v>
      </c>
      <c r="B48" s="3" t="s">
        <v>176</v>
      </c>
      <c r="C48" s="3" t="s">
        <v>135</v>
      </c>
      <c r="D48" s="5">
        <v>0.36</v>
      </c>
      <c r="E48" s="3" t="s">
        <v>191</v>
      </c>
      <c r="F48" s="3">
        <v>44</v>
      </c>
    </row>
    <row r="49" spans="1:6" x14ac:dyDescent="0.3">
      <c r="A49" s="3" t="s">
        <v>144</v>
      </c>
      <c r="B49" s="3" t="s">
        <v>177</v>
      </c>
      <c r="C49" s="3" t="s">
        <v>135</v>
      </c>
      <c r="D49" s="5">
        <v>3.85</v>
      </c>
      <c r="E49" s="3" t="s">
        <v>191</v>
      </c>
      <c r="F49" s="3">
        <v>46</v>
      </c>
    </row>
    <row r="50" spans="1:6" x14ac:dyDescent="0.3">
      <c r="A50" s="3" t="s">
        <v>141</v>
      </c>
      <c r="B50" s="3" t="s">
        <v>177</v>
      </c>
      <c r="C50" s="3" t="s">
        <v>135</v>
      </c>
      <c r="D50" s="5">
        <v>1.1100000000000001</v>
      </c>
      <c r="E50" s="3" t="s">
        <v>191</v>
      </c>
      <c r="F50" s="3">
        <v>41</v>
      </c>
    </row>
    <row r="51" spans="1:6" x14ac:dyDescent="0.3">
      <c r="A51" s="3" t="s">
        <v>144</v>
      </c>
      <c r="B51" s="3" t="s">
        <v>178</v>
      </c>
      <c r="C51" s="3" t="s">
        <v>135</v>
      </c>
      <c r="D51" s="5">
        <v>4.1399999999999997</v>
      </c>
      <c r="E51" s="3" t="s">
        <v>191</v>
      </c>
      <c r="F51" s="3">
        <v>28</v>
      </c>
    </row>
    <row r="52" spans="1:6" x14ac:dyDescent="0.3">
      <c r="A52" s="3" t="s">
        <v>134</v>
      </c>
      <c r="B52" s="3" t="s">
        <v>178</v>
      </c>
      <c r="C52" s="3" t="s">
        <v>135</v>
      </c>
      <c r="D52" s="5">
        <v>4.26</v>
      </c>
      <c r="E52" s="3" t="s">
        <v>191</v>
      </c>
      <c r="F52" s="3">
        <v>24</v>
      </c>
    </row>
    <row r="53" spans="1:6" x14ac:dyDescent="0.3">
      <c r="A53" s="3" t="s">
        <v>149</v>
      </c>
      <c r="B53" s="3" t="s">
        <v>178</v>
      </c>
      <c r="C53" s="3" t="s">
        <v>135</v>
      </c>
      <c r="D53" s="5">
        <v>1.35</v>
      </c>
      <c r="E53" s="3" t="s">
        <v>191</v>
      </c>
      <c r="F53" s="3">
        <v>12</v>
      </c>
    </row>
    <row r="54" spans="1:6" x14ac:dyDescent="0.3">
      <c r="A54" s="3" t="s">
        <v>141</v>
      </c>
      <c r="B54" s="3" t="s">
        <v>179</v>
      </c>
      <c r="C54" s="3" t="s">
        <v>135</v>
      </c>
      <c r="D54" s="5">
        <v>2.39</v>
      </c>
      <c r="E54" s="3" t="s">
        <v>191</v>
      </c>
      <c r="F54" s="3">
        <v>45</v>
      </c>
    </row>
    <row r="55" spans="1:6" x14ac:dyDescent="0.3">
      <c r="A55" s="3" t="s">
        <v>134</v>
      </c>
      <c r="B55" s="3" t="s">
        <v>179</v>
      </c>
      <c r="C55" s="3" t="s">
        <v>135</v>
      </c>
      <c r="D55" s="5">
        <v>2.39</v>
      </c>
      <c r="E55" s="3" t="s">
        <v>191</v>
      </c>
      <c r="F55" s="3">
        <v>46</v>
      </c>
    </row>
    <row r="56" spans="1:6" x14ac:dyDescent="0.3">
      <c r="A56" s="3" t="s">
        <v>127</v>
      </c>
      <c r="B56" s="3" t="s">
        <v>179</v>
      </c>
      <c r="C56" s="3" t="s">
        <v>135</v>
      </c>
      <c r="D56" s="5">
        <v>3.79</v>
      </c>
      <c r="E56" s="3" t="s">
        <v>191</v>
      </c>
      <c r="F56" s="3">
        <v>16</v>
      </c>
    </row>
    <row r="57" spans="1:6" x14ac:dyDescent="0.3">
      <c r="A57" s="3" t="s">
        <v>127</v>
      </c>
      <c r="B57" s="3" t="s">
        <v>180</v>
      </c>
      <c r="C57" s="3" t="s">
        <v>135</v>
      </c>
      <c r="D57" s="5">
        <v>2.7</v>
      </c>
      <c r="E57" s="3" t="s">
        <v>191</v>
      </c>
      <c r="F57" s="3">
        <v>35</v>
      </c>
    </row>
    <row r="58" spans="1:6" x14ac:dyDescent="0.3">
      <c r="A58" s="3" t="s">
        <v>141</v>
      </c>
      <c r="B58" s="3" t="s">
        <v>180</v>
      </c>
      <c r="C58" s="3" t="s">
        <v>135</v>
      </c>
      <c r="D58" s="5">
        <v>0.85</v>
      </c>
      <c r="E58" s="3" t="s">
        <v>191</v>
      </c>
      <c r="F58" s="3">
        <v>44</v>
      </c>
    </row>
    <row r="59" spans="1:6" x14ac:dyDescent="0.3">
      <c r="A59" s="3" t="s">
        <v>144</v>
      </c>
      <c r="B59" s="3" t="s">
        <v>180</v>
      </c>
      <c r="C59" s="3" t="s">
        <v>135</v>
      </c>
      <c r="D59" s="5">
        <v>4.26</v>
      </c>
      <c r="E59" s="3" t="s">
        <v>191</v>
      </c>
      <c r="F59" s="3">
        <v>10</v>
      </c>
    </row>
    <row r="60" spans="1:6" x14ac:dyDescent="0.3">
      <c r="A60" s="3" t="s">
        <v>134</v>
      </c>
      <c r="B60" s="3" t="s">
        <v>181</v>
      </c>
      <c r="C60" s="3" t="s">
        <v>135</v>
      </c>
      <c r="D60" s="5">
        <v>4.13</v>
      </c>
      <c r="E60" s="3" t="s">
        <v>191</v>
      </c>
      <c r="F60" s="3">
        <v>24</v>
      </c>
    </row>
    <row r="61" spans="1:6" x14ac:dyDescent="0.3">
      <c r="A61" s="3" t="s">
        <v>144</v>
      </c>
      <c r="B61" s="3" t="s">
        <v>182</v>
      </c>
      <c r="C61" s="3" t="s">
        <v>135</v>
      </c>
      <c r="D61" s="5">
        <v>6.29</v>
      </c>
      <c r="E61" s="3" t="s">
        <v>191</v>
      </c>
      <c r="F61" s="3">
        <v>31</v>
      </c>
    </row>
    <row r="62" spans="1:6" x14ac:dyDescent="0.3">
      <c r="A62" s="3" t="s">
        <v>149</v>
      </c>
      <c r="B62" s="3" t="s">
        <v>184</v>
      </c>
      <c r="C62" s="3" t="s">
        <v>135</v>
      </c>
      <c r="D62" s="5">
        <v>2.06</v>
      </c>
      <c r="E62" s="3" t="s">
        <v>191</v>
      </c>
      <c r="F62" s="3">
        <v>11</v>
      </c>
    </row>
    <row r="63" spans="1:6" x14ac:dyDescent="0.3">
      <c r="A63" s="3" t="s">
        <v>141</v>
      </c>
      <c r="B63" s="3" t="s">
        <v>184</v>
      </c>
      <c r="C63" s="3" t="s">
        <v>135</v>
      </c>
      <c r="D63" s="5">
        <v>3.06</v>
      </c>
      <c r="E63" s="3" t="s">
        <v>191</v>
      </c>
      <c r="F63" s="3">
        <v>11</v>
      </c>
    </row>
    <row r="64" spans="1:6" x14ac:dyDescent="0.3">
      <c r="A64" s="3" t="s">
        <v>134</v>
      </c>
      <c r="B64" s="3" t="s">
        <v>184</v>
      </c>
      <c r="C64" s="3" t="s">
        <v>135</v>
      </c>
      <c r="D64" s="5">
        <v>1.3</v>
      </c>
      <c r="E64" s="3" t="s">
        <v>191</v>
      </c>
      <c r="F64" s="3">
        <v>12</v>
      </c>
    </row>
    <row r="65" spans="1:6" x14ac:dyDescent="0.3">
      <c r="A65" s="3" t="s">
        <v>141</v>
      </c>
      <c r="B65" s="3" t="s">
        <v>185</v>
      </c>
      <c r="C65" s="3" t="s">
        <v>135</v>
      </c>
      <c r="D65" s="5">
        <v>2.97</v>
      </c>
      <c r="E65" s="3" t="s">
        <v>191</v>
      </c>
      <c r="F65" s="3">
        <v>14</v>
      </c>
    </row>
  </sheetData>
  <autoFilter ref="A1:F65" xr:uid="{00000000-0009-0000-0000-000004000000}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8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1" customWidth="1"/>
    <col min="3" max="3" width="14" customWidth="1"/>
    <col min="4" max="4" width="12" customWidth="1"/>
    <col min="5" max="5" width="21" customWidth="1"/>
    <col min="6" max="6" width="15" customWidth="1"/>
    <col min="7" max="12" width="12" customWidth="1"/>
  </cols>
  <sheetData>
    <row r="1" spans="1:12" x14ac:dyDescent="0.3">
      <c r="A1" s="2" t="s">
        <v>192</v>
      </c>
      <c r="B1" s="2" t="s">
        <v>193</v>
      </c>
      <c r="C1" s="2" t="s">
        <v>1</v>
      </c>
      <c r="D1" s="2" t="s">
        <v>4</v>
      </c>
      <c r="E1" s="2" t="s">
        <v>120</v>
      </c>
      <c r="F1" s="2" t="s">
        <v>121</v>
      </c>
      <c r="G1" s="2" t="s">
        <v>116</v>
      </c>
      <c r="H1" s="2" t="s">
        <v>6</v>
      </c>
      <c r="I1" s="2" t="s">
        <v>119</v>
      </c>
      <c r="J1" s="2" t="s">
        <v>7</v>
      </c>
      <c r="K1" s="2" t="s">
        <v>0</v>
      </c>
      <c r="L1" s="2" t="s">
        <v>122</v>
      </c>
    </row>
    <row r="2" spans="1:12" x14ac:dyDescent="0.3">
      <c r="A2" s="3" t="s">
        <v>194</v>
      </c>
      <c r="B2" s="4">
        <v>46048</v>
      </c>
      <c r="C2" s="3" t="s">
        <v>84</v>
      </c>
      <c r="D2" s="3" t="s">
        <v>33</v>
      </c>
      <c r="E2" s="3" t="s">
        <v>127</v>
      </c>
      <c r="F2" s="3" t="s">
        <v>135</v>
      </c>
      <c r="G2" s="3" t="s">
        <v>145</v>
      </c>
      <c r="H2" s="3">
        <v>55331</v>
      </c>
      <c r="I2" s="3" t="s">
        <v>133</v>
      </c>
      <c r="J2" s="5">
        <v>1</v>
      </c>
      <c r="K2" s="3" t="s">
        <v>14</v>
      </c>
      <c r="L2" s="3" t="s">
        <v>195</v>
      </c>
    </row>
    <row r="3" spans="1:12" x14ac:dyDescent="0.3">
      <c r="A3" s="3" t="s">
        <v>196</v>
      </c>
      <c r="B3" s="4">
        <v>46092</v>
      </c>
      <c r="C3" s="3" t="s">
        <v>70</v>
      </c>
      <c r="D3" s="3" t="s">
        <v>25</v>
      </c>
      <c r="E3" s="3" t="s">
        <v>134</v>
      </c>
      <c r="F3" s="3" t="s">
        <v>135</v>
      </c>
      <c r="G3" s="3" t="s">
        <v>130</v>
      </c>
      <c r="H3" s="3">
        <v>42397</v>
      </c>
      <c r="I3" s="3" t="s">
        <v>133</v>
      </c>
      <c r="J3" s="5">
        <v>1</v>
      </c>
      <c r="K3" s="3" t="s">
        <v>14</v>
      </c>
      <c r="L3" s="3" t="s">
        <v>195</v>
      </c>
    </row>
    <row r="4" spans="1:12" x14ac:dyDescent="0.3">
      <c r="A4" s="3" t="s">
        <v>197</v>
      </c>
      <c r="B4" s="4">
        <v>46129</v>
      </c>
      <c r="C4" s="3" t="s">
        <v>108</v>
      </c>
      <c r="D4" s="3" t="s">
        <v>55</v>
      </c>
      <c r="E4" s="3" t="s">
        <v>149</v>
      </c>
      <c r="F4" s="3" t="s">
        <v>135</v>
      </c>
      <c r="G4" s="3" t="s">
        <v>160</v>
      </c>
      <c r="H4" s="3">
        <v>34942</v>
      </c>
      <c r="I4" s="3" t="s">
        <v>162</v>
      </c>
      <c r="J4" s="5">
        <v>1</v>
      </c>
      <c r="K4" s="3" t="s">
        <v>14</v>
      </c>
      <c r="L4" s="3" t="s">
        <v>198</v>
      </c>
    </row>
    <row r="5" spans="1:12" x14ac:dyDescent="0.3">
      <c r="A5" s="3" t="s">
        <v>199</v>
      </c>
      <c r="B5" s="4">
        <v>46097</v>
      </c>
      <c r="C5" s="3" t="s">
        <v>61</v>
      </c>
      <c r="D5" s="3" t="s">
        <v>40</v>
      </c>
      <c r="E5" s="3" t="s">
        <v>144</v>
      </c>
      <c r="F5" s="3" t="s">
        <v>135</v>
      </c>
      <c r="G5" s="3" t="s">
        <v>142</v>
      </c>
      <c r="H5" s="3">
        <v>36015</v>
      </c>
      <c r="I5" s="3" t="s">
        <v>133</v>
      </c>
      <c r="J5" s="5">
        <v>1.65</v>
      </c>
      <c r="K5" s="3" t="s">
        <v>191</v>
      </c>
      <c r="L5" s="3" t="s">
        <v>200</v>
      </c>
    </row>
    <row r="6" spans="1:12" x14ac:dyDescent="0.3">
      <c r="A6" s="3" t="s">
        <v>201</v>
      </c>
      <c r="B6" s="4">
        <v>46079</v>
      </c>
      <c r="C6" s="3" t="s">
        <v>16</v>
      </c>
      <c r="D6" s="3" t="s">
        <v>17</v>
      </c>
      <c r="E6" s="3" t="s">
        <v>141</v>
      </c>
      <c r="F6" s="3" t="s">
        <v>135</v>
      </c>
      <c r="G6" s="3" t="s">
        <v>170</v>
      </c>
      <c r="H6" s="3">
        <v>11809</v>
      </c>
      <c r="I6" s="3" t="s">
        <v>133</v>
      </c>
      <c r="J6" s="5">
        <v>1</v>
      </c>
      <c r="K6" s="3" t="s">
        <v>14</v>
      </c>
      <c r="L6" s="3" t="s">
        <v>198</v>
      </c>
    </row>
    <row r="7" spans="1:12" x14ac:dyDescent="0.3">
      <c r="A7" s="3" t="s">
        <v>202</v>
      </c>
      <c r="B7" s="4">
        <v>46053</v>
      </c>
      <c r="C7" s="3" t="s">
        <v>95</v>
      </c>
      <c r="D7" s="3" t="s">
        <v>36</v>
      </c>
      <c r="E7" s="3" t="s">
        <v>134</v>
      </c>
      <c r="F7" s="3" t="s">
        <v>135</v>
      </c>
      <c r="G7" s="3" t="s">
        <v>130</v>
      </c>
      <c r="H7" s="3">
        <v>33813</v>
      </c>
      <c r="I7" s="3" t="s">
        <v>133</v>
      </c>
      <c r="J7" s="5">
        <v>1</v>
      </c>
      <c r="K7" s="3" t="s">
        <v>14</v>
      </c>
      <c r="L7" s="3" t="s">
        <v>198</v>
      </c>
    </row>
    <row r="8" spans="1:12" x14ac:dyDescent="0.3">
      <c r="A8" s="3" t="s">
        <v>203</v>
      </c>
      <c r="B8" s="4">
        <v>46106</v>
      </c>
      <c r="C8" s="3" t="s">
        <v>10</v>
      </c>
      <c r="D8" s="3" t="s">
        <v>12</v>
      </c>
      <c r="E8" s="3" t="s">
        <v>127</v>
      </c>
      <c r="F8" s="3" t="s">
        <v>128</v>
      </c>
      <c r="G8" s="3" t="s">
        <v>152</v>
      </c>
      <c r="H8" s="3">
        <v>3058</v>
      </c>
      <c r="I8" s="3" t="s">
        <v>126</v>
      </c>
      <c r="J8" s="5">
        <v>1</v>
      </c>
      <c r="K8" s="3" t="s">
        <v>14</v>
      </c>
      <c r="L8" s="3" t="s">
        <v>200</v>
      </c>
    </row>
    <row r="9" spans="1:12" x14ac:dyDescent="0.3">
      <c r="A9" s="3" t="s">
        <v>204</v>
      </c>
      <c r="B9" s="4">
        <v>46044</v>
      </c>
      <c r="C9" s="3" t="s">
        <v>111</v>
      </c>
      <c r="D9" s="3" t="s">
        <v>21</v>
      </c>
      <c r="E9" s="3" t="s">
        <v>127</v>
      </c>
      <c r="F9" s="3" t="s">
        <v>135</v>
      </c>
      <c r="G9" s="3" t="s">
        <v>163</v>
      </c>
      <c r="H9" s="3">
        <v>4236</v>
      </c>
      <c r="I9" s="3" t="s">
        <v>133</v>
      </c>
      <c r="J9" s="5">
        <v>3.19</v>
      </c>
      <c r="K9" s="3" t="s">
        <v>191</v>
      </c>
      <c r="L9" s="3" t="s">
        <v>195</v>
      </c>
    </row>
    <row r="10" spans="1:12" x14ac:dyDescent="0.3">
      <c r="A10" s="3" t="s">
        <v>205</v>
      </c>
      <c r="B10" s="4">
        <v>46087</v>
      </c>
      <c r="C10" s="3" t="s">
        <v>109</v>
      </c>
      <c r="D10" s="3" t="s">
        <v>55</v>
      </c>
      <c r="E10" s="3" t="s">
        <v>141</v>
      </c>
      <c r="F10" s="3" t="s">
        <v>135</v>
      </c>
      <c r="G10" s="3" t="s">
        <v>184</v>
      </c>
      <c r="H10" s="3">
        <v>30342</v>
      </c>
      <c r="I10" s="3" t="s">
        <v>174</v>
      </c>
      <c r="J10" s="5">
        <v>3.06</v>
      </c>
      <c r="K10" s="3" t="s">
        <v>191</v>
      </c>
      <c r="L10" s="3" t="s">
        <v>198</v>
      </c>
    </row>
    <row r="11" spans="1:12" x14ac:dyDescent="0.3">
      <c r="A11" s="3" t="s">
        <v>206</v>
      </c>
      <c r="B11" s="4">
        <v>46040</v>
      </c>
      <c r="C11" s="3" t="s">
        <v>105</v>
      </c>
      <c r="D11" s="3" t="s">
        <v>55</v>
      </c>
      <c r="E11" s="3" t="s">
        <v>141</v>
      </c>
      <c r="F11" s="3" t="s">
        <v>135</v>
      </c>
      <c r="G11" s="3" t="s">
        <v>184</v>
      </c>
      <c r="H11" s="3">
        <v>32099</v>
      </c>
      <c r="I11" s="3" t="s">
        <v>174</v>
      </c>
      <c r="J11" s="5">
        <v>3.06</v>
      </c>
      <c r="K11" s="3" t="s">
        <v>191</v>
      </c>
      <c r="L11" s="3" t="s">
        <v>195</v>
      </c>
    </row>
    <row r="12" spans="1:12" x14ac:dyDescent="0.3">
      <c r="A12" s="3" t="s">
        <v>207</v>
      </c>
      <c r="B12" s="4">
        <v>46081</v>
      </c>
      <c r="C12" s="3" t="s">
        <v>74</v>
      </c>
      <c r="D12" s="3" t="s">
        <v>55</v>
      </c>
      <c r="E12" s="3" t="s">
        <v>127</v>
      </c>
      <c r="F12" s="3" t="s">
        <v>128</v>
      </c>
      <c r="G12" s="3" t="s">
        <v>152</v>
      </c>
      <c r="H12" s="3">
        <v>2617</v>
      </c>
      <c r="I12" s="3" t="s">
        <v>126</v>
      </c>
      <c r="J12" s="5">
        <v>1</v>
      </c>
      <c r="K12" s="3" t="s">
        <v>14</v>
      </c>
      <c r="L12" s="3" t="s">
        <v>195</v>
      </c>
    </row>
    <row r="13" spans="1:12" x14ac:dyDescent="0.3">
      <c r="A13" s="3" t="s">
        <v>208</v>
      </c>
      <c r="B13" s="4">
        <v>46112</v>
      </c>
      <c r="C13" s="3" t="s">
        <v>68</v>
      </c>
      <c r="D13" s="3" t="s">
        <v>40</v>
      </c>
      <c r="E13" s="3" t="s">
        <v>144</v>
      </c>
      <c r="F13" s="3" t="s">
        <v>135</v>
      </c>
      <c r="G13" s="3" t="s">
        <v>158</v>
      </c>
      <c r="H13" s="3">
        <v>4713</v>
      </c>
      <c r="I13" s="3" t="s">
        <v>126</v>
      </c>
      <c r="J13" s="5">
        <v>5.15</v>
      </c>
      <c r="K13" s="3" t="s">
        <v>191</v>
      </c>
      <c r="L13" s="3" t="s">
        <v>200</v>
      </c>
    </row>
    <row r="14" spans="1:12" x14ac:dyDescent="0.3">
      <c r="A14" s="3" t="s">
        <v>209</v>
      </c>
      <c r="B14" s="4">
        <v>46122</v>
      </c>
      <c r="C14" s="3" t="s">
        <v>106</v>
      </c>
      <c r="D14" s="3" t="s">
        <v>40</v>
      </c>
      <c r="E14" s="3" t="s">
        <v>127</v>
      </c>
      <c r="F14" s="3" t="s">
        <v>128</v>
      </c>
      <c r="G14" s="3" t="s">
        <v>152</v>
      </c>
      <c r="H14" s="3">
        <v>4036</v>
      </c>
      <c r="I14" s="3" t="s">
        <v>126</v>
      </c>
      <c r="J14" s="5">
        <v>1</v>
      </c>
      <c r="K14" s="3" t="s">
        <v>14</v>
      </c>
      <c r="L14" s="3" t="s">
        <v>198</v>
      </c>
    </row>
    <row r="15" spans="1:12" x14ac:dyDescent="0.3">
      <c r="A15" s="3" t="s">
        <v>210</v>
      </c>
      <c r="B15" s="4">
        <v>46090</v>
      </c>
      <c r="C15" s="3" t="s">
        <v>96</v>
      </c>
      <c r="D15" s="3" t="s">
        <v>36</v>
      </c>
      <c r="E15" s="3" t="s">
        <v>127</v>
      </c>
      <c r="F15" s="3" t="s">
        <v>135</v>
      </c>
      <c r="G15" s="3" t="s">
        <v>146</v>
      </c>
      <c r="H15" s="3">
        <v>4249</v>
      </c>
      <c r="I15" s="3" t="s">
        <v>133</v>
      </c>
      <c r="J15" s="5">
        <v>1</v>
      </c>
      <c r="K15" s="3" t="s">
        <v>14</v>
      </c>
      <c r="L15" s="3" t="s">
        <v>198</v>
      </c>
    </row>
    <row r="16" spans="1:12" x14ac:dyDescent="0.3">
      <c r="A16" s="3" t="s">
        <v>211</v>
      </c>
      <c r="B16" s="4">
        <v>46122</v>
      </c>
      <c r="C16" s="3" t="s">
        <v>108</v>
      </c>
      <c r="D16" s="3" t="s">
        <v>55</v>
      </c>
      <c r="E16" s="3" t="s">
        <v>127</v>
      </c>
      <c r="F16" s="3" t="s">
        <v>128</v>
      </c>
      <c r="G16" s="3" t="s">
        <v>152</v>
      </c>
      <c r="H16" s="3">
        <v>4696</v>
      </c>
      <c r="I16" s="3" t="s">
        <v>126</v>
      </c>
      <c r="J16" s="5">
        <v>1</v>
      </c>
      <c r="K16" s="3" t="s">
        <v>14</v>
      </c>
      <c r="L16" s="3" t="s">
        <v>200</v>
      </c>
    </row>
    <row r="17" spans="1:12" x14ac:dyDescent="0.3">
      <c r="A17" s="3" t="s">
        <v>212</v>
      </c>
      <c r="B17" s="4">
        <v>46037</v>
      </c>
      <c r="C17" s="3" t="s">
        <v>111</v>
      </c>
      <c r="D17" s="3" t="s">
        <v>21</v>
      </c>
      <c r="E17" s="3" t="s">
        <v>149</v>
      </c>
      <c r="F17" s="3" t="s">
        <v>135</v>
      </c>
      <c r="G17" s="3" t="s">
        <v>160</v>
      </c>
      <c r="H17" s="3">
        <v>44564</v>
      </c>
      <c r="I17" s="3" t="s">
        <v>162</v>
      </c>
      <c r="J17" s="5">
        <v>1</v>
      </c>
      <c r="K17" s="3" t="s">
        <v>14</v>
      </c>
      <c r="L17" s="3" t="s">
        <v>200</v>
      </c>
    </row>
    <row r="18" spans="1:12" x14ac:dyDescent="0.3">
      <c r="A18" s="3" t="s">
        <v>213</v>
      </c>
      <c r="B18" s="4">
        <v>46102</v>
      </c>
      <c r="C18" s="3" t="s">
        <v>94</v>
      </c>
      <c r="D18" s="3" t="s">
        <v>28</v>
      </c>
      <c r="E18" s="3" t="s">
        <v>149</v>
      </c>
      <c r="F18" s="3" t="s">
        <v>135</v>
      </c>
      <c r="G18" s="3" t="s">
        <v>176</v>
      </c>
      <c r="H18" s="3">
        <v>80956</v>
      </c>
      <c r="I18" s="3" t="s">
        <v>174</v>
      </c>
      <c r="J18" s="5">
        <v>1</v>
      </c>
      <c r="K18" s="3" t="s">
        <v>14</v>
      </c>
      <c r="L18" s="3" t="s">
        <v>214</v>
      </c>
    </row>
    <row r="19" spans="1:12" x14ac:dyDescent="0.3">
      <c r="A19" s="3" t="s">
        <v>215</v>
      </c>
      <c r="B19" s="4">
        <v>46074</v>
      </c>
      <c r="C19" s="3" t="s">
        <v>101</v>
      </c>
      <c r="D19" s="3" t="s">
        <v>55</v>
      </c>
      <c r="E19" s="3" t="s">
        <v>127</v>
      </c>
      <c r="F19" s="3" t="s">
        <v>128</v>
      </c>
      <c r="G19" s="3" t="s">
        <v>152</v>
      </c>
      <c r="H19" s="3">
        <v>6948</v>
      </c>
      <c r="I19" s="3" t="s">
        <v>126</v>
      </c>
      <c r="J19" s="5">
        <v>1</v>
      </c>
      <c r="K19" s="3" t="s">
        <v>14</v>
      </c>
      <c r="L19" s="3" t="s">
        <v>198</v>
      </c>
    </row>
    <row r="20" spans="1:12" x14ac:dyDescent="0.3">
      <c r="A20" s="3" t="s">
        <v>216</v>
      </c>
      <c r="B20" s="4">
        <v>46040</v>
      </c>
      <c r="C20" s="3" t="s">
        <v>34</v>
      </c>
      <c r="D20" s="3" t="s">
        <v>36</v>
      </c>
      <c r="E20" s="3" t="s">
        <v>134</v>
      </c>
      <c r="F20" s="3" t="s">
        <v>135</v>
      </c>
      <c r="G20" s="3" t="s">
        <v>130</v>
      </c>
      <c r="H20" s="3">
        <v>42946</v>
      </c>
      <c r="I20" s="3" t="s">
        <v>133</v>
      </c>
      <c r="J20" s="5">
        <v>1</v>
      </c>
      <c r="K20" s="3" t="s">
        <v>14</v>
      </c>
      <c r="L20" s="3" t="s">
        <v>200</v>
      </c>
    </row>
    <row r="21" spans="1:12" x14ac:dyDescent="0.3">
      <c r="A21" s="3" t="s">
        <v>217</v>
      </c>
      <c r="B21" s="4">
        <v>46073</v>
      </c>
      <c r="C21" s="3" t="s">
        <v>101</v>
      </c>
      <c r="D21" s="3" t="s">
        <v>55</v>
      </c>
      <c r="E21" s="3" t="s">
        <v>141</v>
      </c>
      <c r="F21" s="3" t="s">
        <v>135</v>
      </c>
      <c r="G21" s="3" t="s">
        <v>167</v>
      </c>
      <c r="H21" s="3">
        <v>6151</v>
      </c>
      <c r="I21" s="3" t="s">
        <v>126</v>
      </c>
      <c r="J21" s="5">
        <v>1</v>
      </c>
      <c r="K21" s="3" t="s">
        <v>14</v>
      </c>
      <c r="L21" s="3" t="s">
        <v>195</v>
      </c>
    </row>
    <row r="22" spans="1:12" x14ac:dyDescent="0.3">
      <c r="A22" s="3" t="s">
        <v>218</v>
      </c>
      <c r="B22" s="4">
        <v>46136</v>
      </c>
      <c r="C22" s="3" t="s">
        <v>19</v>
      </c>
      <c r="D22" s="3" t="s">
        <v>21</v>
      </c>
      <c r="E22" s="3" t="s">
        <v>141</v>
      </c>
      <c r="F22" s="3" t="s">
        <v>135</v>
      </c>
      <c r="G22" s="3" t="s">
        <v>182</v>
      </c>
      <c r="H22" s="3">
        <v>316</v>
      </c>
      <c r="I22" s="3" t="s">
        <v>162</v>
      </c>
      <c r="J22" s="5">
        <v>1</v>
      </c>
      <c r="K22" s="3" t="s">
        <v>14</v>
      </c>
      <c r="L22" s="3" t="s">
        <v>200</v>
      </c>
    </row>
    <row r="23" spans="1:12" x14ac:dyDescent="0.3">
      <c r="A23" s="3" t="s">
        <v>219</v>
      </c>
      <c r="B23" s="4">
        <v>46101</v>
      </c>
      <c r="C23" s="3" t="s">
        <v>107</v>
      </c>
      <c r="D23" s="3" t="s">
        <v>28</v>
      </c>
      <c r="E23" s="3" t="s">
        <v>134</v>
      </c>
      <c r="F23" s="3" t="s">
        <v>135</v>
      </c>
      <c r="G23" s="3" t="s">
        <v>181</v>
      </c>
      <c r="H23" s="3">
        <v>5267</v>
      </c>
      <c r="I23" s="3" t="s">
        <v>126</v>
      </c>
      <c r="J23" s="5">
        <v>4.13</v>
      </c>
      <c r="K23" s="3" t="s">
        <v>191</v>
      </c>
      <c r="L23" s="3" t="s">
        <v>214</v>
      </c>
    </row>
    <row r="24" spans="1:12" x14ac:dyDescent="0.3">
      <c r="A24" s="3" t="s">
        <v>220</v>
      </c>
      <c r="B24" s="4">
        <v>46040</v>
      </c>
      <c r="C24" s="3" t="s">
        <v>59</v>
      </c>
      <c r="D24" s="3" t="s">
        <v>12</v>
      </c>
      <c r="E24" s="3" t="s">
        <v>127</v>
      </c>
      <c r="F24" s="3" t="s">
        <v>128</v>
      </c>
      <c r="G24" s="3" t="s">
        <v>123</v>
      </c>
      <c r="H24" s="3">
        <v>2558</v>
      </c>
      <c r="I24" s="3" t="s">
        <v>126</v>
      </c>
      <c r="J24" s="5">
        <v>1</v>
      </c>
      <c r="K24" s="3" t="s">
        <v>14</v>
      </c>
      <c r="L24" s="3" t="s">
        <v>198</v>
      </c>
    </row>
    <row r="25" spans="1:12" x14ac:dyDescent="0.3">
      <c r="A25" s="3" t="s">
        <v>221</v>
      </c>
      <c r="B25" s="4">
        <v>46120</v>
      </c>
      <c r="C25" s="3" t="s">
        <v>108</v>
      </c>
      <c r="D25" s="3" t="s">
        <v>55</v>
      </c>
      <c r="E25" s="3" t="s">
        <v>141</v>
      </c>
      <c r="F25" s="3" t="s">
        <v>135</v>
      </c>
      <c r="G25" s="3" t="s">
        <v>167</v>
      </c>
      <c r="H25" s="3">
        <v>4158</v>
      </c>
      <c r="I25" s="3" t="s">
        <v>126</v>
      </c>
      <c r="J25" s="5">
        <v>1</v>
      </c>
      <c r="K25" s="3" t="s">
        <v>14</v>
      </c>
      <c r="L25" s="3" t="s">
        <v>200</v>
      </c>
    </row>
    <row r="26" spans="1:12" x14ac:dyDescent="0.3">
      <c r="A26" s="3" t="s">
        <v>222</v>
      </c>
      <c r="B26" s="4">
        <v>46099</v>
      </c>
      <c r="C26" s="3" t="s">
        <v>83</v>
      </c>
      <c r="D26" s="3" t="s">
        <v>21</v>
      </c>
      <c r="E26" s="3" t="s">
        <v>134</v>
      </c>
      <c r="F26" s="3" t="s">
        <v>135</v>
      </c>
      <c r="G26" s="3" t="s">
        <v>130</v>
      </c>
      <c r="H26" s="3">
        <v>75049</v>
      </c>
      <c r="I26" s="3" t="s">
        <v>133</v>
      </c>
      <c r="J26" s="5">
        <v>1</v>
      </c>
      <c r="K26" s="3" t="s">
        <v>14</v>
      </c>
      <c r="L26" s="3" t="s">
        <v>214</v>
      </c>
    </row>
    <row r="27" spans="1:12" x14ac:dyDescent="0.3">
      <c r="A27" s="3" t="s">
        <v>223</v>
      </c>
      <c r="B27" s="4">
        <v>46134</v>
      </c>
      <c r="C27" s="3" t="s">
        <v>56</v>
      </c>
      <c r="D27" s="3" t="s">
        <v>33</v>
      </c>
      <c r="E27" s="3" t="s">
        <v>127</v>
      </c>
      <c r="F27" s="3" t="s">
        <v>128</v>
      </c>
      <c r="G27" s="3" t="s">
        <v>123</v>
      </c>
      <c r="H27" s="3">
        <v>2522</v>
      </c>
      <c r="I27" s="3" t="s">
        <v>126</v>
      </c>
      <c r="J27" s="5">
        <v>1</v>
      </c>
      <c r="K27" s="3" t="s">
        <v>14</v>
      </c>
      <c r="L27" s="3" t="s">
        <v>198</v>
      </c>
    </row>
    <row r="28" spans="1:12" x14ac:dyDescent="0.3">
      <c r="A28" s="3" t="s">
        <v>224</v>
      </c>
      <c r="B28" s="4">
        <v>46051</v>
      </c>
      <c r="C28" s="3" t="s">
        <v>48</v>
      </c>
      <c r="D28" s="3" t="s">
        <v>36</v>
      </c>
      <c r="E28" s="3" t="s">
        <v>144</v>
      </c>
      <c r="F28" s="3" t="s">
        <v>135</v>
      </c>
      <c r="G28" s="3" t="s">
        <v>158</v>
      </c>
      <c r="H28" s="3">
        <v>1880</v>
      </c>
      <c r="I28" s="3" t="s">
        <v>126</v>
      </c>
      <c r="J28" s="5">
        <v>5.15</v>
      </c>
      <c r="K28" s="3" t="s">
        <v>191</v>
      </c>
      <c r="L28" s="3" t="s">
        <v>198</v>
      </c>
    </row>
    <row r="29" spans="1:12" x14ac:dyDescent="0.3">
      <c r="A29" s="3" t="s">
        <v>225</v>
      </c>
      <c r="B29" s="4">
        <v>46054</v>
      </c>
      <c r="C29" s="3" t="s">
        <v>52</v>
      </c>
      <c r="D29" s="3" t="s">
        <v>33</v>
      </c>
      <c r="E29" s="3" t="s">
        <v>127</v>
      </c>
      <c r="F29" s="3" t="s">
        <v>128</v>
      </c>
      <c r="G29" s="3" t="s">
        <v>123</v>
      </c>
      <c r="H29" s="3">
        <v>4888</v>
      </c>
      <c r="I29" s="3" t="s">
        <v>126</v>
      </c>
      <c r="J29" s="5">
        <v>1</v>
      </c>
      <c r="K29" s="3" t="s">
        <v>14</v>
      </c>
      <c r="L29" s="3" t="s">
        <v>200</v>
      </c>
    </row>
    <row r="30" spans="1:12" x14ac:dyDescent="0.3">
      <c r="A30" s="3" t="s">
        <v>226</v>
      </c>
      <c r="B30" s="4">
        <v>46137</v>
      </c>
      <c r="C30" s="3" t="s">
        <v>65</v>
      </c>
      <c r="D30" s="3" t="s">
        <v>66</v>
      </c>
      <c r="E30" s="3" t="s">
        <v>134</v>
      </c>
      <c r="F30" s="3" t="s">
        <v>135</v>
      </c>
      <c r="G30" s="3" t="s">
        <v>181</v>
      </c>
      <c r="H30" s="3">
        <v>9614</v>
      </c>
      <c r="I30" s="3" t="s">
        <v>126</v>
      </c>
      <c r="J30" s="5">
        <v>4.13</v>
      </c>
      <c r="K30" s="3" t="s">
        <v>191</v>
      </c>
      <c r="L30" s="3" t="s">
        <v>200</v>
      </c>
    </row>
    <row r="31" spans="1:12" x14ac:dyDescent="0.3">
      <c r="A31" s="3" t="s">
        <v>227</v>
      </c>
      <c r="B31" s="4">
        <v>46052</v>
      </c>
      <c r="C31" s="3" t="s">
        <v>44</v>
      </c>
      <c r="D31" s="3" t="s">
        <v>36</v>
      </c>
      <c r="E31" s="3" t="s">
        <v>134</v>
      </c>
      <c r="F31" s="3" t="s">
        <v>135</v>
      </c>
      <c r="G31" s="3" t="s">
        <v>130</v>
      </c>
      <c r="H31" s="3">
        <v>26343</v>
      </c>
      <c r="I31" s="3" t="s">
        <v>133</v>
      </c>
      <c r="J31" s="5">
        <v>1</v>
      </c>
      <c r="K31" s="3" t="s">
        <v>14</v>
      </c>
      <c r="L31" s="3" t="s">
        <v>195</v>
      </c>
    </row>
    <row r="32" spans="1:12" x14ac:dyDescent="0.3">
      <c r="A32" s="3" t="s">
        <v>228</v>
      </c>
      <c r="B32" s="4">
        <v>46087</v>
      </c>
      <c r="C32" s="3" t="s">
        <v>47</v>
      </c>
      <c r="D32" s="3" t="s">
        <v>12</v>
      </c>
      <c r="E32" s="3" t="s">
        <v>127</v>
      </c>
      <c r="F32" s="3" t="s">
        <v>128</v>
      </c>
      <c r="G32" s="3" t="s">
        <v>123</v>
      </c>
      <c r="H32" s="3">
        <v>2092</v>
      </c>
      <c r="I32" s="3" t="s">
        <v>126</v>
      </c>
      <c r="J32" s="5">
        <v>1</v>
      </c>
      <c r="K32" s="3" t="s">
        <v>14</v>
      </c>
      <c r="L32" s="3" t="s">
        <v>195</v>
      </c>
    </row>
    <row r="33" spans="1:12" x14ac:dyDescent="0.3">
      <c r="A33" s="3" t="s">
        <v>229</v>
      </c>
      <c r="B33" s="4">
        <v>46108</v>
      </c>
      <c r="C33" s="3" t="s">
        <v>46</v>
      </c>
      <c r="D33" s="3" t="s">
        <v>28</v>
      </c>
      <c r="E33" s="3" t="s">
        <v>141</v>
      </c>
      <c r="F33" s="3" t="s">
        <v>135</v>
      </c>
      <c r="G33" s="3" t="s">
        <v>167</v>
      </c>
      <c r="H33" s="3">
        <v>2997</v>
      </c>
      <c r="I33" s="3" t="s">
        <v>126</v>
      </c>
      <c r="J33" s="5">
        <v>1</v>
      </c>
      <c r="K33" s="3" t="s">
        <v>14</v>
      </c>
      <c r="L33" s="3" t="s">
        <v>195</v>
      </c>
    </row>
    <row r="34" spans="1:12" x14ac:dyDescent="0.3">
      <c r="A34" s="3" t="s">
        <v>230</v>
      </c>
      <c r="B34" s="4">
        <v>46092</v>
      </c>
      <c r="C34" s="3" t="s">
        <v>93</v>
      </c>
      <c r="D34" s="3" t="s">
        <v>66</v>
      </c>
      <c r="E34" s="3" t="s">
        <v>144</v>
      </c>
      <c r="F34" s="3" t="s">
        <v>135</v>
      </c>
      <c r="G34" s="3" t="s">
        <v>185</v>
      </c>
      <c r="H34" s="3">
        <v>3674</v>
      </c>
      <c r="I34" s="3" t="s">
        <v>133</v>
      </c>
      <c r="J34" s="5">
        <v>1</v>
      </c>
      <c r="K34" s="3" t="s">
        <v>14</v>
      </c>
      <c r="L34" s="3" t="s">
        <v>198</v>
      </c>
    </row>
    <row r="35" spans="1:12" x14ac:dyDescent="0.3">
      <c r="A35" s="3" t="s">
        <v>231</v>
      </c>
      <c r="B35" s="4">
        <v>46076</v>
      </c>
      <c r="C35" s="3" t="s">
        <v>62</v>
      </c>
      <c r="D35" s="3" t="s">
        <v>25</v>
      </c>
      <c r="E35" s="3" t="s">
        <v>134</v>
      </c>
      <c r="F35" s="3" t="s">
        <v>135</v>
      </c>
      <c r="G35" s="3" t="s">
        <v>130</v>
      </c>
      <c r="H35" s="3">
        <v>41809</v>
      </c>
      <c r="I35" s="3" t="s">
        <v>133</v>
      </c>
      <c r="J35" s="5">
        <v>1</v>
      </c>
      <c r="K35" s="3" t="s">
        <v>14</v>
      </c>
      <c r="L35" s="3" t="s">
        <v>195</v>
      </c>
    </row>
    <row r="36" spans="1:12" x14ac:dyDescent="0.3">
      <c r="A36" s="3" t="s">
        <v>232</v>
      </c>
      <c r="B36" s="4">
        <v>46092</v>
      </c>
      <c r="C36" s="3" t="s">
        <v>93</v>
      </c>
      <c r="D36" s="3" t="s">
        <v>66</v>
      </c>
      <c r="E36" s="3" t="s">
        <v>134</v>
      </c>
      <c r="F36" s="3" t="s">
        <v>135</v>
      </c>
      <c r="G36" s="3" t="s">
        <v>181</v>
      </c>
      <c r="H36" s="3">
        <v>4995</v>
      </c>
      <c r="I36" s="3" t="s">
        <v>126</v>
      </c>
      <c r="J36" s="5">
        <v>4.13</v>
      </c>
      <c r="K36" s="3" t="s">
        <v>191</v>
      </c>
      <c r="L36" s="3" t="s">
        <v>195</v>
      </c>
    </row>
    <row r="37" spans="1:12" x14ac:dyDescent="0.3">
      <c r="A37" s="3" t="s">
        <v>233</v>
      </c>
      <c r="B37" s="4">
        <v>46078</v>
      </c>
      <c r="C37" s="3" t="s">
        <v>58</v>
      </c>
      <c r="D37" s="3" t="s">
        <v>28</v>
      </c>
      <c r="E37" s="3" t="s">
        <v>141</v>
      </c>
      <c r="F37" s="3" t="s">
        <v>135</v>
      </c>
      <c r="G37" s="3" t="s">
        <v>172</v>
      </c>
      <c r="H37" s="3">
        <v>75488</v>
      </c>
      <c r="I37" s="3" t="s">
        <v>174</v>
      </c>
      <c r="J37" s="5">
        <v>0.21</v>
      </c>
      <c r="K37" s="3" t="s">
        <v>191</v>
      </c>
      <c r="L37" s="3" t="s">
        <v>214</v>
      </c>
    </row>
    <row r="38" spans="1:12" x14ac:dyDescent="0.3">
      <c r="A38" s="3" t="s">
        <v>234</v>
      </c>
      <c r="B38" s="4">
        <v>46135</v>
      </c>
      <c r="C38" s="3" t="s">
        <v>90</v>
      </c>
      <c r="D38" s="3" t="s">
        <v>40</v>
      </c>
      <c r="E38" s="3" t="s">
        <v>141</v>
      </c>
      <c r="F38" s="3" t="s">
        <v>135</v>
      </c>
      <c r="G38" s="3" t="s">
        <v>139</v>
      </c>
      <c r="H38" s="3">
        <v>24781</v>
      </c>
      <c r="I38" s="3" t="s">
        <v>133</v>
      </c>
      <c r="J38" s="5">
        <v>1</v>
      </c>
      <c r="K38" s="3" t="s">
        <v>14</v>
      </c>
      <c r="L38" s="3" t="s">
        <v>214</v>
      </c>
    </row>
    <row r="39" spans="1:12" x14ac:dyDescent="0.3">
      <c r="A39" s="3" t="s">
        <v>235</v>
      </c>
      <c r="B39" s="4">
        <v>46048</v>
      </c>
      <c r="C39" s="3" t="s">
        <v>54</v>
      </c>
      <c r="D39" s="3" t="s">
        <v>55</v>
      </c>
      <c r="E39" s="3" t="s">
        <v>149</v>
      </c>
      <c r="F39" s="3" t="s">
        <v>135</v>
      </c>
      <c r="G39" s="3" t="s">
        <v>160</v>
      </c>
      <c r="H39" s="3">
        <v>49472</v>
      </c>
      <c r="I39" s="3" t="s">
        <v>162</v>
      </c>
      <c r="J39" s="5">
        <v>1</v>
      </c>
      <c r="K39" s="3" t="s">
        <v>14</v>
      </c>
      <c r="L39" s="3" t="s">
        <v>214</v>
      </c>
    </row>
    <row r="40" spans="1:12" x14ac:dyDescent="0.3">
      <c r="A40" s="3" t="s">
        <v>236</v>
      </c>
      <c r="B40" s="4">
        <v>46052</v>
      </c>
      <c r="C40" s="3" t="s">
        <v>23</v>
      </c>
      <c r="D40" s="3" t="s">
        <v>25</v>
      </c>
      <c r="E40" s="3" t="s">
        <v>134</v>
      </c>
      <c r="F40" s="3" t="s">
        <v>135</v>
      </c>
      <c r="G40" s="3" t="s">
        <v>130</v>
      </c>
      <c r="H40" s="3">
        <v>31150</v>
      </c>
      <c r="I40" s="3" t="s">
        <v>133</v>
      </c>
      <c r="J40" s="5">
        <v>1</v>
      </c>
      <c r="K40" s="3" t="s">
        <v>14</v>
      </c>
      <c r="L40" s="3" t="s">
        <v>198</v>
      </c>
    </row>
    <row r="41" spans="1:12" x14ac:dyDescent="0.3">
      <c r="A41" s="3" t="s">
        <v>237</v>
      </c>
      <c r="B41" s="4">
        <v>46078</v>
      </c>
      <c r="C41" s="3" t="s">
        <v>62</v>
      </c>
      <c r="D41" s="3" t="s">
        <v>25</v>
      </c>
      <c r="E41" s="3" t="s">
        <v>127</v>
      </c>
      <c r="F41" s="3" t="s">
        <v>128</v>
      </c>
      <c r="G41" s="3" t="s">
        <v>152</v>
      </c>
      <c r="H41" s="3">
        <v>5781</v>
      </c>
      <c r="I41" s="3" t="s">
        <v>126</v>
      </c>
      <c r="J41" s="5">
        <v>1</v>
      </c>
      <c r="K41" s="3" t="s">
        <v>14</v>
      </c>
      <c r="L41" s="3" t="s">
        <v>198</v>
      </c>
    </row>
    <row r="42" spans="1:12" x14ac:dyDescent="0.3">
      <c r="A42" s="3" t="s">
        <v>238</v>
      </c>
      <c r="B42" s="4">
        <v>46120</v>
      </c>
      <c r="C42" s="3" t="s">
        <v>89</v>
      </c>
      <c r="D42" s="3" t="s">
        <v>33</v>
      </c>
      <c r="E42" s="3" t="s">
        <v>127</v>
      </c>
      <c r="F42" s="3" t="s">
        <v>128</v>
      </c>
      <c r="G42" s="3" t="s">
        <v>123</v>
      </c>
      <c r="H42" s="3">
        <v>3708</v>
      </c>
      <c r="I42" s="3" t="s">
        <v>126</v>
      </c>
      <c r="J42" s="5">
        <v>1</v>
      </c>
      <c r="K42" s="3" t="s">
        <v>14</v>
      </c>
      <c r="L42" s="3" t="s">
        <v>195</v>
      </c>
    </row>
    <row r="43" spans="1:12" x14ac:dyDescent="0.3">
      <c r="A43" s="3" t="s">
        <v>239</v>
      </c>
      <c r="B43" s="4">
        <v>46062</v>
      </c>
      <c r="C43" s="3" t="s">
        <v>76</v>
      </c>
      <c r="D43" s="3" t="s">
        <v>33</v>
      </c>
      <c r="E43" s="3" t="s">
        <v>149</v>
      </c>
      <c r="F43" s="3" t="s">
        <v>135</v>
      </c>
      <c r="G43" s="3" t="s">
        <v>177</v>
      </c>
      <c r="H43" s="3">
        <v>124381</v>
      </c>
      <c r="I43" s="3" t="s">
        <v>162</v>
      </c>
      <c r="J43" s="5">
        <v>1</v>
      </c>
      <c r="K43" s="3" t="s">
        <v>14</v>
      </c>
      <c r="L43" s="3" t="s">
        <v>200</v>
      </c>
    </row>
    <row r="44" spans="1:12" x14ac:dyDescent="0.3">
      <c r="A44" s="3" t="s">
        <v>240</v>
      </c>
      <c r="B44" s="4">
        <v>46060</v>
      </c>
      <c r="C44" s="3" t="s">
        <v>91</v>
      </c>
      <c r="D44" s="3" t="s">
        <v>21</v>
      </c>
      <c r="E44" s="3" t="s">
        <v>134</v>
      </c>
      <c r="F44" s="3" t="s">
        <v>135</v>
      </c>
      <c r="G44" s="3" t="s">
        <v>130</v>
      </c>
      <c r="H44" s="3">
        <v>136453</v>
      </c>
      <c r="I44" s="3" t="s">
        <v>133</v>
      </c>
      <c r="J44" s="5">
        <v>1</v>
      </c>
      <c r="K44" s="3" t="s">
        <v>14</v>
      </c>
      <c r="L44" s="3" t="s">
        <v>198</v>
      </c>
    </row>
    <row r="45" spans="1:12" x14ac:dyDescent="0.3">
      <c r="A45" s="3" t="s">
        <v>241</v>
      </c>
      <c r="B45" s="4">
        <v>46088</v>
      </c>
      <c r="C45" s="3" t="s">
        <v>99</v>
      </c>
      <c r="D45" s="3" t="s">
        <v>25</v>
      </c>
      <c r="E45" s="3" t="s">
        <v>134</v>
      </c>
      <c r="F45" s="3" t="s">
        <v>135</v>
      </c>
      <c r="G45" s="3" t="s">
        <v>130</v>
      </c>
      <c r="H45" s="3">
        <v>31728</v>
      </c>
      <c r="I45" s="3" t="s">
        <v>133</v>
      </c>
      <c r="J45" s="5">
        <v>1</v>
      </c>
      <c r="K45" s="3" t="s">
        <v>14</v>
      </c>
      <c r="L45" s="3" t="s">
        <v>200</v>
      </c>
    </row>
    <row r="46" spans="1:12" x14ac:dyDescent="0.3">
      <c r="A46" s="3" t="s">
        <v>242</v>
      </c>
      <c r="B46" s="4">
        <v>46055</v>
      </c>
      <c r="C46" s="3" t="s">
        <v>48</v>
      </c>
      <c r="D46" s="3" t="s">
        <v>36</v>
      </c>
      <c r="E46" s="3" t="s">
        <v>149</v>
      </c>
      <c r="F46" s="3" t="s">
        <v>135</v>
      </c>
      <c r="G46" s="3" t="s">
        <v>160</v>
      </c>
      <c r="H46" s="3">
        <v>46212</v>
      </c>
      <c r="I46" s="3" t="s">
        <v>162</v>
      </c>
      <c r="J46" s="5">
        <v>1</v>
      </c>
      <c r="K46" s="3" t="s">
        <v>14</v>
      </c>
      <c r="L46" s="3" t="s">
        <v>200</v>
      </c>
    </row>
    <row r="47" spans="1:12" x14ac:dyDescent="0.3">
      <c r="A47" s="3" t="s">
        <v>243</v>
      </c>
      <c r="B47" s="4">
        <v>46091</v>
      </c>
      <c r="C47" s="3" t="s">
        <v>99</v>
      </c>
      <c r="D47" s="3" t="s">
        <v>25</v>
      </c>
      <c r="E47" s="3" t="s">
        <v>127</v>
      </c>
      <c r="F47" s="3" t="s">
        <v>128</v>
      </c>
      <c r="G47" s="3" t="s">
        <v>152</v>
      </c>
      <c r="H47" s="3">
        <v>4387</v>
      </c>
      <c r="I47" s="3" t="s">
        <v>126</v>
      </c>
      <c r="J47" s="5">
        <v>1</v>
      </c>
      <c r="K47" s="3" t="s">
        <v>14</v>
      </c>
      <c r="L47" s="3" t="s">
        <v>200</v>
      </c>
    </row>
    <row r="48" spans="1:12" x14ac:dyDescent="0.3">
      <c r="A48" s="3" t="s">
        <v>244</v>
      </c>
      <c r="B48" s="4">
        <v>46133</v>
      </c>
      <c r="C48" s="3" t="s">
        <v>104</v>
      </c>
      <c r="D48" s="3" t="s">
        <v>21</v>
      </c>
      <c r="E48" s="3" t="s">
        <v>141</v>
      </c>
      <c r="F48" s="3" t="s">
        <v>135</v>
      </c>
      <c r="G48" s="3" t="s">
        <v>139</v>
      </c>
      <c r="H48" s="3">
        <v>125281</v>
      </c>
      <c r="I48" s="3" t="s">
        <v>133</v>
      </c>
      <c r="J48" s="5">
        <v>1</v>
      </c>
      <c r="K48" s="3" t="s">
        <v>14</v>
      </c>
      <c r="L48" s="3" t="s">
        <v>195</v>
      </c>
    </row>
    <row r="49" spans="1:12" x14ac:dyDescent="0.3">
      <c r="A49" s="3" t="s">
        <v>245</v>
      </c>
      <c r="B49" s="4">
        <v>46102</v>
      </c>
      <c r="C49" s="3" t="s">
        <v>78</v>
      </c>
      <c r="D49" s="3" t="s">
        <v>33</v>
      </c>
      <c r="E49" s="3" t="s">
        <v>127</v>
      </c>
      <c r="F49" s="3" t="s">
        <v>135</v>
      </c>
      <c r="G49" s="3" t="s">
        <v>178</v>
      </c>
      <c r="H49" s="3">
        <v>7381</v>
      </c>
      <c r="I49" s="3" t="s">
        <v>133</v>
      </c>
      <c r="J49" s="5">
        <v>1</v>
      </c>
      <c r="K49" s="3" t="s">
        <v>14</v>
      </c>
      <c r="L49" s="3" t="s">
        <v>200</v>
      </c>
    </row>
    <row r="50" spans="1:12" x14ac:dyDescent="0.3">
      <c r="A50" s="3" t="s">
        <v>246</v>
      </c>
      <c r="B50" s="4">
        <v>46047</v>
      </c>
      <c r="C50" s="3" t="s">
        <v>54</v>
      </c>
      <c r="D50" s="3" t="s">
        <v>55</v>
      </c>
      <c r="E50" s="3" t="s">
        <v>141</v>
      </c>
      <c r="F50" s="3" t="s">
        <v>135</v>
      </c>
      <c r="G50" s="3" t="s">
        <v>170</v>
      </c>
      <c r="H50" s="3">
        <v>38679</v>
      </c>
      <c r="I50" s="3" t="s">
        <v>133</v>
      </c>
      <c r="J50" s="5">
        <v>1</v>
      </c>
      <c r="K50" s="3" t="s">
        <v>14</v>
      </c>
      <c r="L50" s="3" t="s">
        <v>200</v>
      </c>
    </row>
    <row r="51" spans="1:12" x14ac:dyDescent="0.3">
      <c r="A51" s="3" t="s">
        <v>247</v>
      </c>
      <c r="B51" s="4">
        <v>46110</v>
      </c>
      <c r="C51" s="3" t="s">
        <v>71</v>
      </c>
      <c r="D51" s="3" t="s">
        <v>12</v>
      </c>
      <c r="E51" s="3" t="s">
        <v>141</v>
      </c>
      <c r="F51" s="3" t="s">
        <v>135</v>
      </c>
      <c r="G51" s="3" t="s">
        <v>157</v>
      </c>
      <c r="H51" s="3">
        <v>140243</v>
      </c>
      <c r="I51" s="3" t="s">
        <v>133</v>
      </c>
      <c r="J51" s="5">
        <v>1</v>
      </c>
      <c r="K51" s="3" t="s">
        <v>14</v>
      </c>
      <c r="L51" s="3" t="s">
        <v>195</v>
      </c>
    </row>
    <row r="52" spans="1:12" x14ac:dyDescent="0.3">
      <c r="A52" s="3" t="s">
        <v>248</v>
      </c>
      <c r="B52" s="4">
        <v>46062</v>
      </c>
      <c r="C52" s="3" t="s">
        <v>52</v>
      </c>
      <c r="D52" s="3" t="s">
        <v>33</v>
      </c>
      <c r="E52" s="3" t="s">
        <v>127</v>
      </c>
      <c r="F52" s="3" t="s">
        <v>128</v>
      </c>
      <c r="G52" s="3" t="s">
        <v>123</v>
      </c>
      <c r="H52" s="3">
        <v>4888</v>
      </c>
      <c r="I52" s="3" t="s">
        <v>126</v>
      </c>
      <c r="J52" s="5">
        <v>1</v>
      </c>
      <c r="K52" s="3" t="s">
        <v>14</v>
      </c>
      <c r="L52" s="3" t="s">
        <v>214</v>
      </c>
    </row>
    <row r="53" spans="1:12" x14ac:dyDescent="0.3">
      <c r="A53" s="3" t="s">
        <v>249</v>
      </c>
      <c r="B53" s="4">
        <v>46055</v>
      </c>
      <c r="C53" s="3" t="s">
        <v>98</v>
      </c>
      <c r="D53" s="3" t="s">
        <v>55</v>
      </c>
      <c r="E53" s="3" t="s">
        <v>149</v>
      </c>
      <c r="F53" s="3" t="s">
        <v>135</v>
      </c>
      <c r="G53" s="3" t="s">
        <v>177</v>
      </c>
      <c r="H53" s="3">
        <v>4894</v>
      </c>
      <c r="I53" s="3" t="s">
        <v>162</v>
      </c>
      <c r="J53" s="5">
        <v>1</v>
      </c>
      <c r="K53" s="3" t="s">
        <v>14</v>
      </c>
      <c r="L53" s="3" t="s">
        <v>198</v>
      </c>
    </row>
    <row r="54" spans="1:12" x14ac:dyDescent="0.3">
      <c r="A54" s="3" t="s">
        <v>250</v>
      </c>
      <c r="B54" s="4">
        <v>46086</v>
      </c>
      <c r="C54" s="3" t="s">
        <v>109</v>
      </c>
      <c r="D54" s="3" t="s">
        <v>55</v>
      </c>
      <c r="E54" s="3" t="s">
        <v>149</v>
      </c>
      <c r="F54" s="3" t="s">
        <v>135</v>
      </c>
      <c r="G54" s="3" t="s">
        <v>148</v>
      </c>
      <c r="H54" s="3">
        <v>1616</v>
      </c>
      <c r="I54" s="3" t="s">
        <v>133</v>
      </c>
      <c r="J54" s="5">
        <v>1</v>
      </c>
      <c r="K54" s="3" t="s">
        <v>14</v>
      </c>
      <c r="L54" s="3" t="s">
        <v>195</v>
      </c>
    </row>
    <row r="55" spans="1:12" x14ac:dyDescent="0.3">
      <c r="A55" s="3" t="s">
        <v>251</v>
      </c>
      <c r="B55" s="4">
        <v>46034</v>
      </c>
      <c r="C55" s="3" t="s">
        <v>34</v>
      </c>
      <c r="D55" s="3" t="s">
        <v>36</v>
      </c>
      <c r="E55" s="3" t="s">
        <v>141</v>
      </c>
      <c r="F55" s="3" t="s">
        <v>135</v>
      </c>
      <c r="G55" s="3" t="s">
        <v>157</v>
      </c>
      <c r="H55" s="3">
        <v>64760</v>
      </c>
      <c r="I55" s="3" t="s">
        <v>133</v>
      </c>
      <c r="J55" s="5">
        <v>1</v>
      </c>
      <c r="K55" s="3" t="s">
        <v>14</v>
      </c>
      <c r="L55" s="3" t="s">
        <v>200</v>
      </c>
    </row>
    <row r="56" spans="1:12" x14ac:dyDescent="0.3">
      <c r="A56" s="3" t="s">
        <v>252</v>
      </c>
      <c r="B56" s="4">
        <v>46128</v>
      </c>
      <c r="C56" s="3" t="s">
        <v>90</v>
      </c>
      <c r="D56" s="3" t="s">
        <v>40</v>
      </c>
      <c r="E56" s="3" t="s">
        <v>144</v>
      </c>
      <c r="F56" s="3" t="s">
        <v>135</v>
      </c>
      <c r="G56" s="3" t="s">
        <v>158</v>
      </c>
      <c r="H56" s="3">
        <v>3429</v>
      </c>
      <c r="I56" s="3" t="s">
        <v>126</v>
      </c>
      <c r="J56" s="5">
        <v>5.15</v>
      </c>
      <c r="K56" s="3" t="s">
        <v>191</v>
      </c>
      <c r="L56" s="3" t="s">
        <v>198</v>
      </c>
    </row>
    <row r="57" spans="1:12" x14ac:dyDescent="0.3">
      <c r="A57" s="3" t="s">
        <v>253</v>
      </c>
      <c r="B57" s="4">
        <v>46105</v>
      </c>
      <c r="C57" s="3" t="s">
        <v>102</v>
      </c>
      <c r="D57" s="3" t="s">
        <v>28</v>
      </c>
      <c r="E57" s="3" t="s">
        <v>141</v>
      </c>
      <c r="F57" s="3" t="s">
        <v>135</v>
      </c>
      <c r="G57" s="3" t="s">
        <v>139</v>
      </c>
      <c r="H57" s="3">
        <v>33511</v>
      </c>
      <c r="I57" s="3" t="s">
        <v>133</v>
      </c>
      <c r="J57" s="5">
        <v>1</v>
      </c>
      <c r="K57" s="3" t="s">
        <v>14</v>
      </c>
      <c r="L57" s="3" t="s">
        <v>198</v>
      </c>
    </row>
    <row r="58" spans="1:12" x14ac:dyDescent="0.3">
      <c r="A58" s="3" t="s">
        <v>254</v>
      </c>
      <c r="B58" s="4">
        <v>46032</v>
      </c>
      <c r="C58" s="3" t="s">
        <v>72</v>
      </c>
      <c r="D58" s="3" t="s">
        <v>40</v>
      </c>
      <c r="E58" s="3" t="s">
        <v>149</v>
      </c>
      <c r="F58" s="3" t="s">
        <v>135</v>
      </c>
      <c r="G58" s="3" t="s">
        <v>176</v>
      </c>
      <c r="H58" s="3">
        <v>13683</v>
      </c>
      <c r="I58" s="3" t="s">
        <v>174</v>
      </c>
      <c r="J58" s="5">
        <v>1</v>
      </c>
      <c r="K58" s="3" t="s">
        <v>14</v>
      </c>
      <c r="L58" s="3" t="s">
        <v>200</v>
      </c>
    </row>
    <row r="59" spans="1:12" x14ac:dyDescent="0.3">
      <c r="A59" s="3" t="s">
        <v>255</v>
      </c>
      <c r="B59" s="4">
        <v>46074</v>
      </c>
      <c r="C59" s="3" t="s">
        <v>109</v>
      </c>
      <c r="D59" s="3" t="s">
        <v>55</v>
      </c>
      <c r="E59" s="3" t="s">
        <v>127</v>
      </c>
      <c r="F59" s="3" t="s">
        <v>128</v>
      </c>
      <c r="G59" s="3" t="s">
        <v>152</v>
      </c>
      <c r="H59" s="3">
        <v>2717</v>
      </c>
      <c r="I59" s="3" t="s">
        <v>126</v>
      </c>
      <c r="J59" s="5">
        <v>1</v>
      </c>
      <c r="K59" s="3" t="s">
        <v>14</v>
      </c>
      <c r="L59" s="3" t="s">
        <v>214</v>
      </c>
    </row>
    <row r="60" spans="1:12" x14ac:dyDescent="0.3">
      <c r="A60" s="3" t="s">
        <v>256</v>
      </c>
      <c r="B60" s="4">
        <v>46054</v>
      </c>
      <c r="C60" s="3" t="s">
        <v>48</v>
      </c>
      <c r="D60" s="3" t="s">
        <v>36</v>
      </c>
      <c r="E60" s="3" t="s">
        <v>149</v>
      </c>
      <c r="F60" s="3" t="s">
        <v>135</v>
      </c>
      <c r="G60" s="3" t="s">
        <v>160</v>
      </c>
      <c r="H60" s="3">
        <v>46212</v>
      </c>
      <c r="I60" s="3" t="s">
        <v>162</v>
      </c>
      <c r="J60" s="5">
        <v>1</v>
      </c>
      <c r="K60" s="3" t="s">
        <v>14</v>
      </c>
      <c r="L60" s="3" t="s">
        <v>214</v>
      </c>
    </row>
    <row r="61" spans="1:12" x14ac:dyDescent="0.3">
      <c r="A61" s="3" t="s">
        <v>257</v>
      </c>
      <c r="B61" s="4">
        <v>46084</v>
      </c>
      <c r="C61" s="3" t="s">
        <v>86</v>
      </c>
      <c r="D61" s="3" t="s">
        <v>33</v>
      </c>
      <c r="E61" s="3" t="s">
        <v>144</v>
      </c>
      <c r="F61" s="3" t="s">
        <v>135</v>
      </c>
      <c r="G61" s="3" t="s">
        <v>142</v>
      </c>
      <c r="H61" s="3">
        <v>91992</v>
      </c>
      <c r="I61" s="3" t="s">
        <v>133</v>
      </c>
      <c r="J61" s="5">
        <v>1.65</v>
      </c>
      <c r="K61" s="3" t="s">
        <v>191</v>
      </c>
      <c r="L61" s="3" t="s">
        <v>200</v>
      </c>
    </row>
    <row r="62" spans="1:12" x14ac:dyDescent="0.3">
      <c r="A62" s="3" t="s">
        <v>258</v>
      </c>
      <c r="B62" s="4">
        <v>46044</v>
      </c>
      <c r="C62" s="3" t="s">
        <v>95</v>
      </c>
      <c r="D62" s="3" t="s">
        <v>36</v>
      </c>
      <c r="E62" s="3" t="s">
        <v>127</v>
      </c>
      <c r="F62" s="3" t="s">
        <v>135</v>
      </c>
      <c r="G62" s="3" t="s">
        <v>146</v>
      </c>
      <c r="H62" s="3">
        <v>1563</v>
      </c>
      <c r="I62" s="3" t="s">
        <v>133</v>
      </c>
      <c r="J62" s="5">
        <v>1</v>
      </c>
      <c r="K62" s="3" t="s">
        <v>14</v>
      </c>
      <c r="L62" s="3" t="s">
        <v>198</v>
      </c>
    </row>
    <row r="63" spans="1:12" x14ac:dyDescent="0.3">
      <c r="A63" s="3" t="s">
        <v>259</v>
      </c>
      <c r="B63" s="4">
        <v>46102</v>
      </c>
      <c r="C63" s="3" t="s">
        <v>96</v>
      </c>
      <c r="D63" s="3" t="s">
        <v>36</v>
      </c>
      <c r="E63" s="3" t="s">
        <v>134</v>
      </c>
      <c r="F63" s="3" t="s">
        <v>135</v>
      </c>
      <c r="G63" s="3" t="s">
        <v>130</v>
      </c>
      <c r="H63" s="3">
        <v>91935</v>
      </c>
      <c r="I63" s="3" t="s">
        <v>133</v>
      </c>
      <c r="J63" s="5">
        <v>1</v>
      </c>
      <c r="K63" s="3" t="s">
        <v>14</v>
      </c>
      <c r="L63" s="3" t="s">
        <v>200</v>
      </c>
    </row>
    <row r="64" spans="1:12" x14ac:dyDescent="0.3">
      <c r="A64" s="3" t="s">
        <v>260</v>
      </c>
      <c r="B64" s="4">
        <v>46055</v>
      </c>
      <c r="C64" s="3" t="s">
        <v>84</v>
      </c>
      <c r="D64" s="3" t="s">
        <v>33</v>
      </c>
      <c r="E64" s="3" t="s">
        <v>141</v>
      </c>
      <c r="F64" s="3" t="s">
        <v>135</v>
      </c>
      <c r="G64" s="3" t="s">
        <v>182</v>
      </c>
      <c r="H64" s="3">
        <v>3817</v>
      </c>
      <c r="I64" s="3" t="s">
        <v>162</v>
      </c>
      <c r="J64" s="5">
        <v>1</v>
      </c>
      <c r="K64" s="3" t="s">
        <v>14</v>
      </c>
      <c r="L64" s="3" t="s">
        <v>214</v>
      </c>
    </row>
    <row r="65" spans="1:12" x14ac:dyDescent="0.3">
      <c r="A65" s="3" t="s">
        <v>261</v>
      </c>
      <c r="B65" s="4">
        <v>46088</v>
      </c>
      <c r="C65" s="3" t="s">
        <v>99</v>
      </c>
      <c r="D65" s="3" t="s">
        <v>25</v>
      </c>
      <c r="E65" s="3" t="s">
        <v>149</v>
      </c>
      <c r="F65" s="3" t="s">
        <v>135</v>
      </c>
      <c r="G65" s="3" t="s">
        <v>177</v>
      </c>
      <c r="H65" s="3">
        <v>37546</v>
      </c>
      <c r="I65" s="3" t="s">
        <v>162</v>
      </c>
      <c r="J65" s="5">
        <v>1</v>
      </c>
      <c r="K65" s="3" t="s">
        <v>14</v>
      </c>
      <c r="L65" s="3" t="s">
        <v>200</v>
      </c>
    </row>
    <row r="66" spans="1:12" x14ac:dyDescent="0.3">
      <c r="A66" s="3" t="s">
        <v>262</v>
      </c>
      <c r="B66" s="4">
        <v>46124</v>
      </c>
      <c r="C66" s="3" t="s">
        <v>67</v>
      </c>
      <c r="D66" s="3" t="s">
        <v>55</v>
      </c>
      <c r="E66" s="3" t="s">
        <v>149</v>
      </c>
      <c r="F66" s="3" t="s">
        <v>135</v>
      </c>
      <c r="G66" s="3" t="s">
        <v>160</v>
      </c>
      <c r="H66" s="3">
        <v>72269</v>
      </c>
      <c r="I66" s="3" t="s">
        <v>162</v>
      </c>
      <c r="J66" s="5">
        <v>1</v>
      </c>
      <c r="K66" s="3" t="s">
        <v>14</v>
      </c>
      <c r="L66" s="3" t="s">
        <v>214</v>
      </c>
    </row>
    <row r="67" spans="1:12" x14ac:dyDescent="0.3">
      <c r="A67" s="3" t="s">
        <v>263</v>
      </c>
      <c r="B67" s="4">
        <v>46082</v>
      </c>
      <c r="C67" s="3" t="s">
        <v>62</v>
      </c>
      <c r="D67" s="3" t="s">
        <v>25</v>
      </c>
      <c r="E67" s="3" t="s">
        <v>134</v>
      </c>
      <c r="F67" s="3" t="s">
        <v>135</v>
      </c>
      <c r="G67" s="3" t="s">
        <v>136</v>
      </c>
      <c r="H67" s="3">
        <v>7861</v>
      </c>
      <c r="I67" s="3" t="s">
        <v>133</v>
      </c>
      <c r="J67" s="5">
        <v>1</v>
      </c>
      <c r="K67" s="3" t="s">
        <v>14</v>
      </c>
      <c r="L67" s="3" t="s">
        <v>198</v>
      </c>
    </row>
    <row r="68" spans="1:12" x14ac:dyDescent="0.3">
      <c r="A68" s="3" t="s">
        <v>264</v>
      </c>
      <c r="B68" s="4">
        <v>46100</v>
      </c>
      <c r="C68" s="3" t="s">
        <v>78</v>
      </c>
      <c r="D68" s="3" t="s">
        <v>33</v>
      </c>
      <c r="E68" s="3" t="s">
        <v>127</v>
      </c>
      <c r="F68" s="3" t="s">
        <v>128</v>
      </c>
      <c r="G68" s="3" t="s">
        <v>123</v>
      </c>
      <c r="H68" s="3">
        <v>4012</v>
      </c>
      <c r="I68" s="3" t="s">
        <v>126</v>
      </c>
      <c r="J68" s="5">
        <v>1</v>
      </c>
      <c r="K68" s="3" t="s">
        <v>14</v>
      </c>
      <c r="L68" s="3" t="s">
        <v>200</v>
      </c>
    </row>
    <row r="69" spans="1:12" x14ac:dyDescent="0.3">
      <c r="A69" s="3" t="s">
        <v>265</v>
      </c>
      <c r="B69" s="4">
        <v>46091</v>
      </c>
      <c r="C69" s="3" t="s">
        <v>92</v>
      </c>
      <c r="D69" s="3" t="s">
        <v>40</v>
      </c>
      <c r="E69" s="3" t="s">
        <v>141</v>
      </c>
      <c r="F69" s="3" t="s">
        <v>135</v>
      </c>
      <c r="G69" s="3" t="s">
        <v>157</v>
      </c>
      <c r="H69" s="3">
        <v>40919</v>
      </c>
      <c r="I69" s="3" t="s">
        <v>133</v>
      </c>
      <c r="J69" s="5">
        <v>1</v>
      </c>
      <c r="K69" s="3" t="s">
        <v>14</v>
      </c>
      <c r="L69" s="3" t="s">
        <v>198</v>
      </c>
    </row>
    <row r="70" spans="1:12" x14ac:dyDescent="0.3">
      <c r="A70" s="3" t="s">
        <v>266</v>
      </c>
      <c r="B70" s="4">
        <v>46035</v>
      </c>
      <c r="C70" s="3" t="s">
        <v>105</v>
      </c>
      <c r="D70" s="3" t="s">
        <v>55</v>
      </c>
      <c r="E70" s="3" t="s">
        <v>127</v>
      </c>
      <c r="F70" s="3" t="s">
        <v>128</v>
      </c>
      <c r="G70" s="3" t="s">
        <v>152</v>
      </c>
      <c r="H70" s="3">
        <v>2875</v>
      </c>
      <c r="I70" s="3" t="s">
        <v>126</v>
      </c>
      <c r="J70" s="5">
        <v>1</v>
      </c>
      <c r="K70" s="3" t="s">
        <v>14</v>
      </c>
      <c r="L70" s="3" t="s">
        <v>198</v>
      </c>
    </row>
    <row r="71" spans="1:12" x14ac:dyDescent="0.3">
      <c r="A71" s="3" t="s">
        <v>267</v>
      </c>
      <c r="B71" s="4">
        <v>46049</v>
      </c>
      <c r="C71" s="3" t="s">
        <v>100</v>
      </c>
      <c r="D71" s="3" t="s">
        <v>36</v>
      </c>
      <c r="E71" s="3" t="s">
        <v>149</v>
      </c>
      <c r="F71" s="3" t="s">
        <v>135</v>
      </c>
      <c r="G71" s="3" t="s">
        <v>160</v>
      </c>
      <c r="H71" s="3">
        <v>106693</v>
      </c>
      <c r="I71" s="3" t="s">
        <v>162</v>
      </c>
      <c r="J71" s="5">
        <v>1</v>
      </c>
      <c r="K71" s="3" t="s">
        <v>14</v>
      </c>
      <c r="L71" s="3" t="s">
        <v>200</v>
      </c>
    </row>
    <row r="72" spans="1:12" x14ac:dyDescent="0.3">
      <c r="A72" s="3" t="s">
        <v>268</v>
      </c>
      <c r="B72" s="4">
        <v>46105</v>
      </c>
      <c r="C72" s="3" t="s">
        <v>46</v>
      </c>
      <c r="D72" s="3" t="s">
        <v>28</v>
      </c>
      <c r="E72" s="3" t="s">
        <v>149</v>
      </c>
      <c r="F72" s="3" t="s">
        <v>135</v>
      </c>
      <c r="G72" s="3" t="s">
        <v>176</v>
      </c>
      <c r="H72" s="3">
        <v>71128</v>
      </c>
      <c r="I72" s="3" t="s">
        <v>174</v>
      </c>
      <c r="J72" s="5">
        <v>1</v>
      </c>
      <c r="K72" s="3" t="s">
        <v>14</v>
      </c>
      <c r="L72" s="3" t="s">
        <v>214</v>
      </c>
    </row>
    <row r="73" spans="1:12" x14ac:dyDescent="0.3">
      <c r="A73" s="3" t="s">
        <v>269</v>
      </c>
      <c r="B73" s="4">
        <v>46058</v>
      </c>
      <c r="C73" s="3" t="s">
        <v>79</v>
      </c>
      <c r="D73" s="3" t="s">
        <v>36</v>
      </c>
      <c r="E73" s="3" t="s">
        <v>141</v>
      </c>
      <c r="F73" s="3" t="s">
        <v>135</v>
      </c>
      <c r="G73" s="3" t="s">
        <v>170</v>
      </c>
      <c r="H73" s="3">
        <v>37756</v>
      </c>
      <c r="I73" s="3" t="s">
        <v>133</v>
      </c>
      <c r="J73" s="5">
        <v>1</v>
      </c>
      <c r="K73" s="3" t="s">
        <v>14</v>
      </c>
      <c r="L73" s="3" t="s">
        <v>200</v>
      </c>
    </row>
    <row r="74" spans="1:12" x14ac:dyDescent="0.3">
      <c r="A74" s="3" t="s">
        <v>270</v>
      </c>
      <c r="B74" s="4">
        <v>46079</v>
      </c>
      <c r="C74" s="3" t="s">
        <v>58</v>
      </c>
      <c r="D74" s="3" t="s">
        <v>28</v>
      </c>
      <c r="E74" s="3" t="s">
        <v>141</v>
      </c>
      <c r="F74" s="3" t="s">
        <v>135</v>
      </c>
      <c r="G74" s="3" t="s">
        <v>139</v>
      </c>
      <c r="H74" s="3">
        <v>45066</v>
      </c>
      <c r="I74" s="3" t="s">
        <v>133</v>
      </c>
      <c r="J74" s="5">
        <v>1</v>
      </c>
      <c r="K74" s="3" t="s">
        <v>14</v>
      </c>
      <c r="L74" s="3" t="s">
        <v>200</v>
      </c>
    </row>
    <row r="75" spans="1:12" x14ac:dyDescent="0.3">
      <c r="A75" s="3" t="s">
        <v>271</v>
      </c>
      <c r="B75" s="4">
        <v>46043</v>
      </c>
      <c r="C75" s="3" t="s">
        <v>34</v>
      </c>
      <c r="D75" s="3" t="s">
        <v>36</v>
      </c>
      <c r="E75" s="3" t="s">
        <v>141</v>
      </c>
      <c r="F75" s="3" t="s">
        <v>135</v>
      </c>
      <c r="G75" s="3" t="s">
        <v>170</v>
      </c>
      <c r="H75" s="3">
        <v>16972</v>
      </c>
      <c r="I75" s="3" t="s">
        <v>133</v>
      </c>
      <c r="J75" s="5">
        <v>1</v>
      </c>
      <c r="K75" s="3" t="s">
        <v>14</v>
      </c>
      <c r="L75" s="3" t="s">
        <v>214</v>
      </c>
    </row>
    <row r="76" spans="1:12" x14ac:dyDescent="0.3">
      <c r="A76" s="3" t="s">
        <v>272</v>
      </c>
      <c r="B76" s="4">
        <v>46037</v>
      </c>
      <c r="C76" s="3" t="s">
        <v>34</v>
      </c>
      <c r="D76" s="3" t="s">
        <v>36</v>
      </c>
      <c r="E76" s="3" t="s">
        <v>149</v>
      </c>
      <c r="F76" s="3" t="s">
        <v>135</v>
      </c>
      <c r="G76" s="3" t="s">
        <v>160</v>
      </c>
      <c r="H76" s="3">
        <v>68333</v>
      </c>
      <c r="I76" s="3" t="s">
        <v>162</v>
      </c>
      <c r="J76" s="5">
        <v>1</v>
      </c>
      <c r="K76" s="3" t="s">
        <v>14</v>
      </c>
      <c r="L76" s="3" t="s">
        <v>200</v>
      </c>
    </row>
    <row r="77" spans="1:12" x14ac:dyDescent="0.3">
      <c r="A77" s="3" t="s">
        <v>273</v>
      </c>
      <c r="B77" s="4">
        <v>46074</v>
      </c>
      <c r="C77" s="3" t="s">
        <v>62</v>
      </c>
      <c r="D77" s="3" t="s">
        <v>25</v>
      </c>
      <c r="E77" s="3" t="s">
        <v>134</v>
      </c>
      <c r="F77" s="3" t="s">
        <v>135</v>
      </c>
      <c r="G77" s="3" t="s">
        <v>181</v>
      </c>
      <c r="H77" s="3">
        <v>8640</v>
      </c>
      <c r="I77" s="3" t="s">
        <v>126</v>
      </c>
      <c r="J77" s="5">
        <v>4.13</v>
      </c>
      <c r="K77" s="3" t="s">
        <v>191</v>
      </c>
      <c r="L77" s="3" t="s">
        <v>214</v>
      </c>
    </row>
    <row r="78" spans="1:12" x14ac:dyDescent="0.3">
      <c r="A78" s="3" t="s">
        <v>274</v>
      </c>
      <c r="B78" s="4">
        <v>46144</v>
      </c>
      <c r="C78" s="3" t="s">
        <v>19</v>
      </c>
      <c r="D78" s="3" t="s">
        <v>21</v>
      </c>
      <c r="E78" s="3" t="s">
        <v>127</v>
      </c>
      <c r="F78" s="3" t="s">
        <v>135</v>
      </c>
      <c r="G78" s="3" t="s">
        <v>163</v>
      </c>
      <c r="H78" s="3">
        <v>840</v>
      </c>
      <c r="I78" s="3" t="s">
        <v>133</v>
      </c>
      <c r="J78" s="5">
        <v>3.19</v>
      </c>
      <c r="K78" s="3" t="s">
        <v>191</v>
      </c>
      <c r="L78" s="3" t="s">
        <v>195</v>
      </c>
    </row>
    <row r="79" spans="1:12" x14ac:dyDescent="0.3">
      <c r="A79" s="3" t="s">
        <v>275</v>
      </c>
      <c r="B79" s="4">
        <v>46109</v>
      </c>
      <c r="C79" s="3" t="s">
        <v>102</v>
      </c>
      <c r="D79" s="3" t="s">
        <v>28</v>
      </c>
      <c r="E79" s="3" t="s">
        <v>141</v>
      </c>
      <c r="F79" s="3" t="s">
        <v>135</v>
      </c>
      <c r="G79" s="3" t="s">
        <v>139</v>
      </c>
      <c r="H79" s="3">
        <v>33511</v>
      </c>
      <c r="I79" s="3" t="s">
        <v>133</v>
      </c>
      <c r="J79" s="5">
        <v>1</v>
      </c>
      <c r="K79" s="3" t="s">
        <v>14</v>
      </c>
      <c r="L79" s="3" t="s">
        <v>200</v>
      </c>
    </row>
    <row r="80" spans="1:12" x14ac:dyDescent="0.3">
      <c r="A80" s="3" t="s">
        <v>276</v>
      </c>
      <c r="B80" s="4">
        <v>46042</v>
      </c>
      <c r="C80" s="3" t="s">
        <v>95</v>
      </c>
      <c r="D80" s="3" t="s">
        <v>36</v>
      </c>
      <c r="E80" s="3" t="s">
        <v>127</v>
      </c>
      <c r="F80" s="3" t="s">
        <v>135</v>
      </c>
      <c r="G80" s="3" t="s">
        <v>146</v>
      </c>
      <c r="H80" s="3">
        <v>1563</v>
      </c>
      <c r="I80" s="3" t="s">
        <v>133</v>
      </c>
      <c r="J80" s="5">
        <v>1</v>
      </c>
      <c r="K80" s="3" t="s">
        <v>14</v>
      </c>
      <c r="L80" s="3" t="s">
        <v>198</v>
      </c>
    </row>
    <row r="81" spans="1:12" x14ac:dyDescent="0.3">
      <c r="A81" s="3" t="s">
        <v>277</v>
      </c>
      <c r="B81" s="4">
        <v>46090</v>
      </c>
      <c r="C81" s="3" t="s">
        <v>57</v>
      </c>
      <c r="D81" s="3" t="s">
        <v>17</v>
      </c>
      <c r="E81" s="3" t="s">
        <v>141</v>
      </c>
      <c r="F81" s="3" t="s">
        <v>135</v>
      </c>
      <c r="G81" s="3" t="s">
        <v>150</v>
      </c>
      <c r="H81" s="3">
        <v>2093</v>
      </c>
      <c r="I81" s="3" t="s">
        <v>133</v>
      </c>
      <c r="J81" s="5">
        <v>0.26</v>
      </c>
      <c r="K81" s="3" t="s">
        <v>191</v>
      </c>
      <c r="L81" s="3" t="s">
        <v>200</v>
      </c>
    </row>
    <row r="82" spans="1:12" x14ac:dyDescent="0.3">
      <c r="A82" s="3" t="s">
        <v>278</v>
      </c>
      <c r="B82" s="4">
        <v>46042</v>
      </c>
      <c r="C82" s="3" t="s">
        <v>34</v>
      </c>
      <c r="D82" s="3" t="s">
        <v>36</v>
      </c>
      <c r="E82" s="3" t="s">
        <v>141</v>
      </c>
      <c r="F82" s="3" t="s">
        <v>135</v>
      </c>
      <c r="G82" s="3" t="s">
        <v>182</v>
      </c>
      <c r="H82" s="3">
        <v>5744</v>
      </c>
      <c r="I82" s="3" t="s">
        <v>162</v>
      </c>
      <c r="J82" s="5">
        <v>1</v>
      </c>
      <c r="K82" s="3" t="s">
        <v>14</v>
      </c>
      <c r="L82" s="3" t="s">
        <v>200</v>
      </c>
    </row>
    <row r="83" spans="1:12" x14ac:dyDescent="0.3">
      <c r="A83" s="3" t="s">
        <v>279</v>
      </c>
      <c r="B83" s="4">
        <v>46096</v>
      </c>
      <c r="C83" s="3" t="s">
        <v>93</v>
      </c>
      <c r="D83" s="3" t="s">
        <v>66</v>
      </c>
      <c r="E83" s="3" t="s">
        <v>144</v>
      </c>
      <c r="F83" s="3" t="s">
        <v>135</v>
      </c>
      <c r="G83" s="3" t="s">
        <v>142</v>
      </c>
      <c r="H83" s="3">
        <v>54028</v>
      </c>
      <c r="I83" s="3" t="s">
        <v>133</v>
      </c>
      <c r="J83" s="5">
        <v>1.65</v>
      </c>
      <c r="K83" s="3" t="s">
        <v>191</v>
      </c>
      <c r="L83" s="3" t="s">
        <v>200</v>
      </c>
    </row>
    <row r="84" spans="1:12" x14ac:dyDescent="0.3">
      <c r="A84" s="3" t="s">
        <v>280</v>
      </c>
      <c r="B84" s="4">
        <v>46092</v>
      </c>
      <c r="C84" s="3" t="s">
        <v>92</v>
      </c>
      <c r="D84" s="3" t="s">
        <v>40</v>
      </c>
      <c r="E84" s="3" t="s">
        <v>141</v>
      </c>
      <c r="F84" s="3" t="s">
        <v>135</v>
      </c>
      <c r="G84" s="3" t="s">
        <v>157</v>
      </c>
      <c r="H84" s="3">
        <v>40919</v>
      </c>
      <c r="I84" s="3" t="s">
        <v>133</v>
      </c>
      <c r="J84" s="5">
        <v>1</v>
      </c>
      <c r="K84" s="3" t="s">
        <v>14</v>
      </c>
      <c r="L84" s="3" t="s">
        <v>198</v>
      </c>
    </row>
    <row r="85" spans="1:12" x14ac:dyDescent="0.3">
      <c r="A85" s="3" t="s">
        <v>281</v>
      </c>
      <c r="B85" s="4">
        <v>46041</v>
      </c>
      <c r="C85" s="3" t="s">
        <v>49</v>
      </c>
      <c r="D85" s="3" t="s">
        <v>28</v>
      </c>
      <c r="E85" s="3" t="s">
        <v>149</v>
      </c>
      <c r="F85" s="3" t="s">
        <v>135</v>
      </c>
      <c r="G85" s="3" t="s">
        <v>176</v>
      </c>
      <c r="H85" s="3">
        <v>72259</v>
      </c>
      <c r="I85" s="3" t="s">
        <v>174</v>
      </c>
      <c r="J85" s="5">
        <v>1</v>
      </c>
      <c r="K85" s="3" t="s">
        <v>14</v>
      </c>
      <c r="L85" s="3" t="s">
        <v>195</v>
      </c>
    </row>
    <row r="86" spans="1:12" x14ac:dyDescent="0.3">
      <c r="A86" s="3" t="s">
        <v>282</v>
      </c>
      <c r="B86" s="4">
        <v>46047</v>
      </c>
      <c r="C86" s="3" t="s">
        <v>100</v>
      </c>
      <c r="D86" s="3" t="s">
        <v>36</v>
      </c>
      <c r="E86" s="3" t="s">
        <v>141</v>
      </c>
      <c r="F86" s="3" t="s">
        <v>135</v>
      </c>
      <c r="G86" s="3" t="s">
        <v>170</v>
      </c>
      <c r="H86" s="3">
        <v>26500</v>
      </c>
      <c r="I86" s="3" t="s">
        <v>133</v>
      </c>
      <c r="J86" s="5">
        <v>1</v>
      </c>
      <c r="K86" s="3" t="s">
        <v>14</v>
      </c>
      <c r="L86" s="3" t="s">
        <v>214</v>
      </c>
    </row>
    <row r="87" spans="1:12" x14ac:dyDescent="0.3">
      <c r="A87" s="3" t="s">
        <v>283</v>
      </c>
      <c r="B87" s="4">
        <v>46044</v>
      </c>
      <c r="C87" s="3" t="s">
        <v>98</v>
      </c>
      <c r="D87" s="3" t="s">
        <v>55</v>
      </c>
      <c r="E87" s="3" t="s">
        <v>141</v>
      </c>
      <c r="F87" s="3" t="s">
        <v>135</v>
      </c>
      <c r="G87" s="3" t="s">
        <v>167</v>
      </c>
      <c r="H87" s="3">
        <v>888</v>
      </c>
      <c r="I87" s="3" t="s">
        <v>126</v>
      </c>
      <c r="J87" s="5">
        <v>1</v>
      </c>
      <c r="K87" s="3" t="s">
        <v>14</v>
      </c>
      <c r="L87" s="3" t="s">
        <v>214</v>
      </c>
    </row>
    <row r="88" spans="1:12" x14ac:dyDescent="0.3">
      <c r="A88" s="3" t="s">
        <v>284</v>
      </c>
      <c r="B88" s="4">
        <v>46101</v>
      </c>
      <c r="C88" s="3" t="s">
        <v>75</v>
      </c>
      <c r="D88" s="3" t="s">
        <v>55</v>
      </c>
      <c r="E88" s="3" t="s">
        <v>141</v>
      </c>
      <c r="F88" s="3" t="s">
        <v>135</v>
      </c>
      <c r="G88" s="3" t="s">
        <v>184</v>
      </c>
      <c r="H88" s="3">
        <v>22234</v>
      </c>
      <c r="I88" s="3" t="s">
        <v>174</v>
      </c>
      <c r="J88" s="5">
        <v>3.06</v>
      </c>
      <c r="K88" s="3" t="s">
        <v>191</v>
      </c>
      <c r="L88" s="3" t="s">
        <v>198</v>
      </c>
    </row>
    <row r="89" spans="1:12" x14ac:dyDescent="0.3">
      <c r="A89" s="3" t="s">
        <v>285</v>
      </c>
      <c r="B89" s="4">
        <v>46050</v>
      </c>
      <c r="C89" s="3" t="s">
        <v>114</v>
      </c>
      <c r="D89" s="3" t="s">
        <v>66</v>
      </c>
      <c r="E89" s="3" t="s">
        <v>141</v>
      </c>
      <c r="F89" s="3" t="s">
        <v>135</v>
      </c>
      <c r="G89" s="3" t="s">
        <v>157</v>
      </c>
      <c r="H89" s="3">
        <v>104341</v>
      </c>
      <c r="I89" s="3" t="s">
        <v>133</v>
      </c>
      <c r="J89" s="5">
        <v>1</v>
      </c>
      <c r="K89" s="3" t="s">
        <v>14</v>
      </c>
      <c r="L89" s="3" t="s">
        <v>214</v>
      </c>
    </row>
    <row r="90" spans="1:12" x14ac:dyDescent="0.3">
      <c r="A90" s="3" t="s">
        <v>286</v>
      </c>
      <c r="B90" s="4">
        <v>46042</v>
      </c>
      <c r="C90" s="3" t="s">
        <v>105</v>
      </c>
      <c r="D90" s="3" t="s">
        <v>55</v>
      </c>
      <c r="E90" s="3" t="s">
        <v>149</v>
      </c>
      <c r="F90" s="3" t="s">
        <v>135</v>
      </c>
      <c r="G90" s="3" t="s">
        <v>177</v>
      </c>
      <c r="H90" s="3">
        <v>14029</v>
      </c>
      <c r="I90" s="3" t="s">
        <v>162</v>
      </c>
      <c r="J90" s="5">
        <v>1</v>
      </c>
      <c r="K90" s="3" t="s">
        <v>14</v>
      </c>
      <c r="L90" s="3" t="s">
        <v>214</v>
      </c>
    </row>
    <row r="91" spans="1:12" x14ac:dyDescent="0.3">
      <c r="A91" s="3" t="s">
        <v>287</v>
      </c>
      <c r="B91" s="4">
        <v>46118</v>
      </c>
      <c r="C91" s="3" t="s">
        <v>89</v>
      </c>
      <c r="D91" s="3" t="s">
        <v>33</v>
      </c>
      <c r="E91" s="3" t="s">
        <v>144</v>
      </c>
      <c r="F91" s="3" t="s">
        <v>135</v>
      </c>
      <c r="G91" s="3" t="s">
        <v>142</v>
      </c>
      <c r="H91" s="3">
        <v>76819</v>
      </c>
      <c r="I91" s="3" t="s">
        <v>133</v>
      </c>
      <c r="J91" s="5">
        <v>1.65</v>
      </c>
      <c r="K91" s="3" t="s">
        <v>191</v>
      </c>
      <c r="L91" s="3" t="s">
        <v>198</v>
      </c>
    </row>
    <row r="92" spans="1:12" x14ac:dyDescent="0.3">
      <c r="A92" s="3" t="s">
        <v>288</v>
      </c>
      <c r="B92" s="4">
        <v>46101</v>
      </c>
      <c r="C92" s="3" t="s">
        <v>94</v>
      </c>
      <c r="D92" s="3" t="s">
        <v>28</v>
      </c>
      <c r="E92" s="3" t="s">
        <v>134</v>
      </c>
      <c r="F92" s="3" t="s">
        <v>135</v>
      </c>
      <c r="G92" s="3" t="s">
        <v>181</v>
      </c>
      <c r="H92" s="3">
        <v>5516</v>
      </c>
      <c r="I92" s="3" t="s">
        <v>126</v>
      </c>
      <c r="J92" s="5">
        <v>4.13</v>
      </c>
      <c r="K92" s="3" t="s">
        <v>191</v>
      </c>
      <c r="L92" s="3" t="s">
        <v>195</v>
      </c>
    </row>
    <row r="93" spans="1:12" x14ac:dyDescent="0.3">
      <c r="A93" s="3" t="s">
        <v>289</v>
      </c>
      <c r="B93" s="4">
        <v>46045</v>
      </c>
      <c r="C93" s="3" t="s">
        <v>54</v>
      </c>
      <c r="D93" s="3" t="s">
        <v>55</v>
      </c>
      <c r="E93" s="3" t="s">
        <v>149</v>
      </c>
      <c r="F93" s="3" t="s">
        <v>135</v>
      </c>
      <c r="G93" s="3" t="s">
        <v>160</v>
      </c>
      <c r="H93" s="3">
        <v>49472</v>
      </c>
      <c r="I93" s="3" t="s">
        <v>162</v>
      </c>
      <c r="J93" s="5">
        <v>1</v>
      </c>
      <c r="K93" s="3" t="s">
        <v>14</v>
      </c>
      <c r="L93" s="3" t="s">
        <v>214</v>
      </c>
    </row>
    <row r="94" spans="1:12" x14ac:dyDescent="0.3">
      <c r="A94" s="3" t="s">
        <v>290</v>
      </c>
      <c r="B94" s="4">
        <v>46101</v>
      </c>
      <c r="C94" s="3" t="s">
        <v>27</v>
      </c>
      <c r="D94" s="3" t="s">
        <v>28</v>
      </c>
      <c r="E94" s="3" t="s">
        <v>149</v>
      </c>
      <c r="F94" s="3" t="s">
        <v>135</v>
      </c>
      <c r="G94" s="3" t="s">
        <v>148</v>
      </c>
      <c r="H94" s="3">
        <v>10228</v>
      </c>
      <c r="I94" s="3" t="s">
        <v>133</v>
      </c>
      <c r="J94" s="5">
        <v>1</v>
      </c>
      <c r="K94" s="3" t="s">
        <v>14</v>
      </c>
      <c r="L94" s="3" t="s">
        <v>195</v>
      </c>
    </row>
    <row r="95" spans="1:12" x14ac:dyDescent="0.3">
      <c r="A95" s="3" t="s">
        <v>291</v>
      </c>
      <c r="B95" s="4">
        <v>46091</v>
      </c>
      <c r="C95" s="3" t="s">
        <v>57</v>
      </c>
      <c r="D95" s="3" t="s">
        <v>17</v>
      </c>
      <c r="E95" s="3" t="s">
        <v>127</v>
      </c>
      <c r="F95" s="3" t="s">
        <v>135</v>
      </c>
      <c r="G95" s="3" t="s">
        <v>151</v>
      </c>
      <c r="H95" s="3">
        <v>48883</v>
      </c>
      <c r="I95" s="3" t="s">
        <v>133</v>
      </c>
      <c r="J95" s="5">
        <v>1</v>
      </c>
      <c r="K95" s="3" t="s">
        <v>14</v>
      </c>
      <c r="L95" s="3" t="s">
        <v>195</v>
      </c>
    </row>
    <row r="96" spans="1:12" x14ac:dyDescent="0.3">
      <c r="A96" s="3" t="s">
        <v>292</v>
      </c>
      <c r="B96" s="4">
        <v>46046</v>
      </c>
      <c r="C96" s="3" t="s">
        <v>95</v>
      </c>
      <c r="D96" s="3" t="s">
        <v>36</v>
      </c>
      <c r="E96" s="3" t="s">
        <v>141</v>
      </c>
      <c r="F96" s="3" t="s">
        <v>135</v>
      </c>
      <c r="G96" s="3" t="s">
        <v>182</v>
      </c>
      <c r="H96" s="3">
        <v>4523</v>
      </c>
      <c r="I96" s="3" t="s">
        <v>162</v>
      </c>
      <c r="J96" s="5">
        <v>1</v>
      </c>
      <c r="K96" s="3" t="s">
        <v>14</v>
      </c>
      <c r="L96" s="3" t="s">
        <v>214</v>
      </c>
    </row>
    <row r="97" spans="1:12" x14ac:dyDescent="0.3">
      <c r="A97" s="3" t="s">
        <v>293</v>
      </c>
      <c r="B97" s="4">
        <v>46082</v>
      </c>
      <c r="C97" s="3" t="s">
        <v>99</v>
      </c>
      <c r="D97" s="3" t="s">
        <v>25</v>
      </c>
      <c r="E97" s="3" t="s">
        <v>134</v>
      </c>
      <c r="F97" s="3" t="s">
        <v>135</v>
      </c>
      <c r="G97" s="3" t="s">
        <v>181</v>
      </c>
      <c r="H97" s="3">
        <v>6556</v>
      </c>
      <c r="I97" s="3" t="s">
        <v>126</v>
      </c>
      <c r="J97" s="5">
        <v>4.13</v>
      </c>
      <c r="K97" s="3" t="s">
        <v>191</v>
      </c>
      <c r="L97" s="3" t="s">
        <v>214</v>
      </c>
    </row>
    <row r="98" spans="1:12" x14ac:dyDescent="0.3">
      <c r="A98" s="3" t="s">
        <v>294</v>
      </c>
      <c r="B98" s="4">
        <v>46135</v>
      </c>
      <c r="C98" s="3" t="s">
        <v>81</v>
      </c>
      <c r="D98" s="3" t="s">
        <v>25</v>
      </c>
      <c r="E98" s="3" t="s">
        <v>149</v>
      </c>
      <c r="F98" s="3" t="s">
        <v>135</v>
      </c>
      <c r="G98" s="3" t="s">
        <v>177</v>
      </c>
      <c r="H98" s="3">
        <v>66082</v>
      </c>
      <c r="I98" s="3" t="s">
        <v>162</v>
      </c>
      <c r="J98" s="5">
        <v>1</v>
      </c>
      <c r="K98" s="3" t="s">
        <v>14</v>
      </c>
      <c r="L98" s="3" t="s">
        <v>200</v>
      </c>
    </row>
    <row r="99" spans="1:12" x14ac:dyDescent="0.3">
      <c r="A99" s="3" t="s">
        <v>295</v>
      </c>
      <c r="B99" s="4">
        <v>46081</v>
      </c>
      <c r="C99" s="3" t="s">
        <v>62</v>
      </c>
      <c r="D99" s="3" t="s">
        <v>25</v>
      </c>
      <c r="E99" s="3" t="s">
        <v>144</v>
      </c>
      <c r="F99" s="3" t="s">
        <v>135</v>
      </c>
      <c r="G99" s="3" t="s">
        <v>142</v>
      </c>
      <c r="H99" s="3">
        <v>25055</v>
      </c>
      <c r="I99" s="3" t="s">
        <v>133</v>
      </c>
      <c r="J99" s="5">
        <v>1.65</v>
      </c>
      <c r="K99" s="3" t="s">
        <v>191</v>
      </c>
      <c r="L99" s="3" t="s">
        <v>214</v>
      </c>
    </row>
    <row r="100" spans="1:12" x14ac:dyDescent="0.3">
      <c r="A100" s="3" t="s">
        <v>296</v>
      </c>
      <c r="B100" s="4">
        <v>46076</v>
      </c>
      <c r="C100" s="3" t="s">
        <v>58</v>
      </c>
      <c r="D100" s="3" t="s">
        <v>28</v>
      </c>
      <c r="E100" s="3" t="s">
        <v>141</v>
      </c>
      <c r="F100" s="3" t="s">
        <v>135</v>
      </c>
      <c r="G100" s="3" t="s">
        <v>172</v>
      </c>
      <c r="H100" s="3">
        <v>75488</v>
      </c>
      <c r="I100" s="3" t="s">
        <v>174</v>
      </c>
      <c r="J100" s="5">
        <v>0.21</v>
      </c>
      <c r="K100" s="3" t="s">
        <v>191</v>
      </c>
      <c r="L100" s="3" t="s">
        <v>200</v>
      </c>
    </row>
    <row r="101" spans="1:12" x14ac:dyDescent="0.3">
      <c r="A101" s="3" t="s">
        <v>297</v>
      </c>
      <c r="B101" s="4">
        <v>46031</v>
      </c>
      <c r="C101" s="3" t="s">
        <v>73</v>
      </c>
      <c r="D101" s="3" t="s">
        <v>21</v>
      </c>
      <c r="E101" s="3" t="s">
        <v>141</v>
      </c>
      <c r="F101" s="3" t="s">
        <v>135</v>
      </c>
      <c r="G101" s="3" t="s">
        <v>139</v>
      </c>
      <c r="H101" s="3">
        <v>107336</v>
      </c>
      <c r="I101" s="3" t="s">
        <v>133</v>
      </c>
      <c r="J101" s="5">
        <v>1</v>
      </c>
      <c r="K101" s="3" t="s">
        <v>14</v>
      </c>
      <c r="L101" s="3" t="s">
        <v>214</v>
      </c>
    </row>
    <row r="102" spans="1:12" x14ac:dyDescent="0.3">
      <c r="A102" s="3" t="s">
        <v>298</v>
      </c>
      <c r="B102" s="4">
        <v>46063</v>
      </c>
      <c r="C102" s="3" t="s">
        <v>82</v>
      </c>
      <c r="D102" s="3" t="s">
        <v>25</v>
      </c>
      <c r="E102" s="3" t="s">
        <v>127</v>
      </c>
      <c r="F102" s="3" t="s">
        <v>128</v>
      </c>
      <c r="G102" s="3" t="s">
        <v>152</v>
      </c>
      <c r="H102" s="3">
        <v>1685</v>
      </c>
      <c r="I102" s="3" t="s">
        <v>126</v>
      </c>
      <c r="J102" s="5">
        <v>1</v>
      </c>
      <c r="K102" s="3" t="s">
        <v>14</v>
      </c>
      <c r="L102" s="3" t="s">
        <v>195</v>
      </c>
    </row>
    <row r="103" spans="1:12" x14ac:dyDescent="0.3">
      <c r="A103" s="3" t="s">
        <v>299</v>
      </c>
      <c r="B103" s="4">
        <v>46039</v>
      </c>
      <c r="C103" s="3" t="s">
        <v>105</v>
      </c>
      <c r="D103" s="3" t="s">
        <v>55</v>
      </c>
      <c r="E103" s="3" t="s">
        <v>149</v>
      </c>
      <c r="F103" s="3" t="s">
        <v>135</v>
      </c>
      <c r="G103" s="3" t="s">
        <v>148</v>
      </c>
      <c r="H103" s="3">
        <v>1709</v>
      </c>
      <c r="I103" s="3" t="s">
        <v>133</v>
      </c>
      <c r="J103" s="5">
        <v>1</v>
      </c>
      <c r="K103" s="3" t="s">
        <v>14</v>
      </c>
      <c r="L103" s="3" t="s">
        <v>214</v>
      </c>
    </row>
    <row r="104" spans="1:12" x14ac:dyDescent="0.3">
      <c r="A104" s="3" t="s">
        <v>300</v>
      </c>
      <c r="B104" s="4">
        <v>46102</v>
      </c>
      <c r="C104" s="3" t="s">
        <v>75</v>
      </c>
      <c r="D104" s="3" t="s">
        <v>55</v>
      </c>
      <c r="E104" s="3" t="s">
        <v>141</v>
      </c>
      <c r="F104" s="3" t="s">
        <v>135</v>
      </c>
      <c r="G104" s="3" t="s">
        <v>167</v>
      </c>
      <c r="H104" s="3">
        <v>1763</v>
      </c>
      <c r="I104" s="3" t="s">
        <v>126</v>
      </c>
      <c r="J104" s="5">
        <v>1</v>
      </c>
      <c r="K104" s="3" t="s">
        <v>14</v>
      </c>
      <c r="L104" s="3" t="s">
        <v>195</v>
      </c>
    </row>
    <row r="105" spans="1:12" x14ac:dyDescent="0.3">
      <c r="A105" s="3" t="s">
        <v>301</v>
      </c>
      <c r="B105" s="4">
        <v>46055</v>
      </c>
      <c r="C105" s="3" t="s">
        <v>98</v>
      </c>
      <c r="D105" s="3" t="s">
        <v>55</v>
      </c>
      <c r="E105" s="3" t="s">
        <v>141</v>
      </c>
      <c r="F105" s="3" t="s">
        <v>135</v>
      </c>
      <c r="G105" s="3" t="s">
        <v>167</v>
      </c>
      <c r="H105" s="3">
        <v>888</v>
      </c>
      <c r="I105" s="3" t="s">
        <v>126</v>
      </c>
      <c r="J105" s="5">
        <v>1</v>
      </c>
      <c r="K105" s="3" t="s">
        <v>14</v>
      </c>
      <c r="L105" s="3" t="s">
        <v>198</v>
      </c>
    </row>
    <row r="106" spans="1:12" x14ac:dyDescent="0.3">
      <c r="A106" s="3" t="s">
        <v>302</v>
      </c>
      <c r="B106" s="4">
        <v>46129</v>
      </c>
      <c r="C106" s="3" t="s">
        <v>63</v>
      </c>
      <c r="D106" s="3" t="s">
        <v>25</v>
      </c>
      <c r="E106" s="3" t="s">
        <v>134</v>
      </c>
      <c r="F106" s="3" t="s">
        <v>135</v>
      </c>
      <c r="G106" s="3" t="s">
        <v>130</v>
      </c>
      <c r="H106" s="3">
        <v>52224</v>
      </c>
      <c r="I106" s="3" t="s">
        <v>133</v>
      </c>
      <c r="J106" s="5">
        <v>1</v>
      </c>
      <c r="K106" s="3" t="s">
        <v>14</v>
      </c>
      <c r="L106" s="3" t="s">
        <v>214</v>
      </c>
    </row>
    <row r="107" spans="1:12" x14ac:dyDescent="0.3">
      <c r="A107" s="3" t="s">
        <v>303</v>
      </c>
      <c r="B107" s="4">
        <v>46105</v>
      </c>
      <c r="C107" s="3" t="s">
        <v>78</v>
      </c>
      <c r="D107" s="3" t="s">
        <v>33</v>
      </c>
      <c r="E107" s="3" t="s">
        <v>144</v>
      </c>
      <c r="F107" s="3" t="s">
        <v>135</v>
      </c>
      <c r="G107" s="3" t="s">
        <v>142</v>
      </c>
      <c r="H107" s="3">
        <v>83133</v>
      </c>
      <c r="I107" s="3" t="s">
        <v>133</v>
      </c>
      <c r="J107" s="5">
        <v>1.65</v>
      </c>
      <c r="K107" s="3" t="s">
        <v>191</v>
      </c>
      <c r="L107" s="3" t="s">
        <v>198</v>
      </c>
    </row>
    <row r="108" spans="1:12" x14ac:dyDescent="0.3">
      <c r="A108" s="3" t="s">
        <v>304</v>
      </c>
      <c r="B108" s="4">
        <v>46063</v>
      </c>
      <c r="C108" s="3" t="s">
        <v>91</v>
      </c>
      <c r="D108" s="3" t="s">
        <v>21</v>
      </c>
      <c r="E108" s="3" t="s">
        <v>141</v>
      </c>
      <c r="F108" s="3" t="s">
        <v>135</v>
      </c>
      <c r="G108" s="3" t="s">
        <v>182</v>
      </c>
      <c r="H108" s="3">
        <v>2630</v>
      </c>
      <c r="I108" s="3" t="s">
        <v>162</v>
      </c>
      <c r="J108" s="5">
        <v>1</v>
      </c>
      <c r="K108" s="3" t="s">
        <v>14</v>
      </c>
      <c r="L108" s="3" t="s">
        <v>214</v>
      </c>
    </row>
    <row r="109" spans="1:12" x14ac:dyDescent="0.3">
      <c r="A109" s="3" t="s">
        <v>305</v>
      </c>
      <c r="B109" s="4">
        <v>46034</v>
      </c>
      <c r="C109" s="3" t="s">
        <v>59</v>
      </c>
      <c r="D109" s="3" t="s">
        <v>12</v>
      </c>
      <c r="E109" s="3" t="s">
        <v>149</v>
      </c>
      <c r="F109" s="3" t="s">
        <v>135</v>
      </c>
      <c r="G109" s="3" t="s">
        <v>177</v>
      </c>
      <c r="H109" s="3">
        <v>98589</v>
      </c>
      <c r="I109" s="3" t="s">
        <v>162</v>
      </c>
      <c r="J109" s="5">
        <v>1</v>
      </c>
      <c r="K109" s="3" t="s">
        <v>14</v>
      </c>
      <c r="L109" s="3" t="s">
        <v>195</v>
      </c>
    </row>
    <row r="110" spans="1:12" x14ac:dyDescent="0.3">
      <c r="A110" s="3" t="s">
        <v>306</v>
      </c>
      <c r="B110" s="4">
        <v>46039</v>
      </c>
      <c r="C110" s="3" t="s">
        <v>95</v>
      </c>
      <c r="D110" s="3" t="s">
        <v>36</v>
      </c>
      <c r="E110" s="3" t="s">
        <v>141</v>
      </c>
      <c r="F110" s="3" t="s">
        <v>135</v>
      </c>
      <c r="G110" s="3" t="s">
        <v>170</v>
      </c>
      <c r="H110" s="3">
        <v>13363</v>
      </c>
      <c r="I110" s="3" t="s">
        <v>133</v>
      </c>
      <c r="J110" s="5">
        <v>1</v>
      </c>
      <c r="K110" s="3" t="s">
        <v>14</v>
      </c>
      <c r="L110" s="3" t="s">
        <v>200</v>
      </c>
    </row>
    <row r="111" spans="1:12" x14ac:dyDescent="0.3">
      <c r="A111" s="3" t="s">
        <v>307</v>
      </c>
      <c r="B111" s="4">
        <v>46048</v>
      </c>
      <c r="C111" s="3" t="s">
        <v>54</v>
      </c>
      <c r="D111" s="3" t="s">
        <v>55</v>
      </c>
      <c r="E111" s="3" t="s">
        <v>141</v>
      </c>
      <c r="F111" s="3" t="s">
        <v>135</v>
      </c>
      <c r="G111" s="3" t="s">
        <v>184</v>
      </c>
      <c r="H111" s="3">
        <v>74252</v>
      </c>
      <c r="I111" s="3" t="s">
        <v>174</v>
      </c>
      <c r="J111" s="5">
        <v>3.06</v>
      </c>
      <c r="K111" s="3" t="s">
        <v>191</v>
      </c>
      <c r="L111" s="3" t="s">
        <v>200</v>
      </c>
    </row>
    <row r="112" spans="1:12" x14ac:dyDescent="0.3">
      <c r="A112" s="3" t="s">
        <v>308</v>
      </c>
      <c r="B112" s="4">
        <v>46069</v>
      </c>
      <c r="C112" s="3" t="s">
        <v>50</v>
      </c>
      <c r="D112" s="3" t="s">
        <v>33</v>
      </c>
      <c r="E112" s="3" t="s">
        <v>127</v>
      </c>
      <c r="F112" s="3" t="s">
        <v>135</v>
      </c>
      <c r="G112" s="3" t="s">
        <v>178</v>
      </c>
      <c r="H112" s="3">
        <v>2452</v>
      </c>
      <c r="I112" s="3" t="s">
        <v>133</v>
      </c>
      <c r="J112" s="5">
        <v>1</v>
      </c>
      <c r="K112" s="3" t="s">
        <v>14</v>
      </c>
      <c r="L112" s="3" t="s">
        <v>214</v>
      </c>
    </row>
    <row r="113" spans="1:12" x14ac:dyDescent="0.3">
      <c r="A113" s="3" t="s">
        <v>309</v>
      </c>
      <c r="B113" s="4">
        <v>46084</v>
      </c>
      <c r="C113" s="3" t="s">
        <v>58</v>
      </c>
      <c r="D113" s="3" t="s">
        <v>28</v>
      </c>
      <c r="E113" s="3" t="s">
        <v>149</v>
      </c>
      <c r="F113" s="3" t="s">
        <v>135</v>
      </c>
      <c r="G113" s="3" t="s">
        <v>148</v>
      </c>
      <c r="H113" s="3">
        <v>7379</v>
      </c>
      <c r="I113" s="3" t="s">
        <v>133</v>
      </c>
      <c r="J113" s="5">
        <v>1</v>
      </c>
      <c r="K113" s="3" t="s">
        <v>14</v>
      </c>
      <c r="L113" s="3" t="s">
        <v>198</v>
      </c>
    </row>
    <row r="114" spans="1:12" x14ac:dyDescent="0.3">
      <c r="A114" s="3" t="s">
        <v>310</v>
      </c>
      <c r="B114" s="4">
        <v>46085</v>
      </c>
      <c r="C114" s="3" t="s">
        <v>86</v>
      </c>
      <c r="D114" s="3" t="s">
        <v>33</v>
      </c>
      <c r="E114" s="3" t="s">
        <v>127</v>
      </c>
      <c r="F114" s="3" t="s">
        <v>135</v>
      </c>
      <c r="G114" s="3" t="s">
        <v>178</v>
      </c>
      <c r="H114" s="3">
        <v>8168</v>
      </c>
      <c r="I114" s="3" t="s">
        <v>133</v>
      </c>
      <c r="J114" s="5">
        <v>1</v>
      </c>
      <c r="K114" s="3" t="s">
        <v>14</v>
      </c>
      <c r="L114" s="3" t="s">
        <v>195</v>
      </c>
    </row>
    <row r="115" spans="1:12" x14ac:dyDescent="0.3">
      <c r="A115" s="3" t="s">
        <v>311</v>
      </c>
      <c r="B115" s="4">
        <v>46036</v>
      </c>
      <c r="C115" s="3" t="s">
        <v>105</v>
      </c>
      <c r="D115" s="3" t="s">
        <v>55</v>
      </c>
      <c r="E115" s="3" t="s">
        <v>149</v>
      </c>
      <c r="F115" s="3" t="s">
        <v>135</v>
      </c>
      <c r="G115" s="3" t="s">
        <v>160</v>
      </c>
      <c r="H115" s="3">
        <v>21387</v>
      </c>
      <c r="I115" s="3" t="s">
        <v>162</v>
      </c>
      <c r="J115" s="5">
        <v>1</v>
      </c>
      <c r="K115" s="3" t="s">
        <v>14</v>
      </c>
      <c r="L115" s="3" t="s">
        <v>198</v>
      </c>
    </row>
    <row r="116" spans="1:12" x14ac:dyDescent="0.3">
      <c r="A116" s="3" t="s">
        <v>312</v>
      </c>
      <c r="B116" s="4">
        <v>46065</v>
      </c>
      <c r="C116" s="3" t="s">
        <v>45</v>
      </c>
      <c r="D116" s="3" t="s">
        <v>40</v>
      </c>
      <c r="E116" s="3" t="s">
        <v>141</v>
      </c>
      <c r="F116" s="3" t="s">
        <v>135</v>
      </c>
      <c r="G116" s="3" t="s">
        <v>139</v>
      </c>
      <c r="H116" s="3">
        <v>33115</v>
      </c>
      <c r="I116" s="3" t="s">
        <v>133</v>
      </c>
      <c r="J116" s="5">
        <v>1</v>
      </c>
      <c r="K116" s="3" t="s">
        <v>14</v>
      </c>
      <c r="L116" s="3" t="s">
        <v>198</v>
      </c>
    </row>
    <row r="117" spans="1:12" x14ac:dyDescent="0.3">
      <c r="A117" s="3" t="s">
        <v>313</v>
      </c>
      <c r="B117" s="4">
        <v>46048</v>
      </c>
      <c r="C117" s="3" t="s">
        <v>84</v>
      </c>
      <c r="D117" s="3" t="s">
        <v>33</v>
      </c>
      <c r="E117" s="3" t="s">
        <v>127</v>
      </c>
      <c r="F117" s="3" t="s">
        <v>135</v>
      </c>
      <c r="G117" s="3" t="s">
        <v>145</v>
      </c>
      <c r="H117" s="3">
        <v>55331</v>
      </c>
      <c r="I117" s="3" t="s">
        <v>133</v>
      </c>
      <c r="J117" s="5">
        <v>1</v>
      </c>
      <c r="K117" s="3" t="s">
        <v>14</v>
      </c>
      <c r="L117" s="3" t="s">
        <v>214</v>
      </c>
    </row>
    <row r="118" spans="1:12" x14ac:dyDescent="0.3">
      <c r="A118" s="3" t="s">
        <v>314</v>
      </c>
      <c r="B118" s="4">
        <v>46096</v>
      </c>
      <c r="C118" s="3" t="s">
        <v>92</v>
      </c>
      <c r="D118" s="3" t="s">
        <v>40</v>
      </c>
      <c r="E118" s="3" t="s">
        <v>141</v>
      </c>
      <c r="F118" s="3" t="s">
        <v>135</v>
      </c>
      <c r="G118" s="3" t="s">
        <v>139</v>
      </c>
      <c r="H118" s="3">
        <v>29249</v>
      </c>
      <c r="I118" s="3" t="s">
        <v>133</v>
      </c>
      <c r="J118" s="5">
        <v>1</v>
      </c>
      <c r="K118" s="3" t="s">
        <v>14</v>
      </c>
      <c r="L118" s="3" t="s">
        <v>198</v>
      </c>
    </row>
    <row r="119" spans="1:12" x14ac:dyDescent="0.3">
      <c r="A119" s="3" t="s">
        <v>315</v>
      </c>
      <c r="B119" s="4">
        <v>46095</v>
      </c>
      <c r="C119" s="3" t="s">
        <v>88</v>
      </c>
      <c r="D119" s="3" t="s">
        <v>40</v>
      </c>
      <c r="E119" s="3" t="s">
        <v>144</v>
      </c>
      <c r="F119" s="3" t="s">
        <v>135</v>
      </c>
      <c r="G119" s="3" t="s">
        <v>142</v>
      </c>
      <c r="H119" s="3">
        <v>19128</v>
      </c>
      <c r="I119" s="3" t="s">
        <v>133</v>
      </c>
      <c r="J119" s="5">
        <v>1.65</v>
      </c>
      <c r="K119" s="3" t="s">
        <v>191</v>
      </c>
      <c r="L119" s="3" t="s">
        <v>198</v>
      </c>
    </row>
    <row r="120" spans="1:12" x14ac:dyDescent="0.3">
      <c r="A120" s="3" t="s">
        <v>316</v>
      </c>
      <c r="B120" s="4">
        <v>46130</v>
      </c>
      <c r="C120" s="3" t="s">
        <v>56</v>
      </c>
      <c r="D120" s="3" t="s">
        <v>33</v>
      </c>
      <c r="E120" s="3" t="s">
        <v>127</v>
      </c>
      <c r="F120" s="3" t="s">
        <v>128</v>
      </c>
      <c r="G120" s="3" t="s">
        <v>123</v>
      </c>
      <c r="H120" s="3">
        <v>2522</v>
      </c>
      <c r="I120" s="3" t="s">
        <v>126</v>
      </c>
      <c r="J120" s="5">
        <v>1</v>
      </c>
      <c r="K120" s="3" t="s">
        <v>14</v>
      </c>
      <c r="L120" s="3" t="s">
        <v>198</v>
      </c>
    </row>
    <row r="121" spans="1:12" x14ac:dyDescent="0.3">
      <c r="A121" s="3" t="s">
        <v>317</v>
      </c>
      <c r="B121" s="4">
        <v>46079</v>
      </c>
      <c r="C121" s="3" t="s">
        <v>70</v>
      </c>
      <c r="D121" s="3" t="s">
        <v>25</v>
      </c>
      <c r="E121" s="3" t="s">
        <v>134</v>
      </c>
      <c r="F121" s="3" t="s">
        <v>135</v>
      </c>
      <c r="G121" s="3" t="s">
        <v>136</v>
      </c>
      <c r="H121" s="3">
        <v>7972</v>
      </c>
      <c r="I121" s="3" t="s">
        <v>133</v>
      </c>
      <c r="J121" s="5">
        <v>1</v>
      </c>
      <c r="K121" s="3" t="s">
        <v>14</v>
      </c>
      <c r="L121" s="3" t="s">
        <v>200</v>
      </c>
    </row>
    <row r="122" spans="1:12" x14ac:dyDescent="0.3">
      <c r="A122" s="3" t="s">
        <v>318</v>
      </c>
      <c r="B122" s="4">
        <v>46075</v>
      </c>
      <c r="C122" s="3" t="s">
        <v>31</v>
      </c>
      <c r="D122" s="3" t="s">
        <v>33</v>
      </c>
      <c r="E122" s="3" t="s">
        <v>127</v>
      </c>
      <c r="F122" s="3" t="s">
        <v>135</v>
      </c>
      <c r="G122" s="3" t="s">
        <v>178</v>
      </c>
      <c r="H122" s="3">
        <v>3957</v>
      </c>
      <c r="I122" s="3" t="s">
        <v>133</v>
      </c>
      <c r="J122" s="5">
        <v>1</v>
      </c>
      <c r="K122" s="3" t="s">
        <v>14</v>
      </c>
      <c r="L122" s="3" t="s">
        <v>198</v>
      </c>
    </row>
    <row r="123" spans="1:12" x14ac:dyDescent="0.3">
      <c r="A123" s="3" t="s">
        <v>319</v>
      </c>
      <c r="B123" s="4">
        <v>46136</v>
      </c>
      <c r="C123" s="3" t="s">
        <v>19</v>
      </c>
      <c r="D123" s="3" t="s">
        <v>21</v>
      </c>
      <c r="E123" s="3" t="s">
        <v>141</v>
      </c>
      <c r="F123" s="3" t="s">
        <v>135</v>
      </c>
      <c r="G123" s="3" t="s">
        <v>167</v>
      </c>
      <c r="H123" s="3">
        <v>482</v>
      </c>
      <c r="I123" s="3" t="s">
        <v>126</v>
      </c>
      <c r="J123" s="5">
        <v>1</v>
      </c>
      <c r="K123" s="3" t="s">
        <v>14</v>
      </c>
      <c r="L123" s="3" t="s">
        <v>198</v>
      </c>
    </row>
    <row r="124" spans="1:12" x14ac:dyDescent="0.3">
      <c r="A124" s="3" t="s">
        <v>320</v>
      </c>
      <c r="B124" s="4">
        <v>46068</v>
      </c>
      <c r="C124" s="3" t="s">
        <v>69</v>
      </c>
      <c r="D124" s="3" t="s">
        <v>17</v>
      </c>
      <c r="E124" s="3" t="s">
        <v>144</v>
      </c>
      <c r="F124" s="3" t="s">
        <v>135</v>
      </c>
      <c r="G124" s="3" t="s">
        <v>158</v>
      </c>
      <c r="H124" s="3">
        <v>6347</v>
      </c>
      <c r="I124" s="3" t="s">
        <v>126</v>
      </c>
      <c r="J124" s="5">
        <v>5.15</v>
      </c>
      <c r="K124" s="3" t="s">
        <v>191</v>
      </c>
      <c r="L124" s="3" t="s">
        <v>214</v>
      </c>
    </row>
    <row r="125" spans="1:12" x14ac:dyDescent="0.3">
      <c r="A125" s="3" t="s">
        <v>321</v>
      </c>
      <c r="B125" s="4">
        <v>46054</v>
      </c>
      <c r="C125" s="3" t="s">
        <v>23</v>
      </c>
      <c r="D125" s="3" t="s">
        <v>25</v>
      </c>
      <c r="E125" s="3" t="s">
        <v>141</v>
      </c>
      <c r="F125" s="3" t="s">
        <v>135</v>
      </c>
      <c r="G125" s="3" t="s">
        <v>184</v>
      </c>
      <c r="H125" s="3">
        <v>38097</v>
      </c>
      <c r="I125" s="3" t="s">
        <v>174</v>
      </c>
      <c r="J125" s="5">
        <v>3.06</v>
      </c>
      <c r="K125" s="3" t="s">
        <v>191</v>
      </c>
      <c r="L125" s="3" t="s">
        <v>200</v>
      </c>
    </row>
    <row r="126" spans="1:12" x14ac:dyDescent="0.3">
      <c r="A126" s="3" t="s">
        <v>322</v>
      </c>
      <c r="B126" s="4">
        <v>46068</v>
      </c>
      <c r="C126" s="3" t="s">
        <v>82</v>
      </c>
      <c r="D126" s="3" t="s">
        <v>25</v>
      </c>
      <c r="E126" s="3" t="s">
        <v>144</v>
      </c>
      <c r="F126" s="3" t="s">
        <v>135</v>
      </c>
      <c r="G126" s="3" t="s">
        <v>142</v>
      </c>
      <c r="H126" s="3">
        <v>7303</v>
      </c>
      <c r="I126" s="3" t="s">
        <v>133</v>
      </c>
      <c r="J126" s="5">
        <v>1.65</v>
      </c>
      <c r="K126" s="3" t="s">
        <v>191</v>
      </c>
      <c r="L126" s="3" t="s">
        <v>214</v>
      </c>
    </row>
    <row r="127" spans="1:12" x14ac:dyDescent="0.3">
      <c r="A127" s="3" t="s">
        <v>323</v>
      </c>
      <c r="B127" s="4">
        <v>46085</v>
      </c>
      <c r="C127" s="3" t="s">
        <v>31</v>
      </c>
      <c r="D127" s="3" t="s">
        <v>33</v>
      </c>
      <c r="E127" s="3" t="s">
        <v>127</v>
      </c>
      <c r="F127" s="3" t="s">
        <v>128</v>
      </c>
      <c r="G127" s="3" t="s">
        <v>123</v>
      </c>
      <c r="H127" s="3">
        <v>2151</v>
      </c>
      <c r="I127" s="3" t="s">
        <v>126</v>
      </c>
      <c r="J127" s="5">
        <v>1</v>
      </c>
      <c r="K127" s="3" t="s">
        <v>14</v>
      </c>
      <c r="L127" s="3" t="s">
        <v>195</v>
      </c>
    </row>
    <row r="128" spans="1:12" x14ac:dyDescent="0.3">
      <c r="A128" s="3" t="s">
        <v>324</v>
      </c>
      <c r="B128" s="4">
        <v>46133</v>
      </c>
      <c r="C128" s="3" t="s">
        <v>67</v>
      </c>
      <c r="D128" s="3" t="s">
        <v>55</v>
      </c>
      <c r="E128" s="3" t="s">
        <v>141</v>
      </c>
      <c r="F128" s="3" t="s">
        <v>135</v>
      </c>
      <c r="G128" s="3" t="s">
        <v>170</v>
      </c>
      <c r="H128" s="3">
        <v>56503</v>
      </c>
      <c r="I128" s="3" t="s">
        <v>133</v>
      </c>
      <c r="J128" s="5">
        <v>1</v>
      </c>
      <c r="K128" s="3" t="s">
        <v>14</v>
      </c>
      <c r="L128" s="3" t="s">
        <v>214</v>
      </c>
    </row>
    <row r="129" spans="1:12" x14ac:dyDescent="0.3">
      <c r="A129" s="3" t="s">
        <v>325</v>
      </c>
      <c r="B129" s="4">
        <v>46054</v>
      </c>
      <c r="C129" s="3" t="s">
        <v>44</v>
      </c>
      <c r="D129" s="3" t="s">
        <v>36</v>
      </c>
      <c r="E129" s="3" t="s">
        <v>141</v>
      </c>
      <c r="F129" s="3" t="s">
        <v>135</v>
      </c>
      <c r="G129" s="3" t="s">
        <v>157</v>
      </c>
      <c r="H129" s="3">
        <v>39723</v>
      </c>
      <c r="I129" s="3" t="s">
        <v>133</v>
      </c>
      <c r="J129" s="5">
        <v>1</v>
      </c>
      <c r="K129" s="3" t="s">
        <v>14</v>
      </c>
      <c r="L129" s="3" t="s">
        <v>214</v>
      </c>
    </row>
    <row r="130" spans="1:12" x14ac:dyDescent="0.3">
      <c r="A130" s="3" t="s">
        <v>326</v>
      </c>
      <c r="B130" s="4">
        <v>46044</v>
      </c>
      <c r="C130" s="3" t="s">
        <v>43</v>
      </c>
      <c r="D130" s="3" t="s">
        <v>33</v>
      </c>
      <c r="E130" s="3" t="s">
        <v>149</v>
      </c>
      <c r="F130" s="3" t="s">
        <v>135</v>
      </c>
      <c r="G130" s="3" t="s">
        <v>176</v>
      </c>
      <c r="H130" s="3">
        <v>80676</v>
      </c>
      <c r="I130" s="3" t="s">
        <v>174</v>
      </c>
      <c r="J130" s="5">
        <v>1</v>
      </c>
      <c r="K130" s="3" t="s">
        <v>14</v>
      </c>
      <c r="L130" s="3" t="s">
        <v>198</v>
      </c>
    </row>
    <row r="131" spans="1:12" x14ac:dyDescent="0.3">
      <c r="A131" s="3" t="s">
        <v>327</v>
      </c>
      <c r="B131" s="4">
        <v>46052</v>
      </c>
      <c r="C131" s="3" t="s">
        <v>95</v>
      </c>
      <c r="D131" s="3" t="s">
        <v>36</v>
      </c>
      <c r="E131" s="3" t="s">
        <v>141</v>
      </c>
      <c r="F131" s="3" t="s">
        <v>135</v>
      </c>
      <c r="G131" s="3" t="s">
        <v>157</v>
      </c>
      <c r="H131" s="3">
        <v>50988</v>
      </c>
      <c r="I131" s="3" t="s">
        <v>133</v>
      </c>
      <c r="J131" s="5">
        <v>1</v>
      </c>
      <c r="K131" s="3" t="s">
        <v>14</v>
      </c>
      <c r="L131" s="3" t="s">
        <v>195</v>
      </c>
    </row>
    <row r="132" spans="1:12" x14ac:dyDescent="0.3">
      <c r="A132" s="3" t="s">
        <v>328</v>
      </c>
      <c r="B132" s="4">
        <v>46110</v>
      </c>
      <c r="C132" s="3" t="s">
        <v>68</v>
      </c>
      <c r="D132" s="3" t="s">
        <v>40</v>
      </c>
      <c r="E132" s="3" t="s">
        <v>149</v>
      </c>
      <c r="F132" s="3" t="s">
        <v>135</v>
      </c>
      <c r="G132" s="3" t="s">
        <v>176</v>
      </c>
      <c r="H132" s="3">
        <v>12369</v>
      </c>
      <c r="I132" s="3" t="s">
        <v>174</v>
      </c>
      <c r="J132" s="5">
        <v>1</v>
      </c>
      <c r="K132" s="3" t="s">
        <v>14</v>
      </c>
      <c r="L132" s="3" t="s">
        <v>200</v>
      </c>
    </row>
    <row r="133" spans="1:12" x14ac:dyDescent="0.3">
      <c r="A133" s="3" t="s">
        <v>329</v>
      </c>
      <c r="B133" s="4">
        <v>46097</v>
      </c>
      <c r="C133" s="3" t="s">
        <v>27</v>
      </c>
      <c r="D133" s="3" t="s">
        <v>28</v>
      </c>
      <c r="E133" s="3" t="s">
        <v>141</v>
      </c>
      <c r="F133" s="3" t="s">
        <v>135</v>
      </c>
      <c r="G133" s="3" t="s">
        <v>167</v>
      </c>
      <c r="H133" s="3">
        <v>3278</v>
      </c>
      <c r="I133" s="3" t="s">
        <v>126</v>
      </c>
      <c r="J133" s="5">
        <v>1</v>
      </c>
      <c r="K133" s="3" t="s">
        <v>14</v>
      </c>
      <c r="L133" s="3" t="s">
        <v>214</v>
      </c>
    </row>
    <row r="134" spans="1:12" x14ac:dyDescent="0.3">
      <c r="A134" s="3" t="s">
        <v>330</v>
      </c>
      <c r="B134" s="4">
        <v>46090</v>
      </c>
      <c r="C134" s="3" t="s">
        <v>57</v>
      </c>
      <c r="D134" s="3" t="s">
        <v>17</v>
      </c>
      <c r="E134" s="3" t="s">
        <v>144</v>
      </c>
      <c r="F134" s="3" t="s">
        <v>135</v>
      </c>
      <c r="G134" s="3" t="s">
        <v>158</v>
      </c>
      <c r="H134" s="3">
        <v>6357</v>
      </c>
      <c r="I134" s="3" t="s">
        <v>126</v>
      </c>
      <c r="J134" s="5">
        <v>5.15</v>
      </c>
      <c r="K134" s="3" t="s">
        <v>191</v>
      </c>
      <c r="L134" s="3" t="s">
        <v>195</v>
      </c>
    </row>
    <row r="135" spans="1:12" x14ac:dyDescent="0.3">
      <c r="A135" s="3" t="s">
        <v>331</v>
      </c>
      <c r="B135" s="4">
        <v>46092</v>
      </c>
      <c r="C135" s="3" t="s">
        <v>27</v>
      </c>
      <c r="D135" s="3" t="s">
        <v>28</v>
      </c>
      <c r="E135" s="3" t="s">
        <v>141</v>
      </c>
      <c r="F135" s="3" t="s">
        <v>135</v>
      </c>
      <c r="G135" s="3" t="s">
        <v>139</v>
      </c>
      <c r="H135" s="3">
        <v>62468</v>
      </c>
      <c r="I135" s="3" t="s">
        <v>133</v>
      </c>
      <c r="J135" s="5">
        <v>1</v>
      </c>
      <c r="K135" s="3" t="s">
        <v>14</v>
      </c>
      <c r="L135" s="3" t="s">
        <v>200</v>
      </c>
    </row>
    <row r="136" spans="1:12" x14ac:dyDescent="0.3">
      <c r="A136" s="3" t="s">
        <v>332</v>
      </c>
      <c r="B136" s="4">
        <v>46099</v>
      </c>
      <c r="C136" s="3" t="s">
        <v>88</v>
      </c>
      <c r="D136" s="3" t="s">
        <v>40</v>
      </c>
      <c r="E136" s="3" t="s">
        <v>127</v>
      </c>
      <c r="F136" s="3" t="s">
        <v>128</v>
      </c>
      <c r="G136" s="3" t="s">
        <v>152</v>
      </c>
      <c r="H136" s="3">
        <v>3400</v>
      </c>
      <c r="I136" s="3" t="s">
        <v>126</v>
      </c>
      <c r="J136" s="5">
        <v>1</v>
      </c>
      <c r="K136" s="3" t="s">
        <v>14</v>
      </c>
      <c r="L136" s="3" t="s">
        <v>198</v>
      </c>
    </row>
    <row r="137" spans="1:12" x14ac:dyDescent="0.3">
      <c r="A137" s="3" t="s">
        <v>333</v>
      </c>
      <c r="B137" s="4">
        <v>46050</v>
      </c>
      <c r="C137" s="3" t="s">
        <v>54</v>
      </c>
      <c r="D137" s="3" t="s">
        <v>55</v>
      </c>
      <c r="E137" s="3" t="s">
        <v>149</v>
      </c>
      <c r="F137" s="3" t="s">
        <v>135</v>
      </c>
      <c r="G137" s="3" t="s">
        <v>148</v>
      </c>
      <c r="H137" s="3">
        <v>3954</v>
      </c>
      <c r="I137" s="3" t="s">
        <v>133</v>
      </c>
      <c r="J137" s="5">
        <v>1</v>
      </c>
      <c r="K137" s="3" t="s">
        <v>14</v>
      </c>
      <c r="L137" s="3" t="s">
        <v>214</v>
      </c>
    </row>
    <row r="138" spans="1:12" x14ac:dyDescent="0.3">
      <c r="A138" s="3" t="s">
        <v>334</v>
      </c>
      <c r="B138" s="4">
        <v>46048</v>
      </c>
      <c r="C138" s="3" t="s">
        <v>84</v>
      </c>
      <c r="D138" s="3" t="s">
        <v>33</v>
      </c>
      <c r="E138" s="3" t="s">
        <v>127</v>
      </c>
      <c r="F138" s="3" t="s">
        <v>135</v>
      </c>
      <c r="G138" s="3" t="s">
        <v>178</v>
      </c>
      <c r="H138" s="3">
        <v>10399</v>
      </c>
      <c r="I138" s="3" t="s">
        <v>133</v>
      </c>
      <c r="J138" s="5">
        <v>1</v>
      </c>
      <c r="K138" s="3" t="s">
        <v>14</v>
      </c>
      <c r="L138" s="3" t="s">
        <v>195</v>
      </c>
    </row>
    <row r="139" spans="1:12" x14ac:dyDescent="0.3">
      <c r="A139" s="3" t="s">
        <v>335</v>
      </c>
      <c r="B139" s="4">
        <v>46037</v>
      </c>
      <c r="C139" s="3" t="s">
        <v>105</v>
      </c>
      <c r="D139" s="3" t="s">
        <v>55</v>
      </c>
      <c r="E139" s="3" t="s">
        <v>149</v>
      </c>
      <c r="F139" s="3" t="s">
        <v>135</v>
      </c>
      <c r="G139" s="3" t="s">
        <v>160</v>
      </c>
      <c r="H139" s="3">
        <v>21387</v>
      </c>
      <c r="I139" s="3" t="s">
        <v>162</v>
      </c>
      <c r="J139" s="5">
        <v>1</v>
      </c>
      <c r="K139" s="3" t="s">
        <v>14</v>
      </c>
      <c r="L139" s="3" t="s">
        <v>195</v>
      </c>
    </row>
    <row r="140" spans="1:12" x14ac:dyDescent="0.3">
      <c r="A140" s="3" t="s">
        <v>336</v>
      </c>
      <c r="B140" s="4">
        <v>46053</v>
      </c>
      <c r="C140" s="3" t="s">
        <v>91</v>
      </c>
      <c r="D140" s="3" t="s">
        <v>21</v>
      </c>
      <c r="E140" s="3" t="s">
        <v>141</v>
      </c>
      <c r="F140" s="3" t="s">
        <v>135</v>
      </c>
      <c r="G140" s="3" t="s">
        <v>179</v>
      </c>
      <c r="H140" s="3">
        <v>37792</v>
      </c>
      <c r="I140" s="3" t="s">
        <v>162</v>
      </c>
      <c r="J140" s="5">
        <v>2.39</v>
      </c>
      <c r="K140" s="3" t="s">
        <v>191</v>
      </c>
      <c r="L140" s="3" t="s">
        <v>214</v>
      </c>
    </row>
    <row r="141" spans="1:12" x14ac:dyDescent="0.3">
      <c r="A141" s="3" t="s">
        <v>337</v>
      </c>
      <c r="B141" s="4">
        <v>46031</v>
      </c>
      <c r="C141" s="3" t="s">
        <v>41</v>
      </c>
      <c r="D141" s="3" t="s">
        <v>17</v>
      </c>
      <c r="E141" s="3" t="s">
        <v>141</v>
      </c>
      <c r="F141" s="3" t="s">
        <v>135</v>
      </c>
      <c r="G141" s="3" t="s">
        <v>184</v>
      </c>
      <c r="H141" s="3">
        <v>20099</v>
      </c>
      <c r="I141" s="3" t="s">
        <v>174</v>
      </c>
      <c r="J141" s="5">
        <v>3.06</v>
      </c>
      <c r="K141" s="3" t="s">
        <v>191</v>
      </c>
      <c r="L141" s="3" t="s">
        <v>200</v>
      </c>
    </row>
    <row r="142" spans="1:12" x14ac:dyDescent="0.3">
      <c r="A142" s="3" t="s">
        <v>338</v>
      </c>
      <c r="B142" s="4">
        <v>46052</v>
      </c>
      <c r="C142" s="3" t="s">
        <v>98</v>
      </c>
      <c r="D142" s="3" t="s">
        <v>55</v>
      </c>
      <c r="E142" s="3" t="s">
        <v>141</v>
      </c>
      <c r="F142" s="3" t="s">
        <v>135</v>
      </c>
      <c r="G142" s="3" t="s">
        <v>184</v>
      </c>
      <c r="H142" s="3">
        <v>11197</v>
      </c>
      <c r="I142" s="3" t="s">
        <v>174</v>
      </c>
      <c r="J142" s="5">
        <v>3.06</v>
      </c>
      <c r="K142" s="3" t="s">
        <v>191</v>
      </c>
      <c r="L142" s="3" t="s">
        <v>214</v>
      </c>
    </row>
    <row r="143" spans="1:12" x14ac:dyDescent="0.3">
      <c r="A143" s="3" t="s">
        <v>339</v>
      </c>
      <c r="B143" s="4">
        <v>46131</v>
      </c>
      <c r="C143" s="3" t="s">
        <v>60</v>
      </c>
      <c r="D143" s="3" t="s">
        <v>17</v>
      </c>
      <c r="E143" s="3" t="s">
        <v>141</v>
      </c>
      <c r="F143" s="3" t="s">
        <v>135</v>
      </c>
      <c r="G143" s="3" t="s">
        <v>150</v>
      </c>
      <c r="H143" s="3">
        <v>645</v>
      </c>
      <c r="I143" s="3" t="s">
        <v>133</v>
      </c>
      <c r="J143" s="5">
        <v>0.26</v>
      </c>
      <c r="K143" s="3" t="s">
        <v>191</v>
      </c>
      <c r="L143" s="3" t="s">
        <v>195</v>
      </c>
    </row>
    <row r="144" spans="1:12" x14ac:dyDescent="0.3">
      <c r="A144" s="3" t="s">
        <v>340</v>
      </c>
      <c r="B144" s="4">
        <v>46047</v>
      </c>
      <c r="C144" s="3" t="s">
        <v>98</v>
      </c>
      <c r="D144" s="3" t="s">
        <v>55</v>
      </c>
      <c r="E144" s="3" t="s">
        <v>127</v>
      </c>
      <c r="F144" s="3" t="s">
        <v>128</v>
      </c>
      <c r="G144" s="3" t="s">
        <v>152</v>
      </c>
      <c r="H144" s="3">
        <v>1003</v>
      </c>
      <c r="I144" s="3" t="s">
        <v>126</v>
      </c>
      <c r="J144" s="5">
        <v>1</v>
      </c>
      <c r="K144" s="3" t="s">
        <v>14</v>
      </c>
      <c r="L144" s="3" t="s">
        <v>198</v>
      </c>
    </row>
    <row r="145" spans="1:12" x14ac:dyDescent="0.3">
      <c r="A145" s="3" t="s">
        <v>341</v>
      </c>
      <c r="B145" s="4">
        <v>46080</v>
      </c>
      <c r="C145" s="3" t="s">
        <v>31</v>
      </c>
      <c r="D145" s="3" t="s">
        <v>33</v>
      </c>
      <c r="E145" s="3" t="s">
        <v>141</v>
      </c>
      <c r="F145" s="3" t="s">
        <v>135</v>
      </c>
      <c r="G145" s="3" t="s">
        <v>182</v>
      </c>
      <c r="H145" s="3">
        <v>1452</v>
      </c>
      <c r="I145" s="3" t="s">
        <v>162</v>
      </c>
      <c r="J145" s="5">
        <v>1</v>
      </c>
      <c r="K145" s="3" t="s">
        <v>14</v>
      </c>
      <c r="L145" s="3" t="s">
        <v>195</v>
      </c>
    </row>
    <row r="146" spans="1:12" x14ac:dyDescent="0.3">
      <c r="A146" s="3" t="s">
        <v>342</v>
      </c>
      <c r="B146" s="4">
        <v>46091</v>
      </c>
      <c r="C146" s="3" t="s">
        <v>78</v>
      </c>
      <c r="D146" s="3" t="s">
        <v>33</v>
      </c>
      <c r="E146" s="3" t="s">
        <v>127</v>
      </c>
      <c r="F146" s="3" t="s">
        <v>135</v>
      </c>
      <c r="G146" s="3" t="s">
        <v>178</v>
      </c>
      <c r="H146" s="3">
        <v>7381</v>
      </c>
      <c r="I146" s="3" t="s">
        <v>133</v>
      </c>
      <c r="J146" s="5">
        <v>1</v>
      </c>
      <c r="K146" s="3" t="s">
        <v>14</v>
      </c>
      <c r="L146" s="3" t="s">
        <v>195</v>
      </c>
    </row>
    <row r="147" spans="1:12" x14ac:dyDescent="0.3">
      <c r="A147" s="3" t="s">
        <v>343</v>
      </c>
      <c r="B147" s="4">
        <v>46106</v>
      </c>
      <c r="C147" s="3" t="s">
        <v>94</v>
      </c>
      <c r="D147" s="3" t="s">
        <v>28</v>
      </c>
      <c r="E147" s="3" t="s">
        <v>149</v>
      </c>
      <c r="F147" s="3" t="s">
        <v>135</v>
      </c>
      <c r="G147" s="3" t="s">
        <v>148</v>
      </c>
      <c r="H147" s="3">
        <v>10643</v>
      </c>
      <c r="I147" s="3" t="s">
        <v>133</v>
      </c>
      <c r="J147" s="5">
        <v>1</v>
      </c>
      <c r="K147" s="3" t="s">
        <v>14</v>
      </c>
      <c r="L147" s="3" t="s">
        <v>214</v>
      </c>
    </row>
    <row r="148" spans="1:12" x14ac:dyDescent="0.3">
      <c r="A148" s="3" t="s">
        <v>344</v>
      </c>
      <c r="B148" s="4">
        <v>46095</v>
      </c>
      <c r="C148" s="3" t="s">
        <v>78</v>
      </c>
      <c r="D148" s="3" t="s">
        <v>33</v>
      </c>
      <c r="E148" s="3" t="s">
        <v>141</v>
      </c>
      <c r="F148" s="3" t="s">
        <v>135</v>
      </c>
      <c r="G148" s="3" t="s">
        <v>182</v>
      </c>
      <c r="H148" s="3">
        <v>2709</v>
      </c>
      <c r="I148" s="3" t="s">
        <v>162</v>
      </c>
      <c r="J148" s="5">
        <v>1</v>
      </c>
      <c r="K148" s="3" t="s">
        <v>14</v>
      </c>
      <c r="L148" s="3" t="s">
        <v>200</v>
      </c>
    </row>
    <row r="149" spans="1:12" x14ac:dyDescent="0.3">
      <c r="A149" s="3" t="s">
        <v>345</v>
      </c>
      <c r="B149" s="4">
        <v>46042</v>
      </c>
      <c r="C149" s="3" t="s">
        <v>87</v>
      </c>
      <c r="D149" s="3" t="s">
        <v>12</v>
      </c>
      <c r="E149" s="3" t="s">
        <v>141</v>
      </c>
      <c r="F149" s="3" t="s">
        <v>135</v>
      </c>
      <c r="G149" s="3" t="s">
        <v>157</v>
      </c>
      <c r="H149" s="3">
        <v>37701</v>
      </c>
      <c r="I149" s="3" t="s">
        <v>133</v>
      </c>
      <c r="J149" s="5">
        <v>1</v>
      </c>
      <c r="K149" s="3" t="s">
        <v>14</v>
      </c>
      <c r="L149" s="3" t="s">
        <v>214</v>
      </c>
    </row>
    <row r="150" spans="1:12" x14ac:dyDescent="0.3">
      <c r="A150" s="3" t="s">
        <v>346</v>
      </c>
      <c r="B150" s="4">
        <v>46061</v>
      </c>
      <c r="C150" s="3" t="s">
        <v>50</v>
      </c>
      <c r="D150" s="3" t="s">
        <v>33</v>
      </c>
      <c r="E150" s="3" t="s">
        <v>127</v>
      </c>
      <c r="F150" s="3" t="s">
        <v>135</v>
      </c>
      <c r="G150" s="3" t="s">
        <v>178</v>
      </c>
      <c r="H150" s="3">
        <v>2452</v>
      </c>
      <c r="I150" s="3" t="s">
        <v>133</v>
      </c>
      <c r="J150" s="5">
        <v>1</v>
      </c>
      <c r="K150" s="3" t="s">
        <v>14</v>
      </c>
      <c r="L150" s="3" t="s">
        <v>198</v>
      </c>
    </row>
    <row r="151" spans="1:12" x14ac:dyDescent="0.3">
      <c r="A151" s="3" t="s">
        <v>347</v>
      </c>
      <c r="B151" s="4">
        <v>46043</v>
      </c>
      <c r="C151" s="3" t="s">
        <v>72</v>
      </c>
      <c r="D151" s="3" t="s">
        <v>40</v>
      </c>
      <c r="E151" s="3" t="s">
        <v>141</v>
      </c>
      <c r="F151" s="3" t="s">
        <v>135</v>
      </c>
      <c r="G151" s="3" t="s">
        <v>139</v>
      </c>
      <c r="H151" s="3">
        <v>37685</v>
      </c>
      <c r="I151" s="3" t="s">
        <v>133</v>
      </c>
      <c r="J151" s="5">
        <v>1</v>
      </c>
      <c r="K151" s="3" t="s">
        <v>14</v>
      </c>
      <c r="L151" s="3" t="s">
        <v>200</v>
      </c>
    </row>
    <row r="152" spans="1:12" x14ac:dyDescent="0.3">
      <c r="A152" s="3" t="s">
        <v>348</v>
      </c>
      <c r="B152" s="4">
        <v>46128</v>
      </c>
      <c r="C152" s="3" t="s">
        <v>97</v>
      </c>
      <c r="D152" s="3" t="s">
        <v>28</v>
      </c>
      <c r="E152" s="3" t="s">
        <v>141</v>
      </c>
      <c r="F152" s="3" t="s">
        <v>135</v>
      </c>
      <c r="G152" s="3" t="s">
        <v>167</v>
      </c>
      <c r="H152" s="3">
        <v>1607</v>
      </c>
      <c r="I152" s="3" t="s">
        <v>126</v>
      </c>
      <c r="J152" s="5">
        <v>1</v>
      </c>
      <c r="K152" s="3" t="s">
        <v>14</v>
      </c>
      <c r="L152" s="3" t="s">
        <v>214</v>
      </c>
    </row>
    <row r="153" spans="1:12" x14ac:dyDescent="0.3">
      <c r="A153" s="3" t="s">
        <v>349</v>
      </c>
      <c r="B153" s="4">
        <v>46083</v>
      </c>
      <c r="C153" s="3" t="s">
        <v>93</v>
      </c>
      <c r="D153" s="3" t="s">
        <v>66</v>
      </c>
      <c r="E153" s="3" t="s">
        <v>144</v>
      </c>
      <c r="F153" s="3" t="s">
        <v>135</v>
      </c>
      <c r="G153" s="3" t="s">
        <v>142</v>
      </c>
      <c r="H153" s="3">
        <v>54028</v>
      </c>
      <c r="I153" s="3" t="s">
        <v>133</v>
      </c>
      <c r="J153" s="5">
        <v>1.65</v>
      </c>
      <c r="K153" s="3" t="s">
        <v>191</v>
      </c>
      <c r="L153" s="3" t="s">
        <v>198</v>
      </c>
    </row>
    <row r="154" spans="1:12" x14ac:dyDescent="0.3">
      <c r="A154" s="3" t="s">
        <v>350</v>
      </c>
      <c r="B154" s="4">
        <v>46135</v>
      </c>
      <c r="C154" s="3" t="s">
        <v>81</v>
      </c>
      <c r="D154" s="3" t="s">
        <v>25</v>
      </c>
      <c r="E154" s="3" t="s">
        <v>134</v>
      </c>
      <c r="F154" s="3" t="s">
        <v>135</v>
      </c>
      <c r="G154" s="3" t="s">
        <v>136</v>
      </c>
      <c r="H154" s="3">
        <v>10500</v>
      </c>
      <c r="I154" s="3" t="s">
        <v>133</v>
      </c>
      <c r="J154" s="5">
        <v>1</v>
      </c>
      <c r="K154" s="3" t="s">
        <v>14</v>
      </c>
      <c r="L154" s="3" t="s">
        <v>214</v>
      </c>
    </row>
    <row r="155" spans="1:12" x14ac:dyDescent="0.3">
      <c r="A155" s="3" t="s">
        <v>351</v>
      </c>
      <c r="B155" s="4">
        <v>46040</v>
      </c>
      <c r="C155" s="3" t="s">
        <v>111</v>
      </c>
      <c r="D155" s="3" t="s">
        <v>21</v>
      </c>
      <c r="E155" s="3" t="s">
        <v>141</v>
      </c>
      <c r="F155" s="3" t="s">
        <v>135</v>
      </c>
      <c r="G155" s="3" t="s">
        <v>139</v>
      </c>
      <c r="H155" s="3">
        <v>102603</v>
      </c>
      <c r="I155" s="3" t="s">
        <v>133</v>
      </c>
      <c r="J155" s="5">
        <v>1</v>
      </c>
      <c r="K155" s="3" t="s">
        <v>14</v>
      </c>
      <c r="L155" s="3" t="s">
        <v>214</v>
      </c>
    </row>
    <row r="156" spans="1:12" x14ac:dyDescent="0.3">
      <c r="A156" s="3" t="s">
        <v>352</v>
      </c>
      <c r="B156" s="4">
        <v>46097</v>
      </c>
      <c r="C156" s="3" t="s">
        <v>83</v>
      </c>
      <c r="D156" s="3" t="s">
        <v>21</v>
      </c>
      <c r="E156" s="3" t="s">
        <v>141</v>
      </c>
      <c r="F156" s="3" t="s">
        <v>135</v>
      </c>
      <c r="G156" s="3" t="s">
        <v>182</v>
      </c>
      <c r="H156" s="3">
        <v>1447</v>
      </c>
      <c r="I156" s="3" t="s">
        <v>162</v>
      </c>
      <c r="J156" s="5">
        <v>1</v>
      </c>
      <c r="K156" s="3" t="s">
        <v>14</v>
      </c>
      <c r="L156" s="3" t="s">
        <v>198</v>
      </c>
    </row>
    <row r="157" spans="1:12" x14ac:dyDescent="0.3">
      <c r="A157" s="3" t="s">
        <v>353</v>
      </c>
      <c r="B157" s="4">
        <v>46054</v>
      </c>
      <c r="C157" s="3" t="s">
        <v>84</v>
      </c>
      <c r="D157" s="3" t="s">
        <v>33</v>
      </c>
      <c r="E157" s="3" t="s">
        <v>141</v>
      </c>
      <c r="F157" s="3" t="s">
        <v>135</v>
      </c>
      <c r="G157" s="3" t="s">
        <v>182</v>
      </c>
      <c r="H157" s="3">
        <v>3817</v>
      </c>
      <c r="I157" s="3" t="s">
        <v>162</v>
      </c>
      <c r="J157" s="5">
        <v>1</v>
      </c>
      <c r="K157" s="3" t="s">
        <v>14</v>
      </c>
      <c r="L157" s="3" t="s">
        <v>214</v>
      </c>
    </row>
    <row r="158" spans="1:12" x14ac:dyDescent="0.3">
      <c r="A158" s="3" t="s">
        <v>354</v>
      </c>
      <c r="B158" s="4">
        <v>46104</v>
      </c>
      <c r="C158" s="3" t="s">
        <v>61</v>
      </c>
      <c r="D158" s="3" t="s">
        <v>40</v>
      </c>
      <c r="E158" s="3" t="s">
        <v>149</v>
      </c>
      <c r="F158" s="3" t="s">
        <v>135</v>
      </c>
      <c r="G158" s="3" t="s">
        <v>176</v>
      </c>
      <c r="H158" s="3">
        <v>13998</v>
      </c>
      <c r="I158" s="3" t="s">
        <v>174</v>
      </c>
      <c r="J158" s="5">
        <v>1</v>
      </c>
      <c r="K158" s="3" t="s">
        <v>14</v>
      </c>
      <c r="L158" s="3" t="s">
        <v>200</v>
      </c>
    </row>
    <row r="159" spans="1:12" x14ac:dyDescent="0.3">
      <c r="A159" s="3" t="s">
        <v>355</v>
      </c>
      <c r="B159" s="4">
        <v>46058</v>
      </c>
      <c r="C159" s="3" t="s">
        <v>48</v>
      </c>
      <c r="D159" s="3" t="s">
        <v>36</v>
      </c>
      <c r="E159" s="3" t="s">
        <v>141</v>
      </c>
      <c r="F159" s="3" t="s">
        <v>135</v>
      </c>
      <c r="G159" s="3" t="s">
        <v>182</v>
      </c>
      <c r="H159" s="3">
        <v>3885</v>
      </c>
      <c r="I159" s="3" t="s">
        <v>162</v>
      </c>
      <c r="J159" s="5">
        <v>1</v>
      </c>
      <c r="K159" s="3" t="s">
        <v>14</v>
      </c>
      <c r="L159" s="3" t="s">
        <v>195</v>
      </c>
    </row>
    <row r="160" spans="1:12" x14ac:dyDescent="0.3">
      <c r="A160" s="3" t="s">
        <v>356</v>
      </c>
      <c r="B160" s="4">
        <v>46086</v>
      </c>
      <c r="C160" s="3" t="s">
        <v>16</v>
      </c>
      <c r="D160" s="3" t="s">
        <v>17</v>
      </c>
      <c r="E160" s="3" t="s">
        <v>141</v>
      </c>
      <c r="F160" s="3" t="s">
        <v>135</v>
      </c>
      <c r="G160" s="3" t="s">
        <v>150</v>
      </c>
      <c r="H160" s="3">
        <v>4005</v>
      </c>
      <c r="I160" s="3" t="s">
        <v>133</v>
      </c>
      <c r="J160" s="5">
        <v>0.26</v>
      </c>
      <c r="K160" s="3" t="s">
        <v>191</v>
      </c>
      <c r="L160" s="3" t="s">
        <v>198</v>
      </c>
    </row>
    <row r="161" spans="1:12" x14ac:dyDescent="0.3">
      <c r="A161" s="3" t="s">
        <v>357</v>
      </c>
      <c r="B161" s="4">
        <v>46068</v>
      </c>
      <c r="C161" s="3" t="s">
        <v>82</v>
      </c>
      <c r="D161" s="3" t="s">
        <v>25</v>
      </c>
      <c r="E161" s="3" t="s">
        <v>134</v>
      </c>
      <c r="F161" s="3" t="s">
        <v>135</v>
      </c>
      <c r="G161" s="3" t="s">
        <v>130</v>
      </c>
      <c r="H161" s="3">
        <v>12187</v>
      </c>
      <c r="I161" s="3" t="s">
        <v>133</v>
      </c>
      <c r="J161" s="5">
        <v>1</v>
      </c>
      <c r="K161" s="3" t="s">
        <v>14</v>
      </c>
      <c r="L161" s="3" t="s">
        <v>198</v>
      </c>
    </row>
    <row r="162" spans="1:12" x14ac:dyDescent="0.3">
      <c r="A162" s="3" t="s">
        <v>358</v>
      </c>
      <c r="B162" s="4">
        <v>46043</v>
      </c>
      <c r="C162" s="3" t="s">
        <v>73</v>
      </c>
      <c r="D162" s="3" t="s">
        <v>21</v>
      </c>
      <c r="E162" s="3" t="s">
        <v>127</v>
      </c>
      <c r="F162" s="3" t="s">
        <v>135</v>
      </c>
      <c r="G162" s="3" t="s">
        <v>163</v>
      </c>
      <c r="H162" s="3">
        <v>4432</v>
      </c>
      <c r="I162" s="3" t="s">
        <v>133</v>
      </c>
      <c r="J162" s="5">
        <v>3.19</v>
      </c>
      <c r="K162" s="3" t="s">
        <v>191</v>
      </c>
      <c r="L162" s="3" t="s">
        <v>195</v>
      </c>
    </row>
    <row r="163" spans="1:12" x14ac:dyDescent="0.3">
      <c r="A163" s="3" t="s">
        <v>359</v>
      </c>
      <c r="B163" s="4">
        <v>46095</v>
      </c>
      <c r="C163" s="3" t="s">
        <v>88</v>
      </c>
      <c r="D163" s="3" t="s">
        <v>40</v>
      </c>
      <c r="E163" s="3" t="s">
        <v>141</v>
      </c>
      <c r="F163" s="3" t="s">
        <v>135</v>
      </c>
      <c r="G163" s="3" t="s">
        <v>139</v>
      </c>
      <c r="H163" s="3">
        <v>20474</v>
      </c>
      <c r="I163" s="3" t="s">
        <v>133</v>
      </c>
      <c r="J163" s="5">
        <v>1</v>
      </c>
      <c r="K163" s="3" t="s">
        <v>14</v>
      </c>
      <c r="L163" s="3" t="s">
        <v>200</v>
      </c>
    </row>
    <row r="164" spans="1:12" x14ac:dyDescent="0.3">
      <c r="A164" s="3" t="s">
        <v>360</v>
      </c>
      <c r="B164" s="4">
        <v>46044</v>
      </c>
      <c r="C164" s="3" t="s">
        <v>105</v>
      </c>
      <c r="D164" s="3" t="s">
        <v>55</v>
      </c>
      <c r="E164" s="3" t="s">
        <v>141</v>
      </c>
      <c r="F164" s="3" t="s">
        <v>135</v>
      </c>
      <c r="G164" s="3" t="s">
        <v>167</v>
      </c>
      <c r="H164" s="3">
        <v>2545</v>
      </c>
      <c r="I164" s="3" t="s">
        <v>126</v>
      </c>
      <c r="J164" s="5">
        <v>1</v>
      </c>
      <c r="K164" s="3" t="s">
        <v>14</v>
      </c>
      <c r="L164" s="3" t="s">
        <v>198</v>
      </c>
    </row>
    <row r="165" spans="1:12" x14ac:dyDescent="0.3">
      <c r="A165" s="3" t="s">
        <v>361</v>
      </c>
      <c r="B165" s="4">
        <v>46105</v>
      </c>
      <c r="C165" s="3" t="s">
        <v>75</v>
      </c>
      <c r="D165" s="3" t="s">
        <v>55</v>
      </c>
      <c r="E165" s="3" t="s">
        <v>149</v>
      </c>
      <c r="F165" s="3" t="s">
        <v>135</v>
      </c>
      <c r="G165" s="3" t="s">
        <v>148</v>
      </c>
      <c r="H165" s="3">
        <v>1184</v>
      </c>
      <c r="I165" s="3" t="s">
        <v>133</v>
      </c>
      <c r="J165" s="5">
        <v>1</v>
      </c>
      <c r="K165" s="3" t="s">
        <v>14</v>
      </c>
      <c r="L165" s="3" t="s">
        <v>200</v>
      </c>
    </row>
    <row r="166" spans="1:12" x14ac:dyDescent="0.3">
      <c r="A166" s="3" t="s">
        <v>362</v>
      </c>
      <c r="B166" s="4">
        <v>46064</v>
      </c>
      <c r="C166" s="3" t="s">
        <v>91</v>
      </c>
      <c r="D166" s="3" t="s">
        <v>21</v>
      </c>
      <c r="E166" s="3" t="s">
        <v>134</v>
      </c>
      <c r="F166" s="3" t="s">
        <v>135</v>
      </c>
      <c r="G166" s="3" t="s">
        <v>130</v>
      </c>
      <c r="H166" s="3">
        <v>136453</v>
      </c>
      <c r="I166" s="3" t="s">
        <v>133</v>
      </c>
      <c r="J166" s="5">
        <v>1</v>
      </c>
      <c r="K166" s="3" t="s">
        <v>14</v>
      </c>
      <c r="L166" s="3" t="s">
        <v>200</v>
      </c>
    </row>
    <row r="167" spans="1:12" x14ac:dyDescent="0.3">
      <c r="A167" s="3" t="s">
        <v>363</v>
      </c>
      <c r="B167" s="4">
        <v>46087</v>
      </c>
      <c r="C167" s="3" t="s">
        <v>62</v>
      </c>
      <c r="D167" s="3" t="s">
        <v>25</v>
      </c>
      <c r="E167" s="3" t="s">
        <v>127</v>
      </c>
      <c r="F167" s="3" t="s">
        <v>128</v>
      </c>
      <c r="G167" s="3" t="s">
        <v>152</v>
      </c>
      <c r="H167" s="3">
        <v>5781</v>
      </c>
      <c r="I167" s="3" t="s">
        <v>126</v>
      </c>
      <c r="J167" s="5">
        <v>1</v>
      </c>
      <c r="K167" s="3" t="s">
        <v>14</v>
      </c>
      <c r="L167" s="3" t="s">
        <v>214</v>
      </c>
    </row>
    <row r="168" spans="1:12" x14ac:dyDescent="0.3">
      <c r="A168" s="3" t="s">
        <v>364</v>
      </c>
      <c r="B168" s="4">
        <v>46090</v>
      </c>
      <c r="C168" s="3" t="s">
        <v>96</v>
      </c>
      <c r="D168" s="3" t="s">
        <v>36</v>
      </c>
      <c r="E168" s="3" t="s">
        <v>141</v>
      </c>
      <c r="F168" s="3" t="s">
        <v>135</v>
      </c>
      <c r="G168" s="3" t="s">
        <v>170</v>
      </c>
      <c r="H168" s="3">
        <v>36333</v>
      </c>
      <c r="I168" s="3" t="s">
        <v>133</v>
      </c>
      <c r="J168" s="5">
        <v>1</v>
      </c>
      <c r="K168" s="3" t="s">
        <v>14</v>
      </c>
      <c r="L168" s="3" t="s">
        <v>200</v>
      </c>
    </row>
    <row r="169" spans="1:12" x14ac:dyDescent="0.3">
      <c r="A169" s="3" t="s">
        <v>365</v>
      </c>
      <c r="B169" s="4">
        <v>46053</v>
      </c>
      <c r="C169" s="3" t="s">
        <v>100</v>
      </c>
      <c r="D169" s="3" t="s">
        <v>36</v>
      </c>
      <c r="E169" s="3" t="s">
        <v>141</v>
      </c>
      <c r="F169" s="3" t="s">
        <v>135</v>
      </c>
      <c r="G169" s="3" t="s">
        <v>157</v>
      </c>
      <c r="H169" s="3">
        <v>101114</v>
      </c>
      <c r="I169" s="3" t="s">
        <v>133</v>
      </c>
      <c r="J169" s="5">
        <v>1</v>
      </c>
      <c r="K169" s="3" t="s">
        <v>14</v>
      </c>
      <c r="L169" s="3" t="s">
        <v>214</v>
      </c>
    </row>
    <row r="170" spans="1:12" x14ac:dyDescent="0.3">
      <c r="A170" s="3" t="s">
        <v>366</v>
      </c>
      <c r="B170" s="4">
        <v>46129</v>
      </c>
      <c r="C170" s="3" t="s">
        <v>51</v>
      </c>
      <c r="D170" s="3" t="s">
        <v>33</v>
      </c>
      <c r="E170" s="3" t="s">
        <v>141</v>
      </c>
      <c r="F170" s="3" t="s">
        <v>135</v>
      </c>
      <c r="G170" s="3" t="s">
        <v>182</v>
      </c>
      <c r="H170" s="3">
        <v>3141</v>
      </c>
      <c r="I170" s="3" t="s">
        <v>162</v>
      </c>
      <c r="J170" s="5">
        <v>1</v>
      </c>
      <c r="K170" s="3" t="s">
        <v>14</v>
      </c>
      <c r="L170" s="3" t="s">
        <v>195</v>
      </c>
    </row>
    <row r="171" spans="1:12" x14ac:dyDescent="0.3">
      <c r="A171" s="3" t="s">
        <v>367</v>
      </c>
      <c r="B171" s="4">
        <v>46143</v>
      </c>
      <c r="C171" s="3" t="s">
        <v>77</v>
      </c>
      <c r="D171" s="3" t="s">
        <v>12</v>
      </c>
      <c r="E171" s="3" t="s">
        <v>127</v>
      </c>
      <c r="F171" s="3" t="s">
        <v>128</v>
      </c>
      <c r="G171" s="3" t="s">
        <v>123</v>
      </c>
      <c r="H171" s="3">
        <v>3616</v>
      </c>
      <c r="I171" s="3" t="s">
        <v>126</v>
      </c>
      <c r="J171" s="5">
        <v>1</v>
      </c>
      <c r="K171" s="3" t="s">
        <v>14</v>
      </c>
      <c r="L171" s="3" t="s">
        <v>200</v>
      </c>
    </row>
    <row r="172" spans="1:12" x14ac:dyDescent="0.3">
      <c r="A172" s="3" t="s">
        <v>368</v>
      </c>
      <c r="B172" s="4">
        <v>46094</v>
      </c>
      <c r="C172" s="3" t="s">
        <v>96</v>
      </c>
      <c r="D172" s="3" t="s">
        <v>36</v>
      </c>
      <c r="E172" s="3" t="s">
        <v>141</v>
      </c>
      <c r="F172" s="3" t="s">
        <v>135</v>
      </c>
      <c r="G172" s="3" t="s">
        <v>182</v>
      </c>
      <c r="H172" s="3">
        <v>12296</v>
      </c>
      <c r="I172" s="3" t="s">
        <v>162</v>
      </c>
      <c r="J172" s="5">
        <v>1</v>
      </c>
      <c r="K172" s="3" t="s">
        <v>14</v>
      </c>
      <c r="L172" s="3" t="s">
        <v>214</v>
      </c>
    </row>
    <row r="173" spans="1:12" x14ac:dyDescent="0.3">
      <c r="A173" s="3" t="s">
        <v>369</v>
      </c>
      <c r="B173" s="4">
        <v>46107</v>
      </c>
      <c r="C173" s="3" t="s">
        <v>71</v>
      </c>
      <c r="D173" s="3" t="s">
        <v>12</v>
      </c>
      <c r="E173" s="3" t="s">
        <v>149</v>
      </c>
      <c r="F173" s="3" t="s">
        <v>135</v>
      </c>
      <c r="G173" s="3" t="s">
        <v>164</v>
      </c>
      <c r="H173" s="3">
        <v>12255</v>
      </c>
      <c r="I173" s="3" t="s">
        <v>133</v>
      </c>
      <c r="J173" s="5">
        <v>1</v>
      </c>
      <c r="K173" s="3" t="s">
        <v>14</v>
      </c>
      <c r="L173" s="3" t="s">
        <v>198</v>
      </c>
    </row>
    <row r="174" spans="1:12" x14ac:dyDescent="0.3">
      <c r="A174" s="3" t="s">
        <v>370</v>
      </c>
      <c r="B174" s="4">
        <v>46083</v>
      </c>
      <c r="C174" s="3" t="s">
        <v>58</v>
      </c>
      <c r="D174" s="3" t="s">
        <v>28</v>
      </c>
      <c r="E174" s="3" t="s">
        <v>134</v>
      </c>
      <c r="F174" s="3" t="s">
        <v>135</v>
      </c>
      <c r="G174" s="3" t="s">
        <v>181</v>
      </c>
      <c r="H174" s="3">
        <v>3824</v>
      </c>
      <c r="I174" s="3" t="s">
        <v>126</v>
      </c>
      <c r="J174" s="5">
        <v>4.13</v>
      </c>
      <c r="K174" s="3" t="s">
        <v>191</v>
      </c>
      <c r="L174" s="3" t="s">
        <v>198</v>
      </c>
    </row>
    <row r="175" spans="1:12" x14ac:dyDescent="0.3">
      <c r="A175" s="3" t="s">
        <v>371</v>
      </c>
      <c r="B175" s="4">
        <v>46101</v>
      </c>
      <c r="C175" s="3" t="s">
        <v>83</v>
      </c>
      <c r="D175" s="3" t="s">
        <v>21</v>
      </c>
      <c r="E175" s="3" t="s">
        <v>141</v>
      </c>
      <c r="F175" s="3" t="s">
        <v>135</v>
      </c>
      <c r="G175" s="3" t="s">
        <v>179</v>
      </c>
      <c r="H175" s="3">
        <v>20786</v>
      </c>
      <c r="I175" s="3" t="s">
        <v>162</v>
      </c>
      <c r="J175" s="5">
        <v>2.39</v>
      </c>
      <c r="K175" s="3" t="s">
        <v>191</v>
      </c>
      <c r="L175" s="3" t="s">
        <v>200</v>
      </c>
    </row>
    <row r="176" spans="1:12" x14ac:dyDescent="0.3">
      <c r="A176" s="3" t="s">
        <v>372</v>
      </c>
      <c r="B176" s="4">
        <v>46128</v>
      </c>
      <c r="C176" s="3" t="s">
        <v>51</v>
      </c>
      <c r="D176" s="3" t="s">
        <v>33</v>
      </c>
      <c r="E176" s="3" t="s">
        <v>141</v>
      </c>
      <c r="F176" s="3" t="s">
        <v>135</v>
      </c>
      <c r="G176" s="3" t="s">
        <v>182</v>
      </c>
      <c r="H176" s="3">
        <v>3141</v>
      </c>
      <c r="I176" s="3" t="s">
        <v>162</v>
      </c>
      <c r="J176" s="5">
        <v>1</v>
      </c>
      <c r="K176" s="3" t="s">
        <v>14</v>
      </c>
      <c r="L176" s="3" t="s">
        <v>200</v>
      </c>
    </row>
    <row r="177" spans="1:12" x14ac:dyDescent="0.3">
      <c r="A177" s="3" t="s">
        <v>373</v>
      </c>
      <c r="B177" s="4">
        <v>46067</v>
      </c>
      <c r="C177" s="3" t="s">
        <v>45</v>
      </c>
      <c r="D177" s="3" t="s">
        <v>40</v>
      </c>
      <c r="E177" s="3" t="s">
        <v>144</v>
      </c>
      <c r="F177" s="3" t="s">
        <v>135</v>
      </c>
      <c r="G177" s="3" t="s">
        <v>158</v>
      </c>
      <c r="H177" s="3">
        <v>4582</v>
      </c>
      <c r="I177" s="3" t="s">
        <v>126</v>
      </c>
      <c r="J177" s="5">
        <v>5.15</v>
      </c>
      <c r="K177" s="3" t="s">
        <v>191</v>
      </c>
      <c r="L177" s="3" t="s">
        <v>214</v>
      </c>
    </row>
    <row r="178" spans="1:12" x14ac:dyDescent="0.3">
      <c r="A178" s="3" t="s">
        <v>374</v>
      </c>
      <c r="B178" s="4">
        <v>46051</v>
      </c>
      <c r="C178" s="3" t="s">
        <v>48</v>
      </c>
      <c r="D178" s="3" t="s">
        <v>36</v>
      </c>
      <c r="E178" s="3" t="s">
        <v>127</v>
      </c>
      <c r="F178" s="3" t="s">
        <v>135</v>
      </c>
      <c r="G178" s="3" t="s">
        <v>146</v>
      </c>
      <c r="H178" s="3">
        <v>1342</v>
      </c>
      <c r="I178" s="3" t="s">
        <v>133</v>
      </c>
      <c r="J178" s="5">
        <v>1</v>
      </c>
      <c r="K178" s="3" t="s">
        <v>14</v>
      </c>
      <c r="L178" s="3" t="s">
        <v>195</v>
      </c>
    </row>
    <row r="179" spans="1:12" x14ac:dyDescent="0.3">
      <c r="A179" s="3" t="s">
        <v>375</v>
      </c>
      <c r="B179" s="4">
        <v>46044</v>
      </c>
      <c r="C179" s="3" t="s">
        <v>54</v>
      </c>
      <c r="D179" s="3" t="s">
        <v>55</v>
      </c>
      <c r="E179" s="3" t="s">
        <v>141</v>
      </c>
      <c r="F179" s="3" t="s">
        <v>135</v>
      </c>
      <c r="G179" s="3" t="s">
        <v>170</v>
      </c>
      <c r="H179" s="3">
        <v>38679</v>
      </c>
      <c r="I179" s="3" t="s">
        <v>133</v>
      </c>
      <c r="J179" s="5">
        <v>1</v>
      </c>
      <c r="K179" s="3" t="s">
        <v>14</v>
      </c>
      <c r="L179" s="3" t="s">
        <v>198</v>
      </c>
    </row>
    <row r="180" spans="1:12" x14ac:dyDescent="0.3">
      <c r="A180" s="3" t="s">
        <v>376</v>
      </c>
      <c r="B180" s="4">
        <v>46096</v>
      </c>
      <c r="C180" s="3" t="s">
        <v>93</v>
      </c>
      <c r="D180" s="3" t="s">
        <v>66</v>
      </c>
      <c r="E180" s="3" t="s">
        <v>144</v>
      </c>
      <c r="F180" s="3" t="s">
        <v>135</v>
      </c>
      <c r="G180" s="3" t="s">
        <v>185</v>
      </c>
      <c r="H180" s="3">
        <v>3674</v>
      </c>
      <c r="I180" s="3" t="s">
        <v>133</v>
      </c>
      <c r="J180" s="5">
        <v>1</v>
      </c>
      <c r="K180" s="3" t="s">
        <v>14</v>
      </c>
      <c r="L180" s="3" t="s">
        <v>214</v>
      </c>
    </row>
    <row r="181" spans="1:12" x14ac:dyDescent="0.3">
      <c r="A181" s="3" t="s">
        <v>377</v>
      </c>
      <c r="B181" s="4">
        <v>46120</v>
      </c>
      <c r="C181" s="3" t="s">
        <v>108</v>
      </c>
      <c r="D181" s="3" t="s">
        <v>55</v>
      </c>
      <c r="E181" s="3" t="s">
        <v>149</v>
      </c>
      <c r="F181" s="3" t="s">
        <v>135</v>
      </c>
      <c r="G181" s="3" t="s">
        <v>148</v>
      </c>
      <c r="H181" s="3">
        <v>2793</v>
      </c>
      <c r="I181" s="3" t="s">
        <v>133</v>
      </c>
      <c r="J181" s="5">
        <v>1</v>
      </c>
      <c r="K181" s="3" t="s">
        <v>14</v>
      </c>
      <c r="L181" s="3" t="s">
        <v>198</v>
      </c>
    </row>
  </sheetData>
  <autoFilter ref="A1:L181" xr:uid="{00000000-0009-0000-0000-000005000000}"/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8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2" customWidth="1"/>
    <col min="4" max="4" width="13" customWidth="1"/>
    <col min="5" max="5" width="18" customWidth="1"/>
    <col min="6" max="6" width="14" customWidth="1"/>
    <col min="7" max="8" width="12" customWidth="1"/>
  </cols>
  <sheetData>
    <row r="1" spans="1:8" x14ac:dyDescent="0.3">
      <c r="A1" s="2" t="s">
        <v>1</v>
      </c>
      <c r="B1" s="2" t="s">
        <v>4</v>
      </c>
      <c r="C1" s="2" t="s">
        <v>6</v>
      </c>
      <c r="D1" s="2" t="s">
        <v>378</v>
      </c>
      <c r="E1" s="2" t="s">
        <v>379</v>
      </c>
      <c r="F1" s="2" t="s">
        <v>380</v>
      </c>
      <c r="G1" s="2" t="s">
        <v>381</v>
      </c>
      <c r="H1" s="2" t="s">
        <v>382</v>
      </c>
    </row>
    <row r="2" spans="1:8" x14ac:dyDescent="0.3">
      <c r="A2" s="3" t="s">
        <v>10</v>
      </c>
      <c r="B2" s="3" t="s">
        <v>12</v>
      </c>
      <c r="C2" s="3">
        <v>5263</v>
      </c>
      <c r="D2" s="5">
        <v>9901.4699999999993</v>
      </c>
      <c r="E2" s="5">
        <v>6026.58</v>
      </c>
      <c r="F2" s="5">
        <v>1139.1400000000001</v>
      </c>
      <c r="G2" s="5">
        <v>10005.709999999999</v>
      </c>
      <c r="H2" s="3">
        <v>3562.27</v>
      </c>
    </row>
    <row r="3" spans="1:8" x14ac:dyDescent="0.3">
      <c r="A3" s="3" t="s">
        <v>16</v>
      </c>
      <c r="B3" s="3" t="s">
        <v>17</v>
      </c>
      <c r="C3" s="3">
        <v>9914</v>
      </c>
      <c r="D3" s="5">
        <v>35120.480000000003</v>
      </c>
      <c r="E3" s="5">
        <v>13418.6</v>
      </c>
      <c r="F3" s="5">
        <v>1610.6</v>
      </c>
      <c r="G3" s="5">
        <v>8685.8700000000008</v>
      </c>
      <c r="H3" s="3">
        <v>2776.49</v>
      </c>
    </row>
    <row r="4" spans="1:8" x14ac:dyDescent="0.3">
      <c r="A4" s="3" t="s">
        <v>19</v>
      </c>
      <c r="B4" s="3" t="s">
        <v>21</v>
      </c>
      <c r="C4" s="3">
        <v>1342</v>
      </c>
      <c r="D4" s="5">
        <v>4480.25</v>
      </c>
      <c r="E4" s="5">
        <v>885.8</v>
      </c>
      <c r="F4" s="5">
        <v>217.26</v>
      </c>
      <c r="G4" s="5">
        <v>2702.53</v>
      </c>
      <c r="H4" s="3">
        <v>198.66</v>
      </c>
    </row>
    <row r="5" spans="1:8" x14ac:dyDescent="0.3">
      <c r="A5" s="3" t="s">
        <v>23</v>
      </c>
      <c r="B5" s="3" t="s">
        <v>25</v>
      </c>
      <c r="C5" s="3">
        <v>5769</v>
      </c>
      <c r="D5" s="5">
        <v>20555.11</v>
      </c>
      <c r="E5" s="5">
        <v>5002.32</v>
      </c>
      <c r="F5" s="5">
        <v>848.26</v>
      </c>
      <c r="G5" s="5">
        <v>10288.469999999999</v>
      </c>
      <c r="H5" s="3">
        <v>2689.45</v>
      </c>
    </row>
    <row r="6" spans="1:8" x14ac:dyDescent="0.3">
      <c r="A6" s="3" t="s">
        <v>27</v>
      </c>
      <c r="B6" s="3" t="s">
        <v>28</v>
      </c>
      <c r="C6" s="3">
        <v>11218</v>
      </c>
      <c r="D6" s="5">
        <v>44055.11</v>
      </c>
      <c r="E6" s="5">
        <v>4371.2700000000004</v>
      </c>
      <c r="F6" s="5">
        <v>2589.4</v>
      </c>
      <c r="G6" s="5">
        <v>22515.03</v>
      </c>
      <c r="H6" s="3">
        <v>6307.52</v>
      </c>
    </row>
    <row r="7" spans="1:8" x14ac:dyDescent="0.3">
      <c r="A7" s="3" t="s">
        <v>31</v>
      </c>
      <c r="B7" s="3" t="s">
        <v>33</v>
      </c>
      <c r="C7" s="3">
        <v>4306</v>
      </c>
      <c r="D7" s="5">
        <v>12594.5</v>
      </c>
      <c r="E7" s="5">
        <v>4838.32</v>
      </c>
      <c r="F7" s="5">
        <v>1690.57</v>
      </c>
      <c r="G7" s="5">
        <v>8718.14</v>
      </c>
      <c r="H7" s="3">
        <v>1628.77</v>
      </c>
    </row>
    <row r="8" spans="1:8" x14ac:dyDescent="0.3">
      <c r="A8" s="3" t="s">
        <v>34</v>
      </c>
      <c r="B8" s="3" t="s">
        <v>36</v>
      </c>
      <c r="C8" s="3">
        <v>4961</v>
      </c>
      <c r="D8" s="5">
        <v>9854.09</v>
      </c>
      <c r="E8" s="5">
        <v>3551.38</v>
      </c>
      <c r="F8" s="5">
        <v>1961</v>
      </c>
      <c r="G8" s="5">
        <v>7848.51</v>
      </c>
      <c r="H8" s="3">
        <v>2630.2</v>
      </c>
    </row>
    <row r="9" spans="1:8" x14ac:dyDescent="0.3">
      <c r="A9" s="3" t="s">
        <v>39</v>
      </c>
      <c r="B9" s="3" t="s">
        <v>40</v>
      </c>
      <c r="C9" s="3">
        <v>9075</v>
      </c>
      <c r="D9" s="5">
        <v>11902.21</v>
      </c>
      <c r="E9" s="5">
        <v>4806.66</v>
      </c>
      <c r="F9" s="5">
        <v>1219.53</v>
      </c>
      <c r="G9" s="5">
        <v>12675.4</v>
      </c>
      <c r="H9" s="3">
        <v>3160.97</v>
      </c>
    </row>
    <row r="10" spans="1:8" x14ac:dyDescent="0.3">
      <c r="A10" s="3" t="s">
        <v>41</v>
      </c>
      <c r="B10" s="3" t="s">
        <v>17</v>
      </c>
      <c r="C10" s="3">
        <v>2613</v>
      </c>
      <c r="D10" s="5">
        <v>7453.29</v>
      </c>
      <c r="E10" s="5">
        <v>1277.1099999999999</v>
      </c>
      <c r="F10" s="5">
        <v>167.66</v>
      </c>
      <c r="G10" s="5">
        <v>1580.61</v>
      </c>
      <c r="H10" s="3">
        <v>905.62</v>
      </c>
    </row>
    <row r="11" spans="1:8" x14ac:dyDescent="0.3">
      <c r="A11" s="3" t="s">
        <v>43</v>
      </c>
      <c r="B11" s="3" t="s">
        <v>33</v>
      </c>
      <c r="C11" s="3">
        <v>5933</v>
      </c>
      <c r="D11" s="5">
        <v>7708.09</v>
      </c>
      <c r="E11" s="5">
        <v>3409.19</v>
      </c>
      <c r="F11" s="5">
        <v>1897.84</v>
      </c>
      <c r="G11" s="5">
        <v>11077.71</v>
      </c>
      <c r="H11" s="3">
        <v>1403.33</v>
      </c>
    </row>
    <row r="12" spans="1:8" x14ac:dyDescent="0.3">
      <c r="A12" s="3" t="s">
        <v>44</v>
      </c>
      <c r="B12" s="3" t="s">
        <v>36</v>
      </c>
      <c r="C12" s="3">
        <v>3043</v>
      </c>
      <c r="D12" s="5">
        <v>6389.82</v>
      </c>
      <c r="E12" s="5">
        <v>3992.03</v>
      </c>
      <c r="F12" s="5">
        <v>470.03</v>
      </c>
      <c r="G12" s="5">
        <v>6005.89</v>
      </c>
      <c r="H12" s="3">
        <v>447.5</v>
      </c>
    </row>
    <row r="13" spans="1:8" x14ac:dyDescent="0.3">
      <c r="A13" s="3" t="s">
        <v>45</v>
      </c>
      <c r="B13" s="3" t="s">
        <v>40</v>
      </c>
      <c r="C13" s="3">
        <v>7152</v>
      </c>
      <c r="D13" s="5">
        <v>12398.75</v>
      </c>
      <c r="E13" s="5">
        <v>5900.75</v>
      </c>
      <c r="F13" s="5">
        <v>2268.21</v>
      </c>
      <c r="G13" s="5">
        <v>16227.47</v>
      </c>
      <c r="H13" s="3">
        <v>998.65</v>
      </c>
    </row>
    <row r="14" spans="1:8" x14ac:dyDescent="0.3">
      <c r="A14" s="3" t="s">
        <v>46</v>
      </c>
      <c r="B14" s="3" t="s">
        <v>28</v>
      </c>
      <c r="C14" s="3">
        <v>10256</v>
      </c>
      <c r="D14" s="5">
        <v>39217.480000000003</v>
      </c>
      <c r="E14" s="5">
        <v>14210.3</v>
      </c>
      <c r="F14" s="5">
        <v>1257.6099999999999</v>
      </c>
      <c r="G14" s="5">
        <v>23085.22</v>
      </c>
      <c r="H14" s="3">
        <v>1964.07</v>
      </c>
    </row>
    <row r="15" spans="1:8" x14ac:dyDescent="0.3">
      <c r="A15" s="3" t="s">
        <v>47</v>
      </c>
      <c r="B15" s="3" t="s">
        <v>12</v>
      </c>
      <c r="C15" s="3">
        <v>5526</v>
      </c>
      <c r="D15" s="5">
        <v>6638.44</v>
      </c>
      <c r="E15" s="5">
        <v>1435.45</v>
      </c>
      <c r="F15" s="5">
        <v>571.04999999999995</v>
      </c>
      <c r="G15" s="5">
        <v>9118.56</v>
      </c>
      <c r="H15" s="3">
        <v>993.14</v>
      </c>
    </row>
    <row r="16" spans="1:8" x14ac:dyDescent="0.3">
      <c r="A16" s="3" t="s">
        <v>48</v>
      </c>
      <c r="B16" s="3" t="s">
        <v>36</v>
      </c>
      <c r="C16" s="3">
        <v>3355</v>
      </c>
      <c r="D16" s="5">
        <v>11481.61</v>
      </c>
      <c r="E16" s="5">
        <v>2584.6799999999998</v>
      </c>
      <c r="F16" s="5">
        <v>876.04</v>
      </c>
      <c r="G16" s="5">
        <v>5214.51</v>
      </c>
      <c r="H16" s="3">
        <v>971.67</v>
      </c>
    </row>
    <row r="17" spans="1:8" x14ac:dyDescent="0.3">
      <c r="A17" s="3" t="s">
        <v>49</v>
      </c>
      <c r="B17" s="3" t="s">
        <v>28</v>
      </c>
      <c r="C17" s="3">
        <v>10419</v>
      </c>
      <c r="D17" s="5">
        <v>23904.78</v>
      </c>
      <c r="E17" s="5">
        <v>3684.22</v>
      </c>
      <c r="F17" s="5">
        <v>2397.33</v>
      </c>
      <c r="G17" s="5">
        <v>14839.55</v>
      </c>
      <c r="H17" s="3">
        <v>5846.91</v>
      </c>
    </row>
    <row r="18" spans="1:8" x14ac:dyDescent="0.3">
      <c r="A18" s="3" t="s">
        <v>50</v>
      </c>
      <c r="B18" s="3" t="s">
        <v>33</v>
      </c>
      <c r="C18" s="3">
        <v>2668</v>
      </c>
      <c r="D18" s="5">
        <v>6370.53</v>
      </c>
      <c r="E18" s="5">
        <v>2385.3200000000002</v>
      </c>
      <c r="F18" s="5">
        <v>244.52</v>
      </c>
      <c r="G18" s="5">
        <v>4378.84</v>
      </c>
      <c r="H18" s="3">
        <v>1505.84</v>
      </c>
    </row>
    <row r="19" spans="1:8" x14ac:dyDescent="0.3">
      <c r="A19" s="3" t="s">
        <v>51</v>
      </c>
      <c r="B19" s="3" t="s">
        <v>33</v>
      </c>
      <c r="C19" s="3">
        <v>9312</v>
      </c>
      <c r="D19" s="5">
        <v>30511.63</v>
      </c>
      <c r="E19" s="5">
        <v>3632.45</v>
      </c>
      <c r="F19" s="5">
        <v>3720</v>
      </c>
      <c r="G19" s="5">
        <v>4628.68</v>
      </c>
      <c r="H19" s="3">
        <v>2204.71</v>
      </c>
    </row>
    <row r="20" spans="1:8" x14ac:dyDescent="0.3">
      <c r="A20" s="3" t="s">
        <v>52</v>
      </c>
      <c r="B20" s="3" t="s">
        <v>33</v>
      </c>
      <c r="C20" s="3">
        <v>9785</v>
      </c>
      <c r="D20" s="5">
        <v>33399.199999999997</v>
      </c>
      <c r="E20" s="5">
        <v>5329.61</v>
      </c>
      <c r="F20" s="5">
        <v>3433.38</v>
      </c>
      <c r="G20" s="5">
        <v>10367.18</v>
      </c>
      <c r="H20" s="3">
        <v>4607.8900000000003</v>
      </c>
    </row>
    <row r="21" spans="1:8" x14ac:dyDescent="0.3">
      <c r="A21" s="3" t="s">
        <v>53</v>
      </c>
      <c r="B21" s="3" t="s">
        <v>21</v>
      </c>
      <c r="C21" s="3">
        <v>4846</v>
      </c>
      <c r="D21" s="5">
        <v>21871.56</v>
      </c>
      <c r="E21" s="5">
        <v>2743.72</v>
      </c>
      <c r="F21" s="5">
        <v>634.34</v>
      </c>
      <c r="G21" s="5">
        <v>6257.87</v>
      </c>
      <c r="H21" s="3">
        <v>903.41</v>
      </c>
    </row>
    <row r="22" spans="1:8" x14ac:dyDescent="0.3">
      <c r="A22" s="3" t="s">
        <v>54</v>
      </c>
      <c r="B22" s="3" t="s">
        <v>55</v>
      </c>
      <c r="C22" s="3">
        <v>7858</v>
      </c>
      <c r="D22" s="5">
        <v>21302.560000000001</v>
      </c>
      <c r="E22" s="5">
        <v>10477.36</v>
      </c>
      <c r="F22" s="5">
        <v>1512.9</v>
      </c>
      <c r="G22" s="5">
        <v>15609.49</v>
      </c>
      <c r="H22" s="3">
        <v>1600.76</v>
      </c>
    </row>
    <row r="23" spans="1:8" x14ac:dyDescent="0.3">
      <c r="A23" s="3" t="s">
        <v>56</v>
      </c>
      <c r="B23" s="3" t="s">
        <v>33</v>
      </c>
      <c r="C23" s="3">
        <v>5048</v>
      </c>
      <c r="D23" s="5">
        <v>17557.89</v>
      </c>
      <c r="E23" s="5">
        <v>6920.91</v>
      </c>
      <c r="F23" s="5">
        <v>1382.99</v>
      </c>
      <c r="G23" s="5">
        <v>2583.0500000000002</v>
      </c>
      <c r="H23" s="3">
        <v>2310.36</v>
      </c>
    </row>
    <row r="24" spans="1:8" x14ac:dyDescent="0.3">
      <c r="A24" s="3" t="s">
        <v>57</v>
      </c>
      <c r="B24" s="3" t="s">
        <v>17</v>
      </c>
      <c r="C24" s="3">
        <v>5182</v>
      </c>
      <c r="D24" s="5">
        <v>17981.71</v>
      </c>
      <c r="E24" s="5">
        <v>6219.6</v>
      </c>
      <c r="F24" s="5">
        <v>722.19</v>
      </c>
      <c r="G24" s="5">
        <v>10753.1</v>
      </c>
      <c r="H24" s="3">
        <v>1515.02</v>
      </c>
    </row>
    <row r="25" spans="1:8" x14ac:dyDescent="0.3">
      <c r="A25" s="3" t="s">
        <v>58</v>
      </c>
      <c r="B25" s="3" t="s">
        <v>28</v>
      </c>
      <c r="C25" s="3">
        <v>8093</v>
      </c>
      <c r="D25" s="5">
        <v>34718.199999999997</v>
      </c>
      <c r="E25" s="5">
        <v>5460.47</v>
      </c>
      <c r="F25" s="5">
        <v>1936.84</v>
      </c>
      <c r="G25" s="5">
        <v>6326.99</v>
      </c>
      <c r="H25" s="3">
        <v>1824.59</v>
      </c>
    </row>
    <row r="26" spans="1:8" x14ac:dyDescent="0.3">
      <c r="A26" s="3" t="s">
        <v>59</v>
      </c>
      <c r="B26" s="3" t="s">
        <v>12</v>
      </c>
      <c r="C26" s="3">
        <v>6759</v>
      </c>
      <c r="D26" s="5">
        <v>26402.29</v>
      </c>
      <c r="E26" s="5">
        <v>5145.99</v>
      </c>
      <c r="F26" s="5">
        <v>1409.96</v>
      </c>
      <c r="G26" s="5">
        <v>13727.74</v>
      </c>
      <c r="H26" s="3">
        <v>1685.03</v>
      </c>
    </row>
    <row r="27" spans="1:8" x14ac:dyDescent="0.3">
      <c r="A27" s="3" t="s">
        <v>60</v>
      </c>
      <c r="B27" s="3" t="s">
        <v>17</v>
      </c>
      <c r="C27" s="3">
        <v>1596</v>
      </c>
      <c r="D27" s="5">
        <v>4648.82</v>
      </c>
      <c r="E27" s="5">
        <v>489.01</v>
      </c>
      <c r="F27" s="5">
        <v>523.22</v>
      </c>
      <c r="G27" s="5">
        <v>841.66</v>
      </c>
      <c r="H27" s="3">
        <v>474.21</v>
      </c>
    </row>
    <row r="28" spans="1:8" x14ac:dyDescent="0.3">
      <c r="A28" s="3" t="s">
        <v>61</v>
      </c>
      <c r="B28" s="3" t="s">
        <v>40</v>
      </c>
      <c r="C28" s="3">
        <v>8326</v>
      </c>
      <c r="D28" s="5">
        <v>23531.22</v>
      </c>
      <c r="E28" s="5">
        <v>9116.1200000000008</v>
      </c>
      <c r="F28" s="5">
        <v>1794.5</v>
      </c>
      <c r="G28" s="5">
        <v>5824.72</v>
      </c>
      <c r="H28" s="3">
        <v>3498.53</v>
      </c>
    </row>
    <row r="29" spans="1:8" x14ac:dyDescent="0.3">
      <c r="A29" s="3" t="s">
        <v>62</v>
      </c>
      <c r="B29" s="3" t="s">
        <v>25</v>
      </c>
      <c r="C29" s="3">
        <v>7743</v>
      </c>
      <c r="D29" s="5">
        <v>9504.2000000000007</v>
      </c>
      <c r="E29" s="5">
        <v>11193.78</v>
      </c>
      <c r="F29" s="5">
        <v>1465.42</v>
      </c>
      <c r="G29" s="5">
        <v>8113.43</v>
      </c>
      <c r="H29" s="3">
        <v>3380.53</v>
      </c>
    </row>
    <row r="30" spans="1:8" x14ac:dyDescent="0.3">
      <c r="A30" s="3" t="s">
        <v>63</v>
      </c>
      <c r="B30" s="3" t="s">
        <v>25</v>
      </c>
      <c r="C30" s="3">
        <v>9672</v>
      </c>
      <c r="D30" s="5">
        <v>31776.46</v>
      </c>
      <c r="E30" s="5">
        <v>13756.74</v>
      </c>
      <c r="F30" s="5">
        <v>1622.11</v>
      </c>
      <c r="G30" s="5">
        <v>13833.09</v>
      </c>
      <c r="H30" s="3">
        <v>4189.1000000000004</v>
      </c>
    </row>
    <row r="31" spans="1:8" x14ac:dyDescent="0.3">
      <c r="A31" s="3" t="s">
        <v>64</v>
      </c>
      <c r="B31" s="3" t="s">
        <v>40</v>
      </c>
      <c r="C31" s="3">
        <v>9850</v>
      </c>
      <c r="D31" s="5">
        <v>22711.78</v>
      </c>
      <c r="E31" s="5">
        <v>12507.27</v>
      </c>
      <c r="F31" s="5">
        <v>2404.2600000000002</v>
      </c>
      <c r="G31" s="5">
        <v>17026.419999999998</v>
      </c>
      <c r="H31" s="3">
        <v>2532.02</v>
      </c>
    </row>
    <row r="32" spans="1:8" x14ac:dyDescent="0.3">
      <c r="A32" s="3" t="s">
        <v>65</v>
      </c>
      <c r="B32" s="3" t="s">
        <v>66</v>
      </c>
      <c r="C32" s="3">
        <v>10153</v>
      </c>
      <c r="D32" s="5">
        <v>30801.93</v>
      </c>
      <c r="E32" s="5">
        <v>12680.4</v>
      </c>
      <c r="F32" s="5">
        <v>3800.46</v>
      </c>
      <c r="G32" s="5">
        <v>11036.09</v>
      </c>
      <c r="H32" s="3">
        <v>6957.25</v>
      </c>
    </row>
    <row r="33" spans="1:8" x14ac:dyDescent="0.3">
      <c r="A33" s="3" t="s">
        <v>67</v>
      </c>
      <c r="B33" s="3" t="s">
        <v>55</v>
      </c>
      <c r="C33" s="3">
        <v>11479</v>
      </c>
      <c r="D33" s="5">
        <v>28124.45</v>
      </c>
      <c r="E33" s="5">
        <v>13163.31</v>
      </c>
      <c r="F33" s="5">
        <v>4326.79</v>
      </c>
      <c r="G33" s="5">
        <v>20373.310000000001</v>
      </c>
      <c r="H33" s="3">
        <v>4771.12</v>
      </c>
    </row>
    <row r="34" spans="1:8" x14ac:dyDescent="0.3">
      <c r="A34" s="3" t="s">
        <v>68</v>
      </c>
      <c r="B34" s="3" t="s">
        <v>40</v>
      </c>
      <c r="C34" s="3">
        <v>7357</v>
      </c>
      <c r="D34" s="5">
        <v>34046.07</v>
      </c>
      <c r="E34" s="5">
        <v>2874.25</v>
      </c>
      <c r="F34" s="5">
        <v>1330.19</v>
      </c>
      <c r="G34" s="5">
        <v>6320.64</v>
      </c>
      <c r="H34" s="3">
        <v>2107.83</v>
      </c>
    </row>
    <row r="35" spans="1:8" x14ac:dyDescent="0.3">
      <c r="A35" s="3" t="s">
        <v>69</v>
      </c>
      <c r="B35" s="3" t="s">
        <v>17</v>
      </c>
      <c r="C35" s="3">
        <v>5174</v>
      </c>
      <c r="D35" s="5">
        <v>8195.6299999999992</v>
      </c>
      <c r="E35" s="5">
        <v>3447.39</v>
      </c>
      <c r="F35" s="5">
        <v>687.59</v>
      </c>
      <c r="G35" s="5">
        <v>4407.96</v>
      </c>
      <c r="H35" s="3">
        <v>2930.8</v>
      </c>
    </row>
    <row r="36" spans="1:8" x14ac:dyDescent="0.3">
      <c r="A36" s="3" t="s">
        <v>70</v>
      </c>
      <c r="B36" s="3" t="s">
        <v>25</v>
      </c>
      <c r="C36" s="3">
        <v>7852</v>
      </c>
      <c r="D36" s="5">
        <v>20518.740000000002</v>
      </c>
      <c r="E36" s="5">
        <v>11361.43</v>
      </c>
      <c r="F36" s="5">
        <v>2613.46</v>
      </c>
      <c r="G36" s="5">
        <v>15641.92</v>
      </c>
      <c r="H36" s="3">
        <v>4128.58</v>
      </c>
    </row>
    <row r="37" spans="1:8" x14ac:dyDescent="0.3">
      <c r="A37" s="3" t="s">
        <v>71</v>
      </c>
      <c r="B37" s="3" t="s">
        <v>12</v>
      </c>
      <c r="C37" s="3">
        <v>11193</v>
      </c>
      <c r="D37" s="5">
        <v>40922.769999999997</v>
      </c>
      <c r="E37" s="5">
        <v>7497.65</v>
      </c>
      <c r="F37" s="5">
        <v>4044.79</v>
      </c>
      <c r="G37" s="5">
        <v>19022.080000000002</v>
      </c>
      <c r="H37" s="3">
        <v>3803.89</v>
      </c>
    </row>
    <row r="38" spans="1:8" x14ac:dyDescent="0.3">
      <c r="A38" s="3" t="s">
        <v>72</v>
      </c>
      <c r="B38" s="3" t="s">
        <v>40</v>
      </c>
      <c r="C38" s="3">
        <v>8139</v>
      </c>
      <c r="D38" s="5">
        <v>33259.449999999997</v>
      </c>
      <c r="E38" s="5">
        <v>8868.2900000000009</v>
      </c>
      <c r="F38" s="5">
        <v>1289.8900000000001</v>
      </c>
      <c r="G38" s="5">
        <v>10055.040000000001</v>
      </c>
      <c r="H38" s="3">
        <v>1065.82</v>
      </c>
    </row>
    <row r="39" spans="1:8" x14ac:dyDescent="0.3">
      <c r="A39" s="3" t="s">
        <v>73</v>
      </c>
      <c r="B39" s="3" t="s">
        <v>21</v>
      </c>
      <c r="C39" s="3">
        <v>7076</v>
      </c>
      <c r="D39" s="5">
        <v>25482.560000000001</v>
      </c>
      <c r="E39" s="5">
        <v>1877.49</v>
      </c>
      <c r="F39" s="5">
        <v>507.42</v>
      </c>
      <c r="G39" s="5">
        <v>13998.87</v>
      </c>
      <c r="H39" s="3">
        <v>2958.56</v>
      </c>
    </row>
    <row r="40" spans="1:8" x14ac:dyDescent="0.3">
      <c r="A40" s="3" t="s">
        <v>74</v>
      </c>
      <c r="B40" s="3" t="s">
        <v>55</v>
      </c>
      <c r="C40" s="3">
        <v>3093</v>
      </c>
      <c r="D40" s="5">
        <v>12187.17</v>
      </c>
      <c r="E40" s="5">
        <v>4176.0200000000004</v>
      </c>
      <c r="F40" s="5">
        <v>789.44</v>
      </c>
      <c r="G40" s="5">
        <v>4096.8</v>
      </c>
      <c r="H40" s="3">
        <v>2043.19</v>
      </c>
    </row>
    <row r="41" spans="1:8" x14ac:dyDescent="0.3">
      <c r="A41" s="3" t="s">
        <v>75</v>
      </c>
      <c r="B41" s="3" t="s">
        <v>55</v>
      </c>
      <c r="C41" s="3">
        <v>2353</v>
      </c>
      <c r="D41" s="5">
        <v>10496.24</v>
      </c>
      <c r="E41" s="5">
        <v>1007.99</v>
      </c>
      <c r="F41" s="5">
        <v>390.88</v>
      </c>
      <c r="G41" s="5">
        <v>2337.15</v>
      </c>
      <c r="H41" s="3">
        <v>728.5</v>
      </c>
    </row>
    <row r="42" spans="1:8" x14ac:dyDescent="0.3">
      <c r="A42" s="3" t="s">
        <v>76</v>
      </c>
      <c r="B42" s="3" t="s">
        <v>33</v>
      </c>
      <c r="C42" s="3">
        <v>9483</v>
      </c>
      <c r="D42" s="5">
        <v>14139.36</v>
      </c>
      <c r="E42" s="5">
        <v>6018.63</v>
      </c>
      <c r="F42" s="5">
        <v>2102.15</v>
      </c>
      <c r="G42" s="5">
        <v>15110.45</v>
      </c>
      <c r="H42" s="3">
        <v>4120.42</v>
      </c>
    </row>
    <row r="43" spans="1:8" x14ac:dyDescent="0.3">
      <c r="A43" s="3" t="s">
        <v>77</v>
      </c>
      <c r="B43" s="3" t="s">
        <v>12</v>
      </c>
      <c r="C43" s="3">
        <v>9553</v>
      </c>
      <c r="D43" s="5">
        <v>27663.56</v>
      </c>
      <c r="E43" s="5">
        <v>5135.6000000000004</v>
      </c>
      <c r="F43" s="5">
        <v>1732.22</v>
      </c>
      <c r="G43" s="5">
        <v>11679.51</v>
      </c>
      <c r="H43" s="3">
        <v>5998.36</v>
      </c>
    </row>
    <row r="44" spans="1:8" x14ac:dyDescent="0.3">
      <c r="A44" s="3" t="s">
        <v>78</v>
      </c>
      <c r="B44" s="3" t="s">
        <v>33</v>
      </c>
      <c r="C44" s="3">
        <v>8032</v>
      </c>
      <c r="D44" s="5">
        <v>31765.77</v>
      </c>
      <c r="E44" s="5">
        <v>10951.29</v>
      </c>
      <c r="F44" s="5">
        <v>1459.21</v>
      </c>
      <c r="G44" s="5">
        <v>5710.74</v>
      </c>
      <c r="H44" s="3">
        <v>2994.49</v>
      </c>
    </row>
    <row r="45" spans="1:8" x14ac:dyDescent="0.3">
      <c r="A45" s="3" t="s">
        <v>79</v>
      </c>
      <c r="B45" s="3" t="s">
        <v>36</v>
      </c>
      <c r="C45" s="3">
        <v>11036</v>
      </c>
      <c r="D45" s="5">
        <v>31486.240000000002</v>
      </c>
      <c r="E45" s="5">
        <v>12357.41</v>
      </c>
      <c r="F45" s="5">
        <v>1884.16</v>
      </c>
      <c r="G45" s="5">
        <v>23559.919999999998</v>
      </c>
      <c r="H45" s="3">
        <v>6491.54</v>
      </c>
    </row>
    <row r="46" spans="1:8" x14ac:dyDescent="0.3">
      <c r="A46" s="3" t="s">
        <v>80</v>
      </c>
      <c r="B46" s="3" t="s">
        <v>21</v>
      </c>
      <c r="C46" s="3">
        <v>1567</v>
      </c>
      <c r="D46" s="5">
        <v>6268.25</v>
      </c>
      <c r="E46" s="5">
        <v>1678.96</v>
      </c>
      <c r="F46" s="5">
        <v>122.73</v>
      </c>
      <c r="G46" s="5">
        <v>2530.96</v>
      </c>
      <c r="H46" s="3">
        <v>408.94</v>
      </c>
    </row>
    <row r="47" spans="1:8" x14ac:dyDescent="0.3">
      <c r="A47" s="3" t="s">
        <v>81</v>
      </c>
      <c r="B47" s="3" t="s">
        <v>25</v>
      </c>
      <c r="C47" s="3">
        <v>10342</v>
      </c>
      <c r="D47" s="5">
        <v>32708.42</v>
      </c>
      <c r="E47" s="5">
        <v>7274.68</v>
      </c>
      <c r="F47" s="5">
        <v>2631.03</v>
      </c>
      <c r="G47" s="5">
        <v>23611.5</v>
      </c>
      <c r="H47" s="3">
        <v>7146.43</v>
      </c>
    </row>
    <row r="48" spans="1:8" x14ac:dyDescent="0.3">
      <c r="A48" s="3" t="s">
        <v>82</v>
      </c>
      <c r="B48" s="3" t="s">
        <v>25</v>
      </c>
      <c r="C48" s="3">
        <v>2257</v>
      </c>
      <c r="D48" s="5">
        <v>4537.3</v>
      </c>
      <c r="E48" s="5">
        <v>2833.3</v>
      </c>
      <c r="F48" s="5">
        <v>793.94</v>
      </c>
      <c r="G48" s="5">
        <v>3437.94</v>
      </c>
      <c r="H48" s="3">
        <v>699.29</v>
      </c>
    </row>
    <row r="49" spans="1:8" x14ac:dyDescent="0.3">
      <c r="A49" s="3" t="s">
        <v>83</v>
      </c>
      <c r="B49" s="3" t="s">
        <v>21</v>
      </c>
      <c r="C49" s="3">
        <v>6149</v>
      </c>
      <c r="D49" s="5">
        <v>22175.16</v>
      </c>
      <c r="E49" s="5">
        <v>3708.91</v>
      </c>
      <c r="F49" s="5">
        <v>1549.2</v>
      </c>
      <c r="G49" s="5">
        <v>8055.14</v>
      </c>
      <c r="H49" s="3">
        <v>3168.13</v>
      </c>
    </row>
    <row r="50" spans="1:8" x14ac:dyDescent="0.3">
      <c r="A50" s="3" t="s">
        <v>84</v>
      </c>
      <c r="B50" s="3" t="s">
        <v>33</v>
      </c>
      <c r="C50" s="3">
        <v>11316</v>
      </c>
      <c r="D50" s="5">
        <v>22444.46</v>
      </c>
      <c r="E50" s="5">
        <v>10081.82</v>
      </c>
      <c r="F50" s="5">
        <v>2039.52</v>
      </c>
      <c r="G50" s="5">
        <v>7430.32</v>
      </c>
      <c r="H50" s="3">
        <v>5011.0600000000004</v>
      </c>
    </row>
    <row r="51" spans="1:8" x14ac:dyDescent="0.3">
      <c r="A51" s="3" t="s">
        <v>85</v>
      </c>
      <c r="B51" s="3" t="s">
        <v>12</v>
      </c>
      <c r="C51" s="3">
        <v>2721</v>
      </c>
      <c r="D51" s="5">
        <v>9771.59</v>
      </c>
      <c r="E51" s="5">
        <v>1744.71</v>
      </c>
      <c r="F51" s="5">
        <v>972.94</v>
      </c>
      <c r="G51" s="5">
        <v>1446.2</v>
      </c>
      <c r="H51" s="3">
        <v>1384.76</v>
      </c>
    </row>
    <row r="52" spans="1:8" x14ac:dyDescent="0.3">
      <c r="A52" s="3" t="s">
        <v>86</v>
      </c>
      <c r="B52" s="3" t="s">
        <v>33</v>
      </c>
      <c r="C52" s="3">
        <v>8888</v>
      </c>
      <c r="D52" s="5">
        <v>22888.639999999999</v>
      </c>
      <c r="E52" s="5">
        <v>11161.42</v>
      </c>
      <c r="F52" s="5">
        <v>3115.45</v>
      </c>
      <c r="G52" s="5">
        <v>11953.08</v>
      </c>
      <c r="H52" s="3">
        <v>1949.35</v>
      </c>
    </row>
    <row r="53" spans="1:8" x14ac:dyDescent="0.3">
      <c r="A53" s="3" t="s">
        <v>87</v>
      </c>
      <c r="B53" s="3" t="s">
        <v>12</v>
      </c>
      <c r="C53" s="3">
        <v>3009</v>
      </c>
      <c r="D53" s="5">
        <v>4727.42</v>
      </c>
      <c r="E53" s="5">
        <v>1294.45</v>
      </c>
      <c r="F53" s="5">
        <v>1134.28</v>
      </c>
      <c r="G53" s="5">
        <v>2523.59</v>
      </c>
      <c r="H53" s="3">
        <v>506.91</v>
      </c>
    </row>
    <row r="54" spans="1:8" x14ac:dyDescent="0.3">
      <c r="A54" s="3" t="s">
        <v>88</v>
      </c>
      <c r="B54" s="3" t="s">
        <v>40</v>
      </c>
      <c r="C54" s="3">
        <v>4422</v>
      </c>
      <c r="D54" s="5">
        <v>12712.82</v>
      </c>
      <c r="E54" s="5">
        <v>5681.42</v>
      </c>
      <c r="F54" s="5">
        <v>1537.2</v>
      </c>
      <c r="G54" s="5">
        <v>6382.19</v>
      </c>
      <c r="H54" s="3">
        <v>2046.52</v>
      </c>
    </row>
    <row r="55" spans="1:8" x14ac:dyDescent="0.3">
      <c r="A55" s="3" t="s">
        <v>89</v>
      </c>
      <c r="B55" s="3" t="s">
        <v>33</v>
      </c>
      <c r="C55" s="3">
        <v>7422</v>
      </c>
      <c r="D55" s="5">
        <v>17420.02</v>
      </c>
      <c r="E55" s="5">
        <v>5404.49</v>
      </c>
      <c r="F55" s="5">
        <v>747.09</v>
      </c>
      <c r="G55" s="5">
        <v>8256.1200000000008</v>
      </c>
      <c r="H55" s="3">
        <v>1077.5899999999999</v>
      </c>
    </row>
    <row r="56" spans="1:8" x14ac:dyDescent="0.3">
      <c r="A56" s="3" t="s">
        <v>90</v>
      </c>
      <c r="B56" s="3" t="s">
        <v>40</v>
      </c>
      <c r="C56" s="3">
        <v>5352</v>
      </c>
      <c r="D56" s="5">
        <v>12650.76</v>
      </c>
      <c r="E56" s="5">
        <v>2783.23</v>
      </c>
      <c r="F56" s="5">
        <v>1580.43</v>
      </c>
      <c r="G56" s="5">
        <v>4029.23</v>
      </c>
      <c r="H56" s="3">
        <v>766.6</v>
      </c>
    </row>
    <row r="57" spans="1:8" x14ac:dyDescent="0.3">
      <c r="A57" s="3" t="s">
        <v>91</v>
      </c>
      <c r="B57" s="3" t="s">
        <v>21</v>
      </c>
      <c r="C57" s="3">
        <v>11180</v>
      </c>
      <c r="D57" s="5">
        <v>47370.44</v>
      </c>
      <c r="E57" s="5">
        <v>15846.3</v>
      </c>
      <c r="F57" s="5">
        <v>1265.1500000000001</v>
      </c>
      <c r="G57" s="5">
        <v>24651.21</v>
      </c>
      <c r="H57" s="3">
        <v>6212.86</v>
      </c>
    </row>
    <row r="58" spans="1:8" x14ac:dyDescent="0.3">
      <c r="A58" s="3" t="s">
        <v>92</v>
      </c>
      <c r="B58" s="3" t="s">
        <v>40</v>
      </c>
      <c r="C58" s="3">
        <v>6317</v>
      </c>
      <c r="D58" s="5">
        <v>23827.97</v>
      </c>
      <c r="E58" s="5">
        <v>6868.62</v>
      </c>
      <c r="F58" s="5">
        <v>1991.4</v>
      </c>
      <c r="G58" s="5">
        <v>8368.9</v>
      </c>
      <c r="H58" s="3">
        <v>3990.86</v>
      </c>
    </row>
    <row r="59" spans="1:8" x14ac:dyDescent="0.3">
      <c r="A59" s="3" t="s">
        <v>93</v>
      </c>
      <c r="B59" s="3" t="s">
        <v>66</v>
      </c>
      <c r="C59" s="3">
        <v>5275</v>
      </c>
      <c r="D59" s="5">
        <v>11268.23</v>
      </c>
      <c r="E59" s="5">
        <v>1506.51</v>
      </c>
      <c r="F59" s="5">
        <v>380.9</v>
      </c>
      <c r="G59" s="5">
        <v>4945.66</v>
      </c>
      <c r="H59" s="3">
        <v>807.05</v>
      </c>
    </row>
    <row r="60" spans="1:8" x14ac:dyDescent="0.3">
      <c r="A60" s="3" t="s">
        <v>94</v>
      </c>
      <c r="B60" s="3" t="s">
        <v>28</v>
      </c>
      <c r="C60" s="3">
        <v>11673</v>
      </c>
      <c r="D60" s="5">
        <v>39136.92</v>
      </c>
      <c r="E60" s="5">
        <v>12007.16</v>
      </c>
      <c r="F60" s="5">
        <v>614.57000000000005</v>
      </c>
      <c r="G60" s="5">
        <v>17523.419999999998</v>
      </c>
      <c r="H60" s="3">
        <v>2579.61</v>
      </c>
    </row>
    <row r="61" spans="1:8" x14ac:dyDescent="0.3">
      <c r="A61" s="3" t="s">
        <v>95</v>
      </c>
      <c r="B61" s="3" t="s">
        <v>36</v>
      </c>
      <c r="C61" s="3">
        <v>3906</v>
      </c>
      <c r="D61" s="5">
        <v>6764.2</v>
      </c>
      <c r="E61" s="5">
        <v>3848.07</v>
      </c>
      <c r="F61" s="5">
        <v>1167.25</v>
      </c>
      <c r="G61" s="5">
        <v>2087.15</v>
      </c>
      <c r="H61" s="3">
        <v>1468.77</v>
      </c>
    </row>
    <row r="62" spans="1:8" x14ac:dyDescent="0.3">
      <c r="A62" s="3" t="s">
        <v>96</v>
      </c>
      <c r="B62" s="3" t="s">
        <v>36</v>
      </c>
      <c r="C62" s="3">
        <v>10620</v>
      </c>
      <c r="D62" s="5">
        <v>28406.66</v>
      </c>
      <c r="E62" s="5">
        <v>14454.61</v>
      </c>
      <c r="F62" s="5">
        <v>3828.52</v>
      </c>
      <c r="G62" s="5">
        <v>15586.19</v>
      </c>
      <c r="H62" s="3">
        <v>3105.66</v>
      </c>
    </row>
    <row r="63" spans="1:8" x14ac:dyDescent="0.3">
      <c r="A63" s="3" t="s">
        <v>97</v>
      </c>
      <c r="B63" s="3" t="s">
        <v>28</v>
      </c>
      <c r="C63" s="3">
        <v>5499</v>
      </c>
      <c r="D63" s="5">
        <v>19465.78</v>
      </c>
      <c r="E63" s="5">
        <v>4552.28</v>
      </c>
      <c r="F63" s="5">
        <v>398.01</v>
      </c>
      <c r="G63" s="5">
        <v>6105.38</v>
      </c>
      <c r="H63" s="3">
        <v>2886.67</v>
      </c>
    </row>
    <row r="64" spans="1:8" x14ac:dyDescent="0.3">
      <c r="A64" s="3" t="s">
        <v>98</v>
      </c>
      <c r="B64" s="3" t="s">
        <v>55</v>
      </c>
      <c r="C64" s="3">
        <v>1185</v>
      </c>
      <c r="D64" s="5">
        <v>5513.36</v>
      </c>
      <c r="E64" s="5">
        <v>662.78</v>
      </c>
      <c r="F64" s="5">
        <v>318.51</v>
      </c>
      <c r="G64" s="5">
        <v>1359.96</v>
      </c>
      <c r="H64" s="3">
        <v>584.21</v>
      </c>
    </row>
    <row r="65" spans="1:8" x14ac:dyDescent="0.3">
      <c r="A65" s="3" t="s">
        <v>99</v>
      </c>
      <c r="B65" s="3" t="s">
        <v>25</v>
      </c>
      <c r="C65" s="3">
        <v>5876</v>
      </c>
      <c r="D65" s="5">
        <v>23221.360000000001</v>
      </c>
      <c r="E65" s="5">
        <v>5738.87</v>
      </c>
      <c r="F65" s="5">
        <v>2002.81</v>
      </c>
      <c r="G65" s="5">
        <v>2981.96</v>
      </c>
      <c r="H65" s="3">
        <v>1495.16</v>
      </c>
    </row>
    <row r="66" spans="1:8" x14ac:dyDescent="0.3">
      <c r="A66" s="3" t="s">
        <v>100</v>
      </c>
      <c r="B66" s="3" t="s">
        <v>36</v>
      </c>
      <c r="C66" s="3">
        <v>7746</v>
      </c>
      <c r="D66" s="5">
        <v>18468.5</v>
      </c>
      <c r="E66" s="5">
        <v>8459.01</v>
      </c>
      <c r="F66" s="5">
        <v>2390.75</v>
      </c>
      <c r="G66" s="5">
        <v>16828.580000000002</v>
      </c>
      <c r="H66" s="3">
        <v>3358.25</v>
      </c>
    </row>
    <row r="67" spans="1:8" x14ac:dyDescent="0.3">
      <c r="A67" s="3" t="s">
        <v>101</v>
      </c>
      <c r="B67" s="3" t="s">
        <v>55</v>
      </c>
      <c r="C67" s="3">
        <v>8211</v>
      </c>
      <c r="D67" s="5">
        <v>21249.25</v>
      </c>
      <c r="E67" s="5">
        <v>7912.27</v>
      </c>
      <c r="F67" s="5">
        <v>1142.5</v>
      </c>
      <c r="G67" s="5">
        <v>5119.0200000000004</v>
      </c>
      <c r="H67" s="3">
        <v>5418.43</v>
      </c>
    </row>
    <row r="68" spans="1:8" x14ac:dyDescent="0.3">
      <c r="A68" s="3" t="s">
        <v>102</v>
      </c>
      <c r="B68" s="3" t="s">
        <v>28</v>
      </c>
      <c r="C68" s="3">
        <v>6018</v>
      </c>
      <c r="D68" s="5">
        <v>16127.1</v>
      </c>
      <c r="E68" s="5">
        <v>6178.33</v>
      </c>
      <c r="F68" s="5">
        <v>1407.68</v>
      </c>
      <c r="G68" s="5">
        <v>4311.58</v>
      </c>
      <c r="H68" s="3">
        <v>1276.53</v>
      </c>
    </row>
    <row r="69" spans="1:8" x14ac:dyDescent="0.3">
      <c r="A69" s="3" t="s">
        <v>103</v>
      </c>
      <c r="B69" s="3" t="s">
        <v>21</v>
      </c>
      <c r="C69" s="3">
        <v>7206</v>
      </c>
      <c r="D69" s="5">
        <v>21444.99</v>
      </c>
      <c r="E69" s="5">
        <v>9146.11</v>
      </c>
      <c r="F69" s="5">
        <v>994.29</v>
      </c>
      <c r="G69" s="5">
        <v>13650.44</v>
      </c>
      <c r="H69" s="3">
        <v>4962.12</v>
      </c>
    </row>
    <row r="70" spans="1:8" x14ac:dyDescent="0.3">
      <c r="A70" s="3" t="s">
        <v>104</v>
      </c>
      <c r="B70" s="3" t="s">
        <v>21</v>
      </c>
      <c r="C70" s="3">
        <v>8259</v>
      </c>
      <c r="D70" s="5">
        <v>27184.91</v>
      </c>
      <c r="E70" s="5">
        <v>8495.0300000000007</v>
      </c>
      <c r="F70" s="5">
        <v>2728.1</v>
      </c>
      <c r="G70" s="5">
        <v>15848.6</v>
      </c>
      <c r="H70" s="3">
        <v>3474.06</v>
      </c>
    </row>
    <row r="71" spans="1:8" x14ac:dyDescent="0.3">
      <c r="A71" s="3" t="s">
        <v>105</v>
      </c>
      <c r="B71" s="3" t="s">
        <v>55</v>
      </c>
      <c r="C71" s="3">
        <v>3397</v>
      </c>
      <c r="D71" s="5">
        <v>6948.19</v>
      </c>
      <c r="E71" s="5">
        <v>1834.91</v>
      </c>
      <c r="F71" s="5">
        <v>376</v>
      </c>
      <c r="G71" s="5">
        <v>1597.73</v>
      </c>
      <c r="H71" s="3">
        <v>1567.29</v>
      </c>
    </row>
    <row r="72" spans="1:8" x14ac:dyDescent="0.3">
      <c r="A72" s="3" t="s">
        <v>106</v>
      </c>
      <c r="B72" s="3" t="s">
        <v>40</v>
      </c>
      <c r="C72" s="3">
        <v>5249</v>
      </c>
      <c r="D72" s="5">
        <v>21635.37</v>
      </c>
      <c r="E72" s="5">
        <v>2201.46</v>
      </c>
      <c r="F72" s="5">
        <v>1736.43</v>
      </c>
      <c r="G72" s="5">
        <v>4866.12</v>
      </c>
      <c r="H72" s="3">
        <v>2506.84</v>
      </c>
    </row>
    <row r="73" spans="1:8" x14ac:dyDescent="0.3">
      <c r="A73" s="3" t="s">
        <v>107</v>
      </c>
      <c r="B73" s="3" t="s">
        <v>28</v>
      </c>
      <c r="C73" s="3">
        <v>11147</v>
      </c>
      <c r="D73" s="5">
        <v>23906.54</v>
      </c>
      <c r="E73" s="5">
        <v>16196.65</v>
      </c>
      <c r="F73" s="5">
        <v>876.76</v>
      </c>
      <c r="G73" s="5">
        <v>11220.27</v>
      </c>
      <c r="H73" s="3">
        <v>3436.58</v>
      </c>
    </row>
    <row r="74" spans="1:8" x14ac:dyDescent="0.3">
      <c r="A74" s="3" t="s">
        <v>108</v>
      </c>
      <c r="B74" s="3" t="s">
        <v>55</v>
      </c>
      <c r="C74" s="3">
        <v>5550</v>
      </c>
      <c r="D74" s="5">
        <v>15497.45</v>
      </c>
      <c r="E74" s="5">
        <v>2288.86</v>
      </c>
      <c r="F74" s="5">
        <v>573.98</v>
      </c>
      <c r="G74" s="5">
        <v>7560.39</v>
      </c>
      <c r="H74" s="3">
        <v>2302.63</v>
      </c>
    </row>
    <row r="75" spans="1:8" x14ac:dyDescent="0.3">
      <c r="A75" s="3" t="s">
        <v>109</v>
      </c>
      <c r="B75" s="3" t="s">
        <v>55</v>
      </c>
      <c r="C75" s="3">
        <v>3211</v>
      </c>
      <c r="D75" s="5">
        <v>8562.83</v>
      </c>
      <c r="E75" s="5">
        <v>913.86</v>
      </c>
      <c r="F75" s="5">
        <v>447.5</v>
      </c>
      <c r="G75" s="5">
        <v>2990.35</v>
      </c>
      <c r="H75" s="3">
        <v>1848.56</v>
      </c>
    </row>
    <row r="76" spans="1:8" x14ac:dyDescent="0.3">
      <c r="A76" s="3" t="s">
        <v>110</v>
      </c>
      <c r="B76" s="3" t="s">
        <v>66</v>
      </c>
      <c r="C76" s="3">
        <v>6581</v>
      </c>
      <c r="D76" s="5">
        <v>26468.03</v>
      </c>
      <c r="E76" s="5">
        <v>4473.84</v>
      </c>
      <c r="F76" s="5">
        <v>2427.9499999999998</v>
      </c>
      <c r="G76" s="5">
        <v>7183.93</v>
      </c>
      <c r="H76" s="3">
        <v>3349.55</v>
      </c>
    </row>
    <row r="77" spans="1:8" x14ac:dyDescent="0.3">
      <c r="A77" s="3" t="s">
        <v>111</v>
      </c>
      <c r="B77" s="3" t="s">
        <v>21</v>
      </c>
      <c r="C77" s="3">
        <v>6764</v>
      </c>
      <c r="D77" s="5">
        <v>14592.45</v>
      </c>
      <c r="E77" s="5">
        <v>9578.67</v>
      </c>
      <c r="F77" s="5">
        <v>990.84</v>
      </c>
      <c r="G77" s="5">
        <v>4520.78</v>
      </c>
      <c r="H77" s="3">
        <v>1767.62</v>
      </c>
    </row>
    <row r="78" spans="1:8" x14ac:dyDescent="0.3">
      <c r="A78" s="3" t="s">
        <v>112</v>
      </c>
      <c r="B78" s="3" t="s">
        <v>28</v>
      </c>
      <c r="C78" s="3">
        <v>5915</v>
      </c>
      <c r="D78" s="5">
        <v>15330.34</v>
      </c>
      <c r="E78" s="5">
        <v>6528.1</v>
      </c>
      <c r="F78" s="5">
        <v>374.51</v>
      </c>
      <c r="G78" s="5">
        <v>5385.13</v>
      </c>
      <c r="H78" s="3">
        <v>3166.55</v>
      </c>
    </row>
    <row r="79" spans="1:8" x14ac:dyDescent="0.3">
      <c r="A79" s="3" t="s">
        <v>113</v>
      </c>
      <c r="B79" s="3" t="s">
        <v>40</v>
      </c>
      <c r="C79" s="3">
        <v>6509</v>
      </c>
      <c r="D79" s="5">
        <v>11102.02</v>
      </c>
      <c r="E79" s="5">
        <v>8017.08</v>
      </c>
      <c r="F79" s="5">
        <v>2321.5500000000002</v>
      </c>
      <c r="G79" s="5">
        <v>6251.18</v>
      </c>
      <c r="H79" s="3">
        <v>4232.66</v>
      </c>
    </row>
    <row r="80" spans="1:8" x14ac:dyDescent="0.3">
      <c r="A80" s="3" t="s">
        <v>114</v>
      </c>
      <c r="B80" s="3" t="s">
        <v>66</v>
      </c>
      <c r="C80" s="3">
        <v>7516</v>
      </c>
      <c r="D80" s="5">
        <v>35172.26</v>
      </c>
      <c r="E80" s="5">
        <v>10434.129999999999</v>
      </c>
      <c r="F80" s="5">
        <v>1614.32</v>
      </c>
      <c r="G80" s="5">
        <v>8485.19</v>
      </c>
      <c r="H80" s="3">
        <v>3807.03</v>
      </c>
    </row>
    <row r="81" spans="1:8" x14ac:dyDescent="0.3">
      <c r="A81" s="3" t="s">
        <v>115</v>
      </c>
      <c r="B81" s="3" t="s">
        <v>25</v>
      </c>
      <c r="C81" s="3">
        <v>1732</v>
      </c>
      <c r="D81" s="5">
        <v>2630.08</v>
      </c>
      <c r="E81" s="5">
        <v>2556.17</v>
      </c>
      <c r="F81" s="5">
        <v>97.91</v>
      </c>
      <c r="G81" s="5">
        <v>3906.3</v>
      </c>
      <c r="H81" s="3">
        <v>939.84</v>
      </c>
    </row>
  </sheetData>
  <autoFilter ref="A1:H81" xr:uid="{00000000-0009-0000-0000-000006000000}"/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7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4" width="12" customWidth="1"/>
    <col min="5" max="5" width="15" customWidth="1"/>
    <col min="6" max="6" width="20" customWidth="1"/>
    <col min="7" max="7" width="23" customWidth="1"/>
    <col min="8" max="13" width="12" customWidth="1"/>
    <col min="14" max="14" width="21" customWidth="1"/>
    <col min="15" max="15" width="18" customWidth="1"/>
    <col min="16" max="16" width="12" customWidth="1"/>
  </cols>
  <sheetData>
    <row r="1" spans="1:16" x14ac:dyDescent="0.3">
      <c r="A1" s="2" t="s">
        <v>383</v>
      </c>
      <c r="B1" s="2" t="s">
        <v>384</v>
      </c>
      <c r="C1" s="2" t="s">
        <v>385</v>
      </c>
      <c r="D1" s="2" t="s">
        <v>386</v>
      </c>
      <c r="E1" s="2" t="s">
        <v>387</v>
      </c>
      <c r="F1" s="2" t="s">
        <v>388</v>
      </c>
      <c r="G1" s="2" t="s">
        <v>389</v>
      </c>
      <c r="H1" s="2" t="s">
        <v>390</v>
      </c>
      <c r="I1" s="2" t="s">
        <v>391</v>
      </c>
      <c r="J1" s="2" t="s">
        <v>392</v>
      </c>
      <c r="K1" s="2" t="s">
        <v>393</v>
      </c>
      <c r="L1" s="2" t="s">
        <v>394</v>
      </c>
      <c r="M1" s="2" t="s">
        <v>395</v>
      </c>
      <c r="N1" s="2" t="s">
        <v>396</v>
      </c>
      <c r="O1" s="2" t="s">
        <v>5</v>
      </c>
      <c r="P1" s="2" t="s">
        <v>4</v>
      </c>
    </row>
    <row r="2" spans="1:16" x14ac:dyDescent="0.3">
      <c r="A2" s="4">
        <v>46027</v>
      </c>
      <c r="B2" s="3" t="s">
        <v>397</v>
      </c>
      <c r="C2" s="3" t="s">
        <v>398</v>
      </c>
      <c r="D2" s="3" t="s">
        <v>399</v>
      </c>
      <c r="E2" s="3">
        <v>22</v>
      </c>
      <c r="F2" s="3">
        <v>2</v>
      </c>
      <c r="G2" s="6">
        <v>0.81</v>
      </c>
      <c r="H2" s="3">
        <v>18.399999999999999</v>
      </c>
      <c r="I2" s="3">
        <v>168</v>
      </c>
      <c r="J2" s="3">
        <v>131</v>
      </c>
      <c r="K2" s="5">
        <v>2787</v>
      </c>
      <c r="L2" s="3">
        <v>83</v>
      </c>
      <c r="M2" s="3">
        <v>4</v>
      </c>
      <c r="N2" s="6">
        <v>0.79</v>
      </c>
      <c r="O2" s="3" t="s">
        <v>13</v>
      </c>
      <c r="P2" s="3" t="s">
        <v>21</v>
      </c>
    </row>
    <row r="3" spans="1:16" x14ac:dyDescent="0.3">
      <c r="A3" s="4">
        <v>46027</v>
      </c>
      <c r="B3" s="3" t="s">
        <v>397</v>
      </c>
      <c r="C3" s="3" t="s">
        <v>398</v>
      </c>
      <c r="D3" s="3" t="s">
        <v>400</v>
      </c>
      <c r="E3" s="3">
        <v>38</v>
      </c>
      <c r="F3" s="3">
        <v>1</v>
      </c>
      <c r="G3" s="6">
        <v>0.83</v>
      </c>
      <c r="H3" s="3">
        <v>10.9</v>
      </c>
      <c r="I3" s="3">
        <v>343</v>
      </c>
      <c r="J3" s="3">
        <v>129</v>
      </c>
      <c r="K3" s="5">
        <v>892</v>
      </c>
      <c r="L3" s="3">
        <v>57</v>
      </c>
      <c r="M3" s="3">
        <v>8</v>
      </c>
      <c r="N3" s="6">
        <v>0.74</v>
      </c>
      <c r="O3" s="3" t="s">
        <v>37</v>
      </c>
      <c r="P3" s="3" t="s">
        <v>36</v>
      </c>
    </row>
    <row r="4" spans="1:16" x14ac:dyDescent="0.3">
      <c r="A4" s="4">
        <v>46027</v>
      </c>
      <c r="B4" s="3" t="s">
        <v>397</v>
      </c>
      <c r="C4" s="3" t="s">
        <v>401</v>
      </c>
      <c r="D4" s="3" t="s">
        <v>402</v>
      </c>
      <c r="E4" s="3">
        <v>20</v>
      </c>
      <c r="F4" s="3">
        <v>0</v>
      </c>
      <c r="G4" s="6">
        <v>0.89</v>
      </c>
      <c r="H4" s="3">
        <v>16</v>
      </c>
      <c r="I4" s="3">
        <v>318</v>
      </c>
      <c r="J4" s="3">
        <v>83</v>
      </c>
      <c r="K4" s="5">
        <v>4219</v>
      </c>
      <c r="L4" s="3">
        <v>54</v>
      </c>
      <c r="M4" s="3">
        <v>0</v>
      </c>
      <c r="N4" s="6">
        <v>0.88</v>
      </c>
      <c r="O4" s="3" t="s">
        <v>26</v>
      </c>
      <c r="P4" s="3" t="s">
        <v>33</v>
      </c>
    </row>
    <row r="5" spans="1:16" x14ac:dyDescent="0.3">
      <c r="A5" s="4">
        <v>46027</v>
      </c>
      <c r="B5" s="3" t="s">
        <v>397</v>
      </c>
      <c r="C5" s="3" t="s">
        <v>401</v>
      </c>
      <c r="D5" s="3" t="s">
        <v>403</v>
      </c>
      <c r="E5" s="3">
        <v>28</v>
      </c>
      <c r="F5" s="3">
        <v>0</v>
      </c>
      <c r="G5" s="6">
        <v>0.76</v>
      </c>
      <c r="H5" s="3">
        <v>10.9</v>
      </c>
      <c r="I5" s="3">
        <v>173</v>
      </c>
      <c r="J5" s="3">
        <v>68</v>
      </c>
      <c r="K5" s="5">
        <v>2091</v>
      </c>
      <c r="L5" s="3">
        <v>55</v>
      </c>
      <c r="M5" s="3">
        <v>1</v>
      </c>
      <c r="N5" s="6">
        <v>0.7</v>
      </c>
      <c r="O5" s="3" t="s">
        <v>37</v>
      </c>
      <c r="P5" s="3" t="s">
        <v>36</v>
      </c>
    </row>
    <row r="6" spans="1:16" x14ac:dyDescent="0.3">
      <c r="A6" s="4">
        <v>46027</v>
      </c>
      <c r="B6" s="3" t="s">
        <v>397</v>
      </c>
      <c r="C6" s="3" t="s">
        <v>404</v>
      </c>
      <c r="D6" s="3" t="s">
        <v>405</v>
      </c>
      <c r="E6" s="3">
        <v>36</v>
      </c>
      <c r="F6" s="3">
        <v>2</v>
      </c>
      <c r="G6" s="6">
        <v>0.87</v>
      </c>
      <c r="H6" s="3">
        <v>15.7</v>
      </c>
      <c r="I6" s="3">
        <v>83</v>
      </c>
      <c r="J6" s="3">
        <v>43</v>
      </c>
      <c r="K6" s="5">
        <v>1132</v>
      </c>
      <c r="L6" s="3">
        <v>91</v>
      </c>
      <c r="M6" s="3">
        <v>8</v>
      </c>
      <c r="N6" s="6">
        <v>0.68</v>
      </c>
      <c r="O6" s="3" t="s">
        <v>18</v>
      </c>
      <c r="P6" s="3" t="s">
        <v>17</v>
      </c>
    </row>
    <row r="7" spans="1:16" x14ac:dyDescent="0.3">
      <c r="A7" s="4">
        <v>46027</v>
      </c>
      <c r="B7" s="3" t="s">
        <v>397</v>
      </c>
      <c r="C7" s="3" t="s">
        <v>404</v>
      </c>
      <c r="D7" s="3" t="s">
        <v>406</v>
      </c>
      <c r="E7" s="3">
        <v>32</v>
      </c>
      <c r="F7" s="3">
        <v>0</v>
      </c>
      <c r="G7" s="6">
        <v>0.82</v>
      </c>
      <c r="H7" s="3">
        <v>12.5</v>
      </c>
      <c r="I7" s="3">
        <v>267</v>
      </c>
      <c r="J7" s="3">
        <v>6</v>
      </c>
      <c r="K7" s="5">
        <v>2840</v>
      </c>
      <c r="L7" s="3">
        <v>11</v>
      </c>
      <c r="M7" s="3">
        <v>4</v>
      </c>
      <c r="N7" s="6">
        <v>0.72</v>
      </c>
      <c r="O7" s="3" t="s">
        <v>37</v>
      </c>
      <c r="P7" s="3" t="s">
        <v>40</v>
      </c>
    </row>
    <row r="8" spans="1:16" x14ac:dyDescent="0.3">
      <c r="A8" s="4">
        <v>46028</v>
      </c>
      <c r="B8" s="3" t="s">
        <v>407</v>
      </c>
      <c r="C8" s="3" t="s">
        <v>398</v>
      </c>
      <c r="D8" s="3" t="s">
        <v>399</v>
      </c>
      <c r="E8" s="3">
        <v>30</v>
      </c>
      <c r="F8" s="3">
        <v>0</v>
      </c>
      <c r="G8" s="6">
        <v>0.78</v>
      </c>
      <c r="H8" s="3">
        <v>14.9</v>
      </c>
      <c r="I8" s="3">
        <v>222</v>
      </c>
      <c r="J8" s="3">
        <v>131</v>
      </c>
      <c r="K8" s="5">
        <v>407</v>
      </c>
      <c r="L8" s="3">
        <v>102</v>
      </c>
      <c r="M8" s="3">
        <v>4</v>
      </c>
      <c r="N8" s="6">
        <v>0.66</v>
      </c>
      <c r="O8" s="3" t="s">
        <v>26</v>
      </c>
      <c r="P8" s="3" t="s">
        <v>25</v>
      </c>
    </row>
    <row r="9" spans="1:16" x14ac:dyDescent="0.3">
      <c r="A9" s="4">
        <v>46028</v>
      </c>
      <c r="B9" s="3" t="s">
        <v>407</v>
      </c>
      <c r="C9" s="3" t="s">
        <v>398</v>
      </c>
      <c r="D9" s="3" t="s">
        <v>400</v>
      </c>
      <c r="E9" s="3">
        <v>31</v>
      </c>
      <c r="F9" s="3">
        <v>0</v>
      </c>
      <c r="G9" s="6">
        <v>0.83</v>
      </c>
      <c r="H9" s="3">
        <v>17</v>
      </c>
      <c r="I9" s="3">
        <v>215</v>
      </c>
      <c r="J9" s="3">
        <v>143</v>
      </c>
      <c r="K9" s="5">
        <v>4486</v>
      </c>
      <c r="L9" s="3">
        <v>47</v>
      </c>
      <c r="M9" s="3">
        <v>6</v>
      </c>
      <c r="N9" s="6">
        <v>0.72</v>
      </c>
      <c r="O9" s="3" t="s">
        <v>29</v>
      </c>
      <c r="P9" s="3" t="s">
        <v>66</v>
      </c>
    </row>
    <row r="10" spans="1:16" x14ac:dyDescent="0.3">
      <c r="A10" s="4">
        <v>46028</v>
      </c>
      <c r="B10" s="3" t="s">
        <v>407</v>
      </c>
      <c r="C10" s="3" t="s">
        <v>401</v>
      </c>
      <c r="D10" s="3" t="s">
        <v>402</v>
      </c>
      <c r="E10" s="3">
        <v>36</v>
      </c>
      <c r="F10" s="3">
        <v>0</v>
      </c>
      <c r="G10" s="6">
        <v>0.74</v>
      </c>
      <c r="H10" s="3">
        <v>13.2</v>
      </c>
      <c r="I10" s="3">
        <v>43</v>
      </c>
      <c r="J10" s="3">
        <v>86</v>
      </c>
      <c r="K10" s="5">
        <v>4324</v>
      </c>
      <c r="L10" s="3">
        <v>36</v>
      </c>
      <c r="M10" s="3">
        <v>9</v>
      </c>
      <c r="N10" s="6">
        <v>0.78</v>
      </c>
      <c r="O10" s="3" t="s">
        <v>26</v>
      </c>
      <c r="P10" s="3" t="s">
        <v>25</v>
      </c>
    </row>
    <row r="11" spans="1:16" x14ac:dyDescent="0.3">
      <c r="A11" s="4">
        <v>46028</v>
      </c>
      <c r="B11" s="3" t="s">
        <v>407</v>
      </c>
      <c r="C11" s="3" t="s">
        <v>401</v>
      </c>
      <c r="D11" s="3" t="s">
        <v>403</v>
      </c>
      <c r="E11" s="3">
        <v>28</v>
      </c>
      <c r="F11" s="3">
        <v>4</v>
      </c>
      <c r="G11" s="6">
        <v>0.82</v>
      </c>
      <c r="H11" s="3">
        <v>13.4</v>
      </c>
      <c r="I11" s="3">
        <v>267</v>
      </c>
      <c r="J11" s="3">
        <v>121</v>
      </c>
      <c r="K11" s="5">
        <v>4389</v>
      </c>
      <c r="L11" s="3">
        <v>51</v>
      </c>
      <c r="M11" s="3">
        <v>3</v>
      </c>
      <c r="N11" s="6">
        <v>0.61</v>
      </c>
      <c r="O11" s="3" t="s">
        <v>26</v>
      </c>
      <c r="P11" s="3" t="s">
        <v>33</v>
      </c>
    </row>
    <row r="12" spans="1:16" x14ac:dyDescent="0.3">
      <c r="A12" s="4">
        <v>46028</v>
      </c>
      <c r="B12" s="3" t="s">
        <v>407</v>
      </c>
      <c r="C12" s="3" t="s">
        <v>404</v>
      </c>
      <c r="D12" s="3" t="s">
        <v>405</v>
      </c>
      <c r="E12" s="3">
        <v>20</v>
      </c>
      <c r="F12" s="3">
        <v>0</v>
      </c>
      <c r="G12" s="6">
        <v>0.86</v>
      </c>
      <c r="H12" s="3">
        <v>12.3</v>
      </c>
      <c r="I12" s="3">
        <v>172</v>
      </c>
      <c r="J12" s="3">
        <v>14</v>
      </c>
      <c r="K12" s="5">
        <v>2929</v>
      </c>
      <c r="L12" s="3">
        <v>15</v>
      </c>
      <c r="M12" s="3">
        <v>3</v>
      </c>
      <c r="N12" s="6">
        <v>0.72</v>
      </c>
      <c r="O12" s="3" t="s">
        <v>26</v>
      </c>
      <c r="P12" s="3" t="s">
        <v>25</v>
      </c>
    </row>
    <row r="13" spans="1:16" x14ac:dyDescent="0.3">
      <c r="A13" s="4">
        <v>46028</v>
      </c>
      <c r="B13" s="3" t="s">
        <v>407</v>
      </c>
      <c r="C13" s="3" t="s">
        <v>404</v>
      </c>
      <c r="D13" s="3" t="s">
        <v>406</v>
      </c>
      <c r="E13" s="3">
        <v>28</v>
      </c>
      <c r="F13" s="3">
        <v>1</v>
      </c>
      <c r="G13" s="6">
        <v>0.8</v>
      </c>
      <c r="H13" s="3">
        <v>18.5</v>
      </c>
      <c r="I13" s="3">
        <v>196</v>
      </c>
      <c r="J13" s="3">
        <v>129</v>
      </c>
      <c r="K13" s="5">
        <v>3166</v>
      </c>
      <c r="L13" s="3">
        <v>8</v>
      </c>
      <c r="M13" s="3">
        <v>6</v>
      </c>
      <c r="N13" s="6">
        <v>0.87</v>
      </c>
      <c r="O13" s="3" t="s">
        <v>37</v>
      </c>
      <c r="P13" s="3" t="s">
        <v>36</v>
      </c>
    </row>
    <row r="14" spans="1:16" x14ac:dyDescent="0.3">
      <c r="A14" s="4">
        <v>46029</v>
      </c>
      <c r="B14" s="3" t="s">
        <v>408</v>
      </c>
      <c r="C14" s="3" t="s">
        <v>398</v>
      </c>
      <c r="D14" s="3" t="s">
        <v>399</v>
      </c>
      <c r="E14" s="3">
        <v>30</v>
      </c>
      <c r="F14" s="3">
        <v>1</v>
      </c>
      <c r="G14" s="6">
        <v>0.89</v>
      </c>
      <c r="H14" s="3">
        <v>9.8000000000000007</v>
      </c>
      <c r="I14" s="3">
        <v>126</v>
      </c>
      <c r="J14" s="3">
        <v>63</v>
      </c>
      <c r="K14" s="5">
        <v>2716</v>
      </c>
      <c r="L14" s="3">
        <v>99</v>
      </c>
      <c r="M14" s="3">
        <v>6</v>
      </c>
      <c r="N14" s="6">
        <v>0.85</v>
      </c>
      <c r="O14" s="3" t="s">
        <v>29</v>
      </c>
      <c r="P14" s="3" t="s">
        <v>66</v>
      </c>
    </row>
    <row r="15" spans="1:16" x14ac:dyDescent="0.3">
      <c r="A15" s="4">
        <v>46029</v>
      </c>
      <c r="B15" s="3" t="s">
        <v>408</v>
      </c>
      <c r="C15" s="3" t="s">
        <v>398</v>
      </c>
      <c r="D15" s="3" t="s">
        <v>400</v>
      </c>
      <c r="E15" s="3">
        <v>21</v>
      </c>
      <c r="F15" s="3">
        <v>1</v>
      </c>
      <c r="G15" s="6">
        <v>0.82</v>
      </c>
      <c r="H15" s="3">
        <v>15.3</v>
      </c>
      <c r="I15" s="3">
        <v>341</v>
      </c>
      <c r="J15" s="3">
        <v>56</v>
      </c>
      <c r="K15" s="5">
        <v>360</v>
      </c>
      <c r="L15" s="3">
        <v>8</v>
      </c>
      <c r="M15" s="3">
        <v>5</v>
      </c>
      <c r="N15" s="6">
        <v>0.87</v>
      </c>
      <c r="O15" s="3" t="s">
        <v>13</v>
      </c>
      <c r="P15" s="3" t="s">
        <v>21</v>
      </c>
    </row>
    <row r="16" spans="1:16" x14ac:dyDescent="0.3">
      <c r="A16" s="4">
        <v>46029</v>
      </c>
      <c r="B16" s="3" t="s">
        <v>408</v>
      </c>
      <c r="C16" s="3" t="s">
        <v>401</v>
      </c>
      <c r="D16" s="3" t="s">
        <v>402</v>
      </c>
      <c r="E16" s="3">
        <v>28</v>
      </c>
      <c r="F16" s="3">
        <v>2</v>
      </c>
      <c r="G16" s="6">
        <v>0.84</v>
      </c>
      <c r="H16" s="3">
        <v>9.6</v>
      </c>
      <c r="I16" s="3">
        <v>446</v>
      </c>
      <c r="J16" s="3">
        <v>107</v>
      </c>
      <c r="K16" s="5">
        <v>3169</v>
      </c>
      <c r="L16" s="3">
        <v>54</v>
      </c>
      <c r="M16" s="3">
        <v>1</v>
      </c>
      <c r="N16" s="6">
        <v>0.77</v>
      </c>
      <c r="O16" s="3" t="s">
        <v>13</v>
      </c>
      <c r="P16" s="3" t="s">
        <v>21</v>
      </c>
    </row>
    <row r="17" spans="1:16" x14ac:dyDescent="0.3">
      <c r="A17" s="4">
        <v>46029</v>
      </c>
      <c r="B17" s="3" t="s">
        <v>408</v>
      </c>
      <c r="C17" s="3" t="s">
        <v>401</v>
      </c>
      <c r="D17" s="3" t="s">
        <v>403</v>
      </c>
      <c r="E17" s="3">
        <v>38</v>
      </c>
      <c r="F17" s="3">
        <v>0</v>
      </c>
      <c r="G17" s="6">
        <v>0.9</v>
      </c>
      <c r="H17" s="3">
        <v>7.6</v>
      </c>
      <c r="I17" s="3">
        <v>377</v>
      </c>
      <c r="J17" s="3">
        <v>92</v>
      </c>
      <c r="K17" s="5">
        <v>3534</v>
      </c>
      <c r="L17" s="3">
        <v>78</v>
      </c>
      <c r="M17" s="3">
        <v>5</v>
      </c>
      <c r="N17" s="6">
        <v>0.74</v>
      </c>
      <c r="O17" s="3" t="s">
        <v>26</v>
      </c>
      <c r="P17" s="3" t="s">
        <v>25</v>
      </c>
    </row>
    <row r="18" spans="1:16" x14ac:dyDescent="0.3">
      <c r="A18" s="4">
        <v>46029</v>
      </c>
      <c r="B18" s="3" t="s">
        <v>408</v>
      </c>
      <c r="C18" s="3" t="s">
        <v>404</v>
      </c>
      <c r="D18" s="3" t="s">
        <v>405</v>
      </c>
      <c r="E18" s="3">
        <v>25</v>
      </c>
      <c r="F18" s="3">
        <v>1</v>
      </c>
      <c r="G18" s="6">
        <v>0.77</v>
      </c>
      <c r="H18" s="3">
        <v>8.1</v>
      </c>
      <c r="I18" s="3">
        <v>65</v>
      </c>
      <c r="J18" s="3">
        <v>4</v>
      </c>
      <c r="K18" s="5">
        <v>1977</v>
      </c>
      <c r="L18" s="3">
        <v>89</v>
      </c>
      <c r="M18" s="3">
        <v>1</v>
      </c>
      <c r="N18" s="6">
        <v>0.66</v>
      </c>
      <c r="O18" s="3" t="s">
        <v>29</v>
      </c>
      <c r="P18" s="3" t="s">
        <v>66</v>
      </c>
    </row>
    <row r="19" spans="1:16" x14ac:dyDescent="0.3">
      <c r="A19" s="4">
        <v>46029</v>
      </c>
      <c r="B19" s="3" t="s">
        <v>408</v>
      </c>
      <c r="C19" s="3" t="s">
        <v>404</v>
      </c>
      <c r="D19" s="3" t="s">
        <v>406</v>
      </c>
      <c r="E19" s="3">
        <v>37</v>
      </c>
      <c r="F19" s="3">
        <v>2</v>
      </c>
      <c r="G19" s="6">
        <v>0.89</v>
      </c>
      <c r="H19" s="3">
        <v>8.8000000000000007</v>
      </c>
      <c r="I19" s="3">
        <v>103</v>
      </c>
      <c r="J19" s="3">
        <v>91</v>
      </c>
      <c r="K19" s="5">
        <v>3739</v>
      </c>
      <c r="L19" s="3">
        <v>59</v>
      </c>
      <c r="M19" s="3">
        <v>9</v>
      </c>
      <c r="N19" s="6">
        <v>0.8</v>
      </c>
      <c r="O19" s="3" t="s">
        <v>13</v>
      </c>
      <c r="P19" s="3" t="s">
        <v>12</v>
      </c>
    </row>
    <row r="20" spans="1:16" x14ac:dyDescent="0.3">
      <c r="A20" s="4">
        <v>46030</v>
      </c>
      <c r="B20" s="3" t="s">
        <v>409</v>
      </c>
      <c r="C20" s="3" t="s">
        <v>398</v>
      </c>
      <c r="D20" s="3" t="s">
        <v>399</v>
      </c>
      <c r="E20" s="3">
        <v>37</v>
      </c>
      <c r="F20" s="3">
        <v>0</v>
      </c>
      <c r="G20" s="6">
        <v>0.77</v>
      </c>
      <c r="H20" s="3">
        <v>16.7</v>
      </c>
      <c r="I20" s="3">
        <v>392</v>
      </c>
      <c r="J20" s="3">
        <v>144</v>
      </c>
      <c r="K20" s="5">
        <v>1684</v>
      </c>
      <c r="L20" s="3">
        <v>54</v>
      </c>
      <c r="M20" s="3">
        <v>9</v>
      </c>
      <c r="N20" s="6">
        <v>0.62</v>
      </c>
      <c r="O20" s="3" t="s">
        <v>26</v>
      </c>
      <c r="P20" s="3" t="s">
        <v>33</v>
      </c>
    </row>
    <row r="21" spans="1:16" x14ac:dyDescent="0.3">
      <c r="A21" s="4">
        <v>46030</v>
      </c>
      <c r="B21" s="3" t="s">
        <v>409</v>
      </c>
      <c r="C21" s="3" t="s">
        <v>398</v>
      </c>
      <c r="D21" s="3" t="s">
        <v>400</v>
      </c>
      <c r="E21" s="3">
        <v>34</v>
      </c>
      <c r="F21" s="3">
        <v>1</v>
      </c>
      <c r="G21" s="6">
        <v>0.78</v>
      </c>
      <c r="H21" s="3">
        <v>12.1</v>
      </c>
      <c r="I21" s="3">
        <v>317</v>
      </c>
      <c r="J21" s="3">
        <v>150</v>
      </c>
      <c r="K21" s="5">
        <v>3386</v>
      </c>
      <c r="L21" s="3">
        <v>34</v>
      </c>
      <c r="M21" s="3">
        <v>5</v>
      </c>
      <c r="N21" s="6">
        <v>0.72</v>
      </c>
      <c r="O21" s="3" t="s">
        <v>37</v>
      </c>
      <c r="P21" s="3" t="s">
        <v>40</v>
      </c>
    </row>
    <row r="22" spans="1:16" x14ac:dyDescent="0.3">
      <c r="A22" s="4">
        <v>46030</v>
      </c>
      <c r="B22" s="3" t="s">
        <v>409</v>
      </c>
      <c r="C22" s="3" t="s">
        <v>401</v>
      </c>
      <c r="D22" s="3" t="s">
        <v>402</v>
      </c>
      <c r="E22" s="3">
        <v>36</v>
      </c>
      <c r="F22" s="3">
        <v>1</v>
      </c>
      <c r="G22" s="6">
        <v>0.77</v>
      </c>
      <c r="H22" s="3">
        <v>18.2</v>
      </c>
      <c r="I22" s="3">
        <v>167</v>
      </c>
      <c r="J22" s="3">
        <v>97</v>
      </c>
      <c r="K22" s="5">
        <v>642</v>
      </c>
      <c r="L22" s="3">
        <v>41</v>
      </c>
      <c r="M22" s="3">
        <v>2</v>
      </c>
      <c r="N22" s="6">
        <v>0.79</v>
      </c>
      <c r="O22" s="3" t="s">
        <v>13</v>
      </c>
      <c r="P22" s="3" t="s">
        <v>21</v>
      </c>
    </row>
    <row r="23" spans="1:16" x14ac:dyDescent="0.3">
      <c r="A23" s="4">
        <v>46030</v>
      </c>
      <c r="B23" s="3" t="s">
        <v>409</v>
      </c>
      <c r="C23" s="3" t="s">
        <v>401</v>
      </c>
      <c r="D23" s="3" t="s">
        <v>403</v>
      </c>
      <c r="E23" s="3">
        <v>22</v>
      </c>
      <c r="F23" s="3">
        <v>3</v>
      </c>
      <c r="G23" s="6">
        <v>0.78</v>
      </c>
      <c r="H23" s="3">
        <v>13</v>
      </c>
      <c r="I23" s="3">
        <v>123</v>
      </c>
      <c r="J23" s="3">
        <v>47</v>
      </c>
      <c r="K23" s="5">
        <v>2426</v>
      </c>
      <c r="L23" s="3">
        <v>96</v>
      </c>
      <c r="M23" s="3">
        <v>4</v>
      </c>
      <c r="N23" s="6">
        <v>0.68</v>
      </c>
      <c r="O23" s="3" t="s">
        <v>13</v>
      </c>
      <c r="P23" s="3" t="s">
        <v>12</v>
      </c>
    </row>
    <row r="24" spans="1:16" x14ac:dyDescent="0.3">
      <c r="A24" s="4">
        <v>46030</v>
      </c>
      <c r="B24" s="3" t="s">
        <v>409</v>
      </c>
      <c r="C24" s="3" t="s">
        <v>404</v>
      </c>
      <c r="D24" s="3" t="s">
        <v>405</v>
      </c>
      <c r="E24" s="3">
        <v>30</v>
      </c>
      <c r="F24" s="3">
        <v>1</v>
      </c>
      <c r="G24" s="6">
        <v>0.75</v>
      </c>
      <c r="H24" s="3">
        <v>15.4</v>
      </c>
      <c r="I24" s="3">
        <v>187</v>
      </c>
      <c r="J24" s="3">
        <v>33</v>
      </c>
      <c r="K24" s="5">
        <v>2304</v>
      </c>
      <c r="L24" s="3">
        <v>97</v>
      </c>
      <c r="M24" s="3">
        <v>6</v>
      </c>
      <c r="N24" s="6">
        <v>0.6</v>
      </c>
      <c r="O24" s="3" t="s">
        <v>37</v>
      </c>
      <c r="P24" s="3" t="s">
        <v>36</v>
      </c>
    </row>
    <row r="25" spans="1:16" x14ac:dyDescent="0.3">
      <c r="A25" s="4">
        <v>46030</v>
      </c>
      <c r="B25" s="3" t="s">
        <v>409</v>
      </c>
      <c r="C25" s="3" t="s">
        <v>404</v>
      </c>
      <c r="D25" s="3" t="s">
        <v>406</v>
      </c>
      <c r="E25" s="3">
        <v>38</v>
      </c>
      <c r="F25" s="3">
        <v>1</v>
      </c>
      <c r="G25" s="6">
        <v>0.78</v>
      </c>
      <c r="H25" s="3">
        <v>10.1</v>
      </c>
      <c r="I25" s="3">
        <v>297</v>
      </c>
      <c r="J25" s="3">
        <v>27</v>
      </c>
      <c r="K25" s="5">
        <v>1071</v>
      </c>
      <c r="L25" s="3">
        <v>23</v>
      </c>
      <c r="M25" s="3">
        <v>3</v>
      </c>
      <c r="N25" s="6">
        <v>0.8</v>
      </c>
      <c r="O25" s="3" t="s">
        <v>13</v>
      </c>
      <c r="P25" s="3" t="s">
        <v>21</v>
      </c>
    </row>
    <row r="26" spans="1:16" x14ac:dyDescent="0.3">
      <c r="A26" s="4">
        <v>46031</v>
      </c>
      <c r="B26" s="3" t="s">
        <v>410</v>
      </c>
      <c r="C26" s="3" t="s">
        <v>398</v>
      </c>
      <c r="D26" s="3" t="s">
        <v>399</v>
      </c>
      <c r="E26" s="3">
        <v>32</v>
      </c>
      <c r="F26" s="3">
        <v>2</v>
      </c>
      <c r="G26" s="6">
        <v>0.76</v>
      </c>
      <c r="H26" s="3">
        <v>15.7</v>
      </c>
      <c r="I26" s="3">
        <v>377</v>
      </c>
      <c r="J26" s="3">
        <v>54</v>
      </c>
      <c r="K26" s="5">
        <v>4402</v>
      </c>
      <c r="L26" s="3">
        <v>113</v>
      </c>
      <c r="M26" s="3">
        <v>3</v>
      </c>
      <c r="N26" s="6">
        <v>0.71</v>
      </c>
      <c r="O26" s="3" t="s">
        <v>13</v>
      </c>
      <c r="P26" s="3" t="s">
        <v>12</v>
      </c>
    </row>
    <row r="27" spans="1:16" x14ac:dyDescent="0.3">
      <c r="A27" s="4">
        <v>46031</v>
      </c>
      <c r="B27" s="3" t="s">
        <v>410</v>
      </c>
      <c r="C27" s="3" t="s">
        <v>398</v>
      </c>
      <c r="D27" s="3" t="s">
        <v>400</v>
      </c>
      <c r="E27" s="3">
        <v>35</v>
      </c>
      <c r="F27" s="3">
        <v>0</v>
      </c>
      <c r="G27" s="6">
        <v>0.75</v>
      </c>
      <c r="H27" s="3">
        <v>16.600000000000001</v>
      </c>
      <c r="I27" s="3">
        <v>242</v>
      </c>
      <c r="J27" s="3">
        <v>120</v>
      </c>
      <c r="K27" s="5">
        <v>2309</v>
      </c>
      <c r="L27" s="3">
        <v>108</v>
      </c>
      <c r="M27" s="3">
        <v>6</v>
      </c>
      <c r="N27" s="6">
        <v>0.77</v>
      </c>
      <c r="O27" s="3" t="s">
        <v>37</v>
      </c>
      <c r="P27" s="3" t="s">
        <v>36</v>
      </c>
    </row>
    <row r="28" spans="1:16" x14ac:dyDescent="0.3">
      <c r="A28" s="4">
        <v>46031</v>
      </c>
      <c r="B28" s="3" t="s">
        <v>410</v>
      </c>
      <c r="C28" s="3" t="s">
        <v>401</v>
      </c>
      <c r="D28" s="3" t="s">
        <v>402</v>
      </c>
      <c r="E28" s="3">
        <v>24</v>
      </c>
      <c r="F28" s="3">
        <v>3</v>
      </c>
      <c r="G28" s="6">
        <v>0.77</v>
      </c>
      <c r="H28" s="3">
        <v>15.8</v>
      </c>
      <c r="I28" s="3">
        <v>147</v>
      </c>
      <c r="J28" s="3">
        <v>31</v>
      </c>
      <c r="K28" s="5">
        <v>980</v>
      </c>
      <c r="L28" s="3">
        <v>112</v>
      </c>
      <c r="M28" s="3">
        <v>4</v>
      </c>
      <c r="N28" s="6">
        <v>0.59</v>
      </c>
      <c r="O28" s="3" t="s">
        <v>18</v>
      </c>
      <c r="P28" s="3" t="s">
        <v>17</v>
      </c>
    </row>
    <row r="29" spans="1:16" x14ac:dyDescent="0.3">
      <c r="A29" s="4">
        <v>46031</v>
      </c>
      <c r="B29" s="3" t="s">
        <v>410</v>
      </c>
      <c r="C29" s="3" t="s">
        <v>401</v>
      </c>
      <c r="D29" s="3" t="s">
        <v>403</v>
      </c>
      <c r="E29" s="3">
        <v>22</v>
      </c>
      <c r="F29" s="3">
        <v>1</v>
      </c>
      <c r="G29" s="6">
        <v>0.73</v>
      </c>
      <c r="H29" s="3">
        <v>12.6</v>
      </c>
      <c r="I29" s="3">
        <v>231</v>
      </c>
      <c r="J29" s="3">
        <v>1</v>
      </c>
      <c r="K29" s="5">
        <v>3715</v>
      </c>
      <c r="L29" s="3">
        <v>48</v>
      </c>
      <c r="M29" s="3">
        <v>4</v>
      </c>
      <c r="N29" s="6">
        <v>0.73</v>
      </c>
      <c r="O29" s="3" t="s">
        <v>13</v>
      </c>
      <c r="P29" s="3" t="s">
        <v>21</v>
      </c>
    </row>
    <row r="30" spans="1:16" x14ac:dyDescent="0.3">
      <c r="A30" s="4">
        <v>46031</v>
      </c>
      <c r="B30" s="3" t="s">
        <v>410</v>
      </c>
      <c r="C30" s="3" t="s">
        <v>404</v>
      </c>
      <c r="D30" s="3" t="s">
        <v>405</v>
      </c>
      <c r="E30" s="3">
        <v>21</v>
      </c>
      <c r="F30" s="3">
        <v>0</v>
      </c>
      <c r="G30" s="6">
        <v>0.87</v>
      </c>
      <c r="H30" s="3">
        <v>17.3</v>
      </c>
      <c r="I30" s="3">
        <v>438</v>
      </c>
      <c r="J30" s="3">
        <v>10</v>
      </c>
      <c r="K30" s="5">
        <v>1841</v>
      </c>
      <c r="L30" s="3">
        <v>2</v>
      </c>
      <c r="M30" s="3">
        <v>1</v>
      </c>
      <c r="N30" s="6">
        <v>0.85</v>
      </c>
      <c r="O30" s="3" t="s">
        <v>13</v>
      </c>
      <c r="P30" s="3" t="s">
        <v>12</v>
      </c>
    </row>
    <row r="31" spans="1:16" x14ac:dyDescent="0.3">
      <c r="A31" s="4">
        <v>46031</v>
      </c>
      <c r="B31" s="3" t="s">
        <v>410</v>
      </c>
      <c r="C31" s="3" t="s">
        <v>404</v>
      </c>
      <c r="D31" s="3" t="s">
        <v>406</v>
      </c>
      <c r="E31" s="3">
        <v>30</v>
      </c>
      <c r="F31" s="3">
        <v>0</v>
      </c>
      <c r="G31" s="6">
        <v>0.85</v>
      </c>
      <c r="H31" s="3">
        <v>15.5</v>
      </c>
      <c r="I31" s="3">
        <v>74</v>
      </c>
      <c r="J31" s="3">
        <v>52</v>
      </c>
      <c r="K31" s="5">
        <v>1168</v>
      </c>
      <c r="L31" s="3">
        <v>34</v>
      </c>
      <c r="M31" s="3">
        <v>7</v>
      </c>
      <c r="N31" s="6">
        <v>0.73</v>
      </c>
      <c r="O31" s="3" t="s">
        <v>26</v>
      </c>
      <c r="P31" s="3" t="s">
        <v>33</v>
      </c>
    </row>
    <row r="32" spans="1:16" x14ac:dyDescent="0.3">
      <c r="A32" s="4">
        <v>46032</v>
      </c>
      <c r="B32" s="3" t="s">
        <v>411</v>
      </c>
      <c r="C32" s="3" t="s">
        <v>398</v>
      </c>
      <c r="D32" s="3" t="s">
        <v>399</v>
      </c>
      <c r="E32" s="3">
        <v>36</v>
      </c>
      <c r="F32" s="3">
        <v>1</v>
      </c>
      <c r="G32" s="6">
        <v>0.77</v>
      </c>
      <c r="H32" s="3">
        <v>9</v>
      </c>
      <c r="I32" s="3">
        <v>386</v>
      </c>
      <c r="J32" s="3">
        <v>76</v>
      </c>
      <c r="K32" s="5">
        <v>2494</v>
      </c>
      <c r="L32" s="3">
        <v>59</v>
      </c>
      <c r="M32" s="3">
        <v>4</v>
      </c>
      <c r="N32" s="6">
        <v>0.74</v>
      </c>
      <c r="O32" s="3" t="s">
        <v>13</v>
      </c>
      <c r="P32" s="3" t="s">
        <v>12</v>
      </c>
    </row>
    <row r="33" spans="1:16" x14ac:dyDescent="0.3">
      <c r="A33" s="4">
        <v>46032</v>
      </c>
      <c r="B33" s="3" t="s">
        <v>411</v>
      </c>
      <c r="C33" s="3" t="s">
        <v>398</v>
      </c>
      <c r="D33" s="3" t="s">
        <v>400</v>
      </c>
      <c r="E33" s="3">
        <v>33</v>
      </c>
      <c r="F33" s="3">
        <v>0</v>
      </c>
      <c r="G33" s="6">
        <v>0.89</v>
      </c>
      <c r="H33" s="3">
        <v>13.9</v>
      </c>
      <c r="I33" s="3">
        <v>260</v>
      </c>
      <c r="J33" s="3">
        <v>131</v>
      </c>
      <c r="K33" s="5">
        <v>44</v>
      </c>
      <c r="L33" s="3">
        <v>79</v>
      </c>
      <c r="M33" s="3">
        <v>6</v>
      </c>
      <c r="N33" s="6">
        <v>0.77</v>
      </c>
      <c r="O33" s="3" t="s">
        <v>18</v>
      </c>
      <c r="P33" s="3" t="s">
        <v>17</v>
      </c>
    </row>
    <row r="34" spans="1:16" x14ac:dyDescent="0.3">
      <c r="A34" s="4">
        <v>46032</v>
      </c>
      <c r="B34" s="3" t="s">
        <v>411</v>
      </c>
      <c r="C34" s="3" t="s">
        <v>401</v>
      </c>
      <c r="D34" s="3" t="s">
        <v>402</v>
      </c>
      <c r="E34" s="3">
        <v>34</v>
      </c>
      <c r="F34" s="3">
        <v>3</v>
      </c>
      <c r="G34" s="6">
        <v>0.88</v>
      </c>
      <c r="H34" s="3">
        <v>8.3000000000000007</v>
      </c>
      <c r="I34" s="3">
        <v>279</v>
      </c>
      <c r="J34" s="3">
        <v>67</v>
      </c>
      <c r="K34" s="5">
        <v>4147</v>
      </c>
      <c r="L34" s="3">
        <v>66</v>
      </c>
      <c r="M34" s="3">
        <v>6</v>
      </c>
      <c r="N34" s="6">
        <v>0.67</v>
      </c>
      <c r="O34" s="3" t="s">
        <v>13</v>
      </c>
      <c r="P34" s="3" t="s">
        <v>12</v>
      </c>
    </row>
    <row r="35" spans="1:16" x14ac:dyDescent="0.3">
      <c r="A35" s="4">
        <v>46032</v>
      </c>
      <c r="B35" s="3" t="s">
        <v>411</v>
      </c>
      <c r="C35" s="3" t="s">
        <v>401</v>
      </c>
      <c r="D35" s="3" t="s">
        <v>403</v>
      </c>
      <c r="E35" s="3">
        <v>27</v>
      </c>
      <c r="F35" s="3">
        <v>0</v>
      </c>
      <c r="G35" s="6">
        <v>0.74</v>
      </c>
      <c r="H35" s="3">
        <v>8.8000000000000007</v>
      </c>
      <c r="I35" s="3">
        <v>110</v>
      </c>
      <c r="J35" s="3">
        <v>39</v>
      </c>
      <c r="K35" s="5">
        <v>4475</v>
      </c>
      <c r="L35" s="3">
        <v>51</v>
      </c>
      <c r="M35" s="3">
        <v>4</v>
      </c>
      <c r="N35" s="6">
        <v>0.7</v>
      </c>
      <c r="O35" s="3" t="s">
        <v>18</v>
      </c>
      <c r="P35" s="3" t="s">
        <v>55</v>
      </c>
    </row>
    <row r="36" spans="1:16" x14ac:dyDescent="0.3">
      <c r="A36" s="4">
        <v>46032</v>
      </c>
      <c r="B36" s="3" t="s">
        <v>411</v>
      </c>
      <c r="C36" s="3" t="s">
        <v>404</v>
      </c>
      <c r="D36" s="3" t="s">
        <v>405</v>
      </c>
      <c r="E36" s="3">
        <v>28</v>
      </c>
      <c r="F36" s="3">
        <v>3</v>
      </c>
      <c r="G36" s="6">
        <v>0.88</v>
      </c>
      <c r="H36" s="3">
        <v>16.100000000000001</v>
      </c>
      <c r="I36" s="3">
        <v>49</v>
      </c>
      <c r="J36" s="3">
        <v>49</v>
      </c>
      <c r="K36" s="5">
        <v>4381</v>
      </c>
      <c r="L36" s="3">
        <v>93</v>
      </c>
      <c r="M36" s="3">
        <v>2</v>
      </c>
      <c r="N36" s="6">
        <v>0.88</v>
      </c>
      <c r="O36" s="3" t="s">
        <v>37</v>
      </c>
      <c r="P36" s="3" t="s">
        <v>40</v>
      </c>
    </row>
    <row r="37" spans="1:16" x14ac:dyDescent="0.3">
      <c r="A37" s="4">
        <v>46032</v>
      </c>
      <c r="B37" s="3" t="s">
        <v>411</v>
      </c>
      <c r="C37" s="3" t="s">
        <v>404</v>
      </c>
      <c r="D37" s="3" t="s">
        <v>406</v>
      </c>
      <c r="E37" s="3">
        <v>22</v>
      </c>
      <c r="F37" s="3">
        <v>0</v>
      </c>
      <c r="G37" s="6">
        <v>0.88</v>
      </c>
      <c r="H37" s="3">
        <v>14.1</v>
      </c>
      <c r="I37" s="3">
        <v>253</v>
      </c>
      <c r="J37" s="3">
        <v>78</v>
      </c>
      <c r="K37" s="5">
        <v>2684</v>
      </c>
      <c r="L37" s="3">
        <v>29</v>
      </c>
      <c r="M37" s="3">
        <v>1</v>
      </c>
      <c r="N37" s="6">
        <v>0.8</v>
      </c>
      <c r="O37" s="3" t="s">
        <v>29</v>
      </c>
      <c r="P37" s="3" t="s">
        <v>28</v>
      </c>
    </row>
    <row r="38" spans="1:16" x14ac:dyDescent="0.3">
      <c r="A38" s="4">
        <v>46033</v>
      </c>
      <c r="B38" s="3" t="s">
        <v>412</v>
      </c>
      <c r="C38" s="3" t="s">
        <v>398</v>
      </c>
      <c r="D38" s="3" t="s">
        <v>399</v>
      </c>
      <c r="E38" s="3">
        <v>36</v>
      </c>
      <c r="F38" s="3">
        <v>1</v>
      </c>
      <c r="G38" s="6">
        <v>0.73</v>
      </c>
      <c r="H38" s="3">
        <v>10.1</v>
      </c>
      <c r="I38" s="3">
        <v>433</v>
      </c>
      <c r="J38" s="3">
        <v>148</v>
      </c>
      <c r="K38" s="5">
        <v>3078</v>
      </c>
      <c r="L38" s="3">
        <v>6</v>
      </c>
      <c r="M38" s="3">
        <v>5</v>
      </c>
      <c r="N38" s="6">
        <v>0.81</v>
      </c>
      <c r="O38" s="3" t="s">
        <v>13</v>
      </c>
      <c r="P38" s="3" t="s">
        <v>21</v>
      </c>
    </row>
    <row r="39" spans="1:16" x14ac:dyDescent="0.3">
      <c r="A39" s="4">
        <v>46033</v>
      </c>
      <c r="B39" s="3" t="s">
        <v>412</v>
      </c>
      <c r="C39" s="3" t="s">
        <v>398</v>
      </c>
      <c r="D39" s="3" t="s">
        <v>400</v>
      </c>
      <c r="E39" s="3">
        <v>20</v>
      </c>
      <c r="F39" s="3">
        <v>1</v>
      </c>
      <c r="G39" s="6">
        <v>0.76</v>
      </c>
      <c r="H39" s="3">
        <v>11.5</v>
      </c>
      <c r="I39" s="3">
        <v>442</v>
      </c>
      <c r="J39" s="3">
        <v>30</v>
      </c>
      <c r="K39" s="5">
        <v>1821</v>
      </c>
      <c r="L39" s="3">
        <v>70</v>
      </c>
      <c r="M39" s="3">
        <v>2</v>
      </c>
      <c r="N39" s="6">
        <v>0.59</v>
      </c>
      <c r="O39" s="3" t="s">
        <v>13</v>
      </c>
      <c r="P39" s="3" t="s">
        <v>21</v>
      </c>
    </row>
    <row r="40" spans="1:16" x14ac:dyDescent="0.3">
      <c r="A40" s="4">
        <v>46033</v>
      </c>
      <c r="B40" s="3" t="s">
        <v>412</v>
      </c>
      <c r="C40" s="3" t="s">
        <v>401</v>
      </c>
      <c r="D40" s="3" t="s">
        <v>402</v>
      </c>
      <c r="E40" s="3">
        <v>36</v>
      </c>
      <c r="F40" s="3">
        <v>3</v>
      </c>
      <c r="G40" s="6">
        <v>0.86</v>
      </c>
      <c r="H40" s="3">
        <v>13.5</v>
      </c>
      <c r="I40" s="3">
        <v>107</v>
      </c>
      <c r="J40" s="3">
        <v>83</v>
      </c>
      <c r="K40" s="5">
        <v>433</v>
      </c>
      <c r="L40" s="3">
        <v>110</v>
      </c>
      <c r="M40" s="3">
        <v>6</v>
      </c>
      <c r="N40" s="6">
        <v>0.7</v>
      </c>
      <c r="O40" s="3" t="s">
        <v>29</v>
      </c>
      <c r="P40" s="3" t="s">
        <v>66</v>
      </c>
    </row>
    <row r="41" spans="1:16" x14ac:dyDescent="0.3">
      <c r="A41" s="4">
        <v>46033</v>
      </c>
      <c r="B41" s="3" t="s">
        <v>412</v>
      </c>
      <c r="C41" s="3" t="s">
        <v>401</v>
      </c>
      <c r="D41" s="3" t="s">
        <v>403</v>
      </c>
      <c r="E41" s="3">
        <v>26</v>
      </c>
      <c r="F41" s="3">
        <v>2</v>
      </c>
      <c r="G41" s="6">
        <v>0.74</v>
      </c>
      <c r="H41" s="3">
        <v>15.4</v>
      </c>
      <c r="I41" s="3">
        <v>443</v>
      </c>
      <c r="J41" s="3">
        <v>90</v>
      </c>
      <c r="K41" s="5">
        <v>373</v>
      </c>
      <c r="L41" s="3">
        <v>112</v>
      </c>
      <c r="M41" s="3">
        <v>4</v>
      </c>
      <c r="N41" s="6">
        <v>0.72</v>
      </c>
      <c r="O41" s="3" t="s">
        <v>18</v>
      </c>
      <c r="P41" s="3" t="s">
        <v>17</v>
      </c>
    </row>
    <row r="42" spans="1:16" x14ac:dyDescent="0.3">
      <c r="A42" s="4">
        <v>46033</v>
      </c>
      <c r="B42" s="3" t="s">
        <v>412</v>
      </c>
      <c r="C42" s="3" t="s">
        <v>404</v>
      </c>
      <c r="D42" s="3" t="s">
        <v>405</v>
      </c>
      <c r="E42" s="3">
        <v>37</v>
      </c>
      <c r="F42" s="3">
        <v>0</v>
      </c>
      <c r="G42" s="6">
        <v>0.9</v>
      </c>
      <c r="H42" s="3">
        <v>14.6</v>
      </c>
      <c r="I42" s="3">
        <v>397</v>
      </c>
      <c r="J42" s="3">
        <v>130</v>
      </c>
      <c r="K42" s="5">
        <v>3174</v>
      </c>
      <c r="L42" s="3">
        <v>58</v>
      </c>
      <c r="M42" s="3">
        <v>7</v>
      </c>
      <c r="N42" s="6">
        <v>0.85</v>
      </c>
      <c r="O42" s="3" t="s">
        <v>29</v>
      </c>
      <c r="P42" s="3" t="s">
        <v>66</v>
      </c>
    </row>
    <row r="43" spans="1:16" x14ac:dyDescent="0.3">
      <c r="A43" s="4">
        <v>46033</v>
      </c>
      <c r="B43" s="3" t="s">
        <v>412</v>
      </c>
      <c r="C43" s="3" t="s">
        <v>404</v>
      </c>
      <c r="D43" s="3" t="s">
        <v>406</v>
      </c>
      <c r="E43" s="3">
        <v>33</v>
      </c>
      <c r="F43" s="3">
        <v>0</v>
      </c>
      <c r="G43" s="6">
        <v>0.81</v>
      </c>
      <c r="H43" s="3">
        <v>16.600000000000001</v>
      </c>
      <c r="I43" s="3">
        <v>358</v>
      </c>
      <c r="J43" s="3">
        <v>149</v>
      </c>
      <c r="K43" s="5">
        <v>888</v>
      </c>
      <c r="L43" s="3">
        <v>45</v>
      </c>
      <c r="M43" s="3">
        <v>2</v>
      </c>
      <c r="N43" s="6">
        <v>0.85</v>
      </c>
      <c r="O43" s="3" t="s">
        <v>18</v>
      </c>
      <c r="P43" s="3" t="s">
        <v>17</v>
      </c>
    </row>
    <row r="44" spans="1:16" x14ac:dyDescent="0.3">
      <c r="A44" s="4">
        <v>46034</v>
      </c>
      <c r="B44" s="3" t="s">
        <v>397</v>
      </c>
      <c r="C44" s="3" t="s">
        <v>398</v>
      </c>
      <c r="D44" s="3" t="s">
        <v>399</v>
      </c>
      <c r="E44" s="3">
        <v>31</v>
      </c>
      <c r="F44" s="3">
        <v>0</v>
      </c>
      <c r="G44" s="6">
        <v>0.83</v>
      </c>
      <c r="H44" s="3">
        <v>15.7</v>
      </c>
      <c r="I44" s="3">
        <v>244</v>
      </c>
      <c r="J44" s="3">
        <v>106</v>
      </c>
      <c r="K44" s="5">
        <v>2199</v>
      </c>
      <c r="L44" s="3">
        <v>52</v>
      </c>
      <c r="M44" s="3">
        <v>7</v>
      </c>
      <c r="N44" s="6">
        <v>0.68</v>
      </c>
      <c r="O44" s="3" t="s">
        <v>29</v>
      </c>
      <c r="P44" s="3" t="s">
        <v>66</v>
      </c>
    </row>
    <row r="45" spans="1:16" x14ac:dyDescent="0.3">
      <c r="A45" s="4">
        <v>46034</v>
      </c>
      <c r="B45" s="3" t="s">
        <v>397</v>
      </c>
      <c r="C45" s="3" t="s">
        <v>398</v>
      </c>
      <c r="D45" s="3" t="s">
        <v>400</v>
      </c>
      <c r="E45" s="3">
        <v>26</v>
      </c>
      <c r="F45" s="3">
        <v>1</v>
      </c>
      <c r="G45" s="6">
        <v>0.77</v>
      </c>
      <c r="H45" s="3">
        <v>9.8000000000000007</v>
      </c>
      <c r="I45" s="3">
        <v>178</v>
      </c>
      <c r="J45" s="3">
        <v>88</v>
      </c>
      <c r="K45" s="5">
        <v>729</v>
      </c>
      <c r="L45" s="3">
        <v>112</v>
      </c>
      <c r="M45" s="3">
        <v>4</v>
      </c>
      <c r="N45" s="6">
        <v>0.6</v>
      </c>
      <c r="O45" s="3" t="s">
        <v>26</v>
      </c>
      <c r="P45" s="3" t="s">
        <v>33</v>
      </c>
    </row>
    <row r="46" spans="1:16" x14ac:dyDescent="0.3">
      <c r="A46" s="4">
        <v>46034</v>
      </c>
      <c r="B46" s="3" t="s">
        <v>397</v>
      </c>
      <c r="C46" s="3" t="s">
        <v>401</v>
      </c>
      <c r="D46" s="3" t="s">
        <v>402</v>
      </c>
      <c r="E46" s="3">
        <v>36</v>
      </c>
      <c r="F46" s="3">
        <v>0</v>
      </c>
      <c r="G46" s="6">
        <v>0.82</v>
      </c>
      <c r="H46" s="3">
        <v>9.6</v>
      </c>
      <c r="I46" s="3">
        <v>67</v>
      </c>
      <c r="J46" s="3">
        <v>105</v>
      </c>
      <c r="K46" s="5">
        <v>1275</v>
      </c>
      <c r="L46" s="3">
        <v>79</v>
      </c>
      <c r="M46" s="3">
        <v>7</v>
      </c>
      <c r="N46" s="6">
        <v>0.71</v>
      </c>
      <c r="O46" s="3" t="s">
        <v>18</v>
      </c>
      <c r="P46" s="3" t="s">
        <v>17</v>
      </c>
    </row>
    <row r="47" spans="1:16" x14ac:dyDescent="0.3">
      <c r="A47" s="4">
        <v>46034</v>
      </c>
      <c r="B47" s="3" t="s">
        <v>397</v>
      </c>
      <c r="C47" s="3" t="s">
        <v>401</v>
      </c>
      <c r="D47" s="3" t="s">
        <v>403</v>
      </c>
      <c r="E47" s="3">
        <v>21</v>
      </c>
      <c r="F47" s="3">
        <v>1</v>
      </c>
      <c r="G47" s="6">
        <v>0.88</v>
      </c>
      <c r="H47" s="3">
        <v>14.9</v>
      </c>
      <c r="I47" s="3">
        <v>118</v>
      </c>
      <c r="J47" s="3">
        <v>96</v>
      </c>
      <c r="K47" s="5">
        <v>778</v>
      </c>
      <c r="L47" s="3">
        <v>66</v>
      </c>
      <c r="M47" s="3">
        <v>0</v>
      </c>
      <c r="N47" s="6">
        <v>0.88</v>
      </c>
      <c r="O47" s="3" t="s">
        <v>18</v>
      </c>
      <c r="P47" s="3" t="s">
        <v>55</v>
      </c>
    </row>
    <row r="48" spans="1:16" x14ac:dyDescent="0.3">
      <c r="A48" s="4">
        <v>46034</v>
      </c>
      <c r="B48" s="3" t="s">
        <v>397</v>
      </c>
      <c r="C48" s="3" t="s">
        <v>404</v>
      </c>
      <c r="D48" s="3" t="s">
        <v>405</v>
      </c>
      <c r="E48" s="3">
        <v>33</v>
      </c>
      <c r="F48" s="3">
        <v>1</v>
      </c>
      <c r="G48" s="6">
        <v>0.84</v>
      </c>
      <c r="H48" s="3">
        <v>16.600000000000001</v>
      </c>
      <c r="I48" s="3">
        <v>235</v>
      </c>
      <c r="J48" s="3">
        <v>87</v>
      </c>
      <c r="K48" s="5">
        <v>2206</v>
      </c>
      <c r="L48" s="3">
        <v>6</v>
      </c>
      <c r="M48" s="3">
        <v>4</v>
      </c>
      <c r="N48" s="6">
        <v>0.88</v>
      </c>
      <c r="O48" s="3" t="s">
        <v>26</v>
      </c>
      <c r="P48" s="3" t="s">
        <v>25</v>
      </c>
    </row>
    <row r="49" spans="1:16" x14ac:dyDescent="0.3">
      <c r="A49" s="4">
        <v>46034</v>
      </c>
      <c r="B49" s="3" t="s">
        <v>397</v>
      </c>
      <c r="C49" s="3" t="s">
        <v>404</v>
      </c>
      <c r="D49" s="3" t="s">
        <v>406</v>
      </c>
      <c r="E49" s="3">
        <v>27</v>
      </c>
      <c r="F49" s="3">
        <v>1</v>
      </c>
      <c r="G49" s="6">
        <v>0.85</v>
      </c>
      <c r="H49" s="3">
        <v>16.600000000000001</v>
      </c>
      <c r="I49" s="3">
        <v>251</v>
      </c>
      <c r="J49" s="3">
        <v>132</v>
      </c>
      <c r="K49" s="5">
        <v>2336</v>
      </c>
      <c r="L49" s="3">
        <v>105</v>
      </c>
      <c r="M49" s="3">
        <v>5</v>
      </c>
      <c r="N49" s="6">
        <v>0.77</v>
      </c>
      <c r="O49" s="3" t="s">
        <v>13</v>
      </c>
      <c r="P49" s="3" t="s">
        <v>12</v>
      </c>
    </row>
    <row r="50" spans="1:16" x14ac:dyDescent="0.3">
      <c r="A50" s="4">
        <v>46035</v>
      </c>
      <c r="B50" s="3" t="s">
        <v>407</v>
      </c>
      <c r="C50" s="3" t="s">
        <v>398</v>
      </c>
      <c r="D50" s="3" t="s">
        <v>399</v>
      </c>
      <c r="E50" s="3">
        <v>28</v>
      </c>
      <c r="F50" s="3">
        <v>1</v>
      </c>
      <c r="G50" s="6">
        <v>0.74</v>
      </c>
      <c r="H50" s="3">
        <v>8.6999999999999993</v>
      </c>
      <c r="I50" s="3">
        <v>93</v>
      </c>
      <c r="J50" s="3">
        <v>80</v>
      </c>
      <c r="K50" s="5">
        <v>2955</v>
      </c>
      <c r="L50" s="3">
        <v>1</v>
      </c>
      <c r="M50" s="3">
        <v>3</v>
      </c>
      <c r="N50" s="6">
        <v>0.65</v>
      </c>
      <c r="O50" s="3" t="s">
        <v>13</v>
      </c>
      <c r="P50" s="3" t="s">
        <v>21</v>
      </c>
    </row>
    <row r="51" spans="1:16" x14ac:dyDescent="0.3">
      <c r="A51" s="4">
        <v>46035</v>
      </c>
      <c r="B51" s="3" t="s">
        <v>407</v>
      </c>
      <c r="C51" s="3" t="s">
        <v>398</v>
      </c>
      <c r="D51" s="3" t="s">
        <v>400</v>
      </c>
      <c r="E51" s="3">
        <v>27</v>
      </c>
      <c r="F51" s="3">
        <v>0</v>
      </c>
      <c r="G51" s="6">
        <v>0.89</v>
      </c>
      <c r="H51" s="3">
        <v>11.1</v>
      </c>
      <c r="I51" s="3">
        <v>244</v>
      </c>
      <c r="J51" s="3">
        <v>149</v>
      </c>
      <c r="K51" s="5">
        <v>3780</v>
      </c>
      <c r="L51" s="3">
        <v>37</v>
      </c>
      <c r="M51" s="3">
        <v>1</v>
      </c>
      <c r="N51" s="6">
        <v>0.85</v>
      </c>
      <c r="O51" s="3" t="s">
        <v>37</v>
      </c>
      <c r="P51" s="3" t="s">
        <v>40</v>
      </c>
    </row>
    <row r="52" spans="1:16" x14ac:dyDescent="0.3">
      <c r="A52" s="4">
        <v>46035</v>
      </c>
      <c r="B52" s="3" t="s">
        <v>407</v>
      </c>
      <c r="C52" s="3" t="s">
        <v>401</v>
      </c>
      <c r="D52" s="3" t="s">
        <v>402</v>
      </c>
      <c r="E52" s="3">
        <v>37</v>
      </c>
      <c r="F52" s="3">
        <v>3</v>
      </c>
      <c r="G52" s="6">
        <v>0.89</v>
      </c>
      <c r="H52" s="3">
        <v>11.6</v>
      </c>
      <c r="I52" s="3">
        <v>164</v>
      </c>
      <c r="J52" s="3">
        <v>127</v>
      </c>
      <c r="K52" s="5">
        <v>4</v>
      </c>
      <c r="L52" s="3">
        <v>74</v>
      </c>
      <c r="M52" s="3">
        <v>6</v>
      </c>
      <c r="N52" s="6">
        <v>0.81</v>
      </c>
      <c r="O52" s="3" t="s">
        <v>13</v>
      </c>
      <c r="P52" s="3" t="s">
        <v>12</v>
      </c>
    </row>
    <row r="53" spans="1:16" x14ac:dyDescent="0.3">
      <c r="A53" s="4">
        <v>46035</v>
      </c>
      <c r="B53" s="3" t="s">
        <v>407</v>
      </c>
      <c r="C53" s="3" t="s">
        <v>401</v>
      </c>
      <c r="D53" s="3" t="s">
        <v>403</v>
      </c>
      <c r="E53" s="3">
        <v>28</v>
      </c>
      <c r="F53" s="3">
        <v>1</v>
      </c>
      <c r="G53" s="6">
        <v>0.82</v>
      </c>
      <c r="H53" s="3">
        <v>11.2</v>
      </c>
      <c r="I53" s="3">
        <v>212</v>
      </c>
      <c r="J53" s="3">
        <v>124</v>
      </c>
      <c r="K53" s="5">
        <v>2368</v>
      </c>
      <c r="L53" s="3">
        <v>10</v>
      </c>
      <c r="M53" s="3">
        <v>7</v>
      </c>
      <c r="N53" s="6">
        <v>0.72</v>
      </c>
      <c r="O53" s="3" t="s">
        <v>26</v>
      </c>
      <c r="P53" s="3" t="s">
        <v>33</v>
      </c>
    </row>
    <row r="54" spans="1:16" x14ac:dyDescent="0.3">
      <c r="A54" s="4">
        <v>46035</v>
      </c>
      <c r="B54" s="3" t="s">
        <v>407</v>
      </c>
      <c r="C54" s="3" t="s">
        <v>404</v>
      </c>
      <c r="D54" s="3" t="s">
        <v>405</v>
      </c>
      <c r="E54" s="3">
        <v>25</v>
      </c>
      <c r="F54" s="3">
        <v>0</v>
      </c>
      <c r="G54" s="6">
        <v>0.85</v>
      </c>
      <c r="H54" s="3">
        <v>12.5</v>
      </c>
      <c r="I54" s="3">
        <v>332</v>
      </c>
      <c r="J54" s="3">
        <v>127</v>
      </c>
      <c r="K54" s="5">
        <v>1082</v>
      </c>
      <c r="L54" s="3">
        <v>72</v>
      </c>
      <c r="M54" s="3">
        <v>3</v>
      </c>
      <c r="N54" s="6">
        <v>0.69</v>
      </c>
      <c r="O54" s="3" t="s">
        <v>26</v>
      </c>
      <c r="P54" s="3" t="s">
        <v>25</v>
      </c>
    </row>
    <row r="55" spans="1:16" x14ac:dyDescent="0.3">
      <c r="A55" s="4">
        <v>46035</v>
      </c>
      <c r="B55" s="3" t="s">
        <v>407</v>
      </c>
      <c r="C55" s="3" t="s">
        <v>404</v>
      </c>
      <c r="D55" s="3" t="s">
        <v>406</v>
      </c>
      <c r="E55" s="3">
        <v>34</v>
      </c>
      <c r="F55" s="3">
        <v>1</v>
      </c>
      <c r="G55" s="6">
        <v>0.76</v>
      </c>
      <c r="H55" s="3">
        <v>13.9</v>
      </c>
      <c r="I55" s="3">
        <v>434</v>
      </c>
      <c r="J55" s="3">
        <v>150</v>
      </c>
      <c r="K55" s="5">
        <v>4395</v>
      </c>
      <c r="L55" s="3">
        <v>42</v>
      </c>
      <c r="M55" s="3">
        <v>6</v>
      </c>
      <c r="N55" s="6">
        <v>0.67</v>
      </c>
      <c r="O55" s="3" t="s">
        <v>37</v>
      </c>
      <c r="P55" s="3" t="s">
        <v>40</v>
      </c>
    </row>
    <row r="56" spans="1:16" x14ac:dyDescent="0.3">
      <c r="A56" s="4">
        <v>46036</v>
      </c>
      <c r="B56" s="3" t="s">
        <v>408</v>
      </c>
      <c r="C56" s="3" t="s">
        <v>398</v>
      </c>
      <c r="D56" s="3" t="s">
        <v>399</v>
      </c>
      <c r="E56" s="3">
        <v>27</v>
      </c>
      <c r="F56" s="3">
        <v>1</v>
      </c>
      <c r="G56" s="6">
        <v>0.77</v>
      </c>
      <c r="H56" s="3">
        <v>10.9</v>
      </c>
      <c r="I56" s="3">
        <v>92</v>
      </c>
      <c r="J56" s="3">
        <v>28</v>
      </c>
      <c r="K56" s="5">
        <v>3170</v>
      </c>
      <c r="L56" s="3">
        <v>39</v>
      </c>
      <c r="M56" s="3">
        <v>1</v>
      </c>
      <c r="N56" s="6">
        <v>0.67</v>
      </c>
      <c r="O56" s="3" t="s">
        <v>37</v>
      </c>
      <c r="P56" s="3" t="s">
        <v>40</v>
      </c>
    </row>
    <row r="57" spans="1:16" x14ac:dyDescent="0.3">
      <c r="A57" s="4">
        <v>46036</v>
      </c>
      <c r="B57" s="3" t="s">
        <v>408</v>
      </c>
      <c r="C57" s="3" t="s">
        <v>398</v>
      </c>
      <c r="D57" s="3" t="s">
        <v>400</v>
      </c>
      <c r="E57" s="3">
        <v>33</v>
      </c>
      <c r="F57" s="3">
        <v>4</v>
      </c>
      <c r="G57" s="6">
        <v>0.75</v>
      </c>
      <c r="H57" s="3">
        <v>10.3</v>
      </c>
      <c r="I57" s="3">
        <v>178</v>
      </c>
      <c r="J57" s="3">
        <v>129</v>
      </c>
      <c r="K57" s="5">
        <v>1982</v>
      </c>
      <c r="L57" s="3">
        <v>55</v>
      </c>
      <c r="M57" s="3">
        <v>2</v>
      </c>
      <c r="N57" s="6">
        <v>0.63</v>
      </c>
      <c r="O57" s="3" t="s">
        <v>37</v>
      </c>
      <c r="P57" s="3" t="s">
        <v>36</v>
      </c>
    </row>
    <row r="58" spans="1:16" x14ac:dyDescent="0.3">
      <c r="A58" s="4">
        <v>46036</v>
      </c>
      <c r="B58" s="3" t="s">
        <v>408</v>
      </c>
      <c r="C58" s="3" t="s">
        <v>401</v>
      </c>
      <c r="D58" s="3" t="s">
        <v>402</v>
      </c>
      <c r="E58" s="3">
        <v>28</v>
      </c>
      <c r="F58" s="3">
        <v>1</v>
      </c>
      <c r="G58" s="6">
        <v>0.86</v>
      </c>
      <c r="H58" s="3">
        <v>17.3</v>
      </c>
      <c r="I58" s="3">
        <v>78</v>
      </c>
      <c r="J58" s="3">
        <v>81</v>
      </c>
      <c r="K58" s="5">
        <v>549</v>
      </c>
      <c r="L58" s="3">
        <v>74</v>
      </c>
      <c r="M58" s="3">
        <v>0</v>
      </c>
      <c r="N58" s="6">
        <v>0.84</v>
      </c>
      <c r="O58" s="3" t="s">
        <v>13</v>
      </c>
      <c r="P58" s="3" t="s">
        <v>21</v>
      </c>
    </row>
    <row r="59" spans="1:16" x14ac:dyDescent="0.3">
      <c r="A59" s="4">
        <v>46036</v>
      </c>
      <c r="B59" s="3" t="s">
        <v>408</v>
      </c>
      <c r="C59" s="3" t="s">
        <v>401</v>
      </c>
      <c r="D59" s="3" t="s">
        <v>403</v>
      </c>
      <c r="E59" s="3">
        <v>20</v>
      </c>
      <c r="F59" s="3">
        <v>0</v>
      </c>
      <c r="G59" s="6">
        <v>0.88</v>
      </c>
      <c r="H59" s="3">
        <v>8.6</v>
      </c>
      <c r="I59" s="3">
        <v>213</v>
      </c>
      <c r="J59" s="3">
        <v>10</v>
      </c>
      <c r="K59" s="5">
        <v>4342</v>
      </c>
      <c r="L59" s="3">
        <v>99</v>
      </c>
      <c r="M59" s="3">
        <v>2</v>
      </c>
      <c r="N59" s="6">
        <v>0.88</v>
      </c>
      <c r="O59" s="3" t="s">
        <v>13</v>
      </c>
      <c r="P59" s="3" t="s">
        <v>12</v>
      </c>
    </row>
    <row r="60" spans="1:16" x14ac:dyDescent="0.3">
      <c r="A60" s="4">
        <v>46036</v>
      </c>
      <c r="B60" s="3" t="s">
        <v>408</v>
      </c>
      <c r="C60" s="3" t="s">
        <v>404</v>
      </c>
      <c r="D60" s="3" t="s">
        <v>405</v>
      </c>
      <c r="E60" s="3">
        <v>35</v>
      </c>
      <c r="F60" s="3">
        <v>0</v>
      </c>
      <c r="G60" s="6">
        <v>0.88</v>
      </c>
      <c r="H60" s="3">
        <v>13</v>
      </c>
      <c r="I60" s="3">
        <v>362</v>
      </c>
      <c r="J60" s="3">
        <v>85</v>
      </c>
      <c r="K60" s="5">
        <v>1302</v>
      </c>
      <c r="L60" s="3">
        <v>69</v>
      </c>
      <c r="M60" s="3">
        <v>7</v>
      </c>
      <c r="N60" s="6">
        <v>0.88</v>
      </c>
      <c r="O60" s="3" t="s">
        <v>18</v>
      </c>
      <c r="P60" s="3" t="s">
        <v>55</v>
      </c>
    </row>
    <row r="61" spans="1:16" x14ac:dyDescent="0.3">
      <c r="A61" s="4">
        <v>46036</v>
      </c>
      <c r="B61" s="3" t="s">
        <v>408</v>
      </c>
      <c r="C61" s="3" t="s">
        <v>404</v>
      </c>
      <c r="D61" s="3" t="s">
        <v>406</v>
      </c>
      <c r="E61" s="3">
        <v>27</v>
      </c>
      <c r="F61" s="3">
        <v>0</v>
      </c>
      <c r="G61" s="6">
        <v>0.73</v>
      </c>
      <c r="H61" s="3">
        <v>16.8</v>
      </c>
      <c r="I61" s="3">
        <v>118</v>
      </c>
      <c r="J61" s="3">
        <v>137</v>
      </c>
      <c r="K61" s="5">
        <v>2800</v>
      </c>
      <c r="L61" s="3">
        <v>45</v>
      </c>
      <c r="M61" s="3">
        <v>3</v>
      </c>
      <c r="N61" s="6">
        <v>0.78</v>
      </c>
      <c r="O61" s="3" t="s">
        <v>29</v>
      </c>
      <c r="P61" s="3" t="s">
        <v>28</v>
      </c>
    </row>
    <row r="62" spans="1:16" x14ac:dyDescent="0.3">
      <c r="A62" s="4">
        <v>46037</v>
      </c>
      <c r="B62" s="3" t="s">
        <v>409</v>
      </c>
      <c r="C62" s="3" t="s">
        <v>398</v>
      </c>
      <c r="D62" s="3" t="s">
        <v>399</v>
      </c>
      <c r="E62" s="3">
        <v>30</v>
      </c>
      <c r="F62" s="3">
        <v>3</v>
      </c>
      <c r="G62" s="6">
        <v>0.85</v>
      </c>
      <c r="H62" s="3">
        <v>10.1</v>
      </c>
      <c r="I62" s="3">
        <v>121</v>
      </c>
      <c r="J62" s="3">
        <v>26</v>
      </c>
      <c r="K62" s="5">
        <v>4240</v>
      </c>
      <c r="L62" s="3">
        <v>97</v>
      </c>
      <c r="M62" s="3">
        <v>2</v>
      </c>
      <c r="N62" s="6">
        <v>0.8</v>
      </c>
      <c r="O62" s="3" t="s">
        <v>18</v>
      </c>
      <c r="P62" s="3" t="s">
        <v>17</v>
      </c>
    </row>
    <row r="63" spans="1:16" x14ac:dyDescent="0.3">
      <c r="A63" s="4">
        <v>46037</v>
      </c>
      <c r="B63" s="3" t="s">
        <v>409</v>
      </c>
      <c r="C63" s="3" t="s">
        <v>398</v>
      </c>
      <c r="D63" s="3" t="s">
        <v>400</v>
      </c>
      <c r="E63" s="3">
        <v>31</v>
      </c>
      <c r="F63" s="3">
        <v>4</v>
      </c>
      <c r="G63" s="6">
        <v>0.73</v>
      </c>
      <c r="H63" s="3">
        <v>10.7</v>
      </c>
      <c r="I63" s="3">
        <v>360</v>
      </c>
      <c r="J63" s="3">
        <v>5</v>
      </c>
      <c r="K63" s="5">
        <v>3938</v>
      </c>
      <c r="L63" s="3">
        <v>112</v>
      </c>
      <c r="M63" s="3">
        <v>5</v>
      </c>
      <c r="N63" s="6">
        <v>0.69</v>
      </c>
      <c r="O63" s="3" t="s">
        <v>13</v>
      </c>
      <c r="P63" s="3" t="s">
        <v>21</v>
      </c>
    </row>
    <row r="64" spans="1:16" x14ac:dyDescent="0.3">
      <c r="A64" s="4">
        <v>46037</v>
      </c>
      <c r="B64" s="3" t="s">
        <v>409</v>
      </c>
      <c r="C64" s="3" t="s">
        <v>401</v>
      </c>
      <c r="D64" s="3" t="s">
        <v>402</v>
      </c>
      <c r="E64" s="3">
        <v>22</v>
      </c>
      <c r="F64" s="3">
        <v>0</v>
      </c>
      <c r="G64" s="6">
        <v>0.83</v>
      </c>
      <c r="H64" s="3">
        <v>16.3</v>
      </c>
      <c r="I64" s="3">
        <v>235</v>
      </c>
      <c r="J64" s="3">
        <v>30</v>
      </c>
      <c r="K64" s="5">
        <v>301</v>
      </c>
      <c r="L64" s="3">
        <v>87</v>
      </c>
      <c r="M64" s="3">
        <v>2</v>
      </c>
      <c r="N64" s="6">
        <v>0.84</v>
      </c>
      <c r="O64" s="3" t="s">
        <v>18</v>
      </c>
      <c r="P64" s="3" t="s">
        <v>55</v>
      </c>
    </row>
    <row r="65" spans="1:16" x14ac:dyDescent="0.3">
      <c r="A65" s="4">
        <v>46037</v>
      </c>
      <c r="B65" s="3" t="s">
        <v>409</v>
      </c>
      <c r="C65" s="3" t="s">
        <v>401</v>
      </c>
      <c r="D65" s="3" t="s">
        <v>403</v>
      </c>
      <c r="E65" s="3">
        <v>26</v>
      </c>
      <c r="F65" s="3">
        <v>3</v>
      </c>
      <c r="G65" s="6">
        <v>0.83</v>
      </c>
      <c r="H65" s="3">
        <v>16.7</v>
      </c>
      <c r="I65" s="3">
        <v>181</v>
      </c>
      <c r="J65" s="3">
        <v>71</v>
      </c>
      <c r="K65" s="5">
        <v>1685</v>
      </c>
      <c r="L65" s="3">
        <v>115</v>
      </c>
      <c r="M65" s="3">
        <v>0</v>
      </c>
      <c r="N65" s="6">
        <v>0.74</v>
      </c>
      <c r="O65" s="3" t="s">
        <v>37</v>
      </c>
      <c r="P65" s="3" t="s">
        <v>40</v>
      </c>
    </row>
    <row r="66" spans="1:16" x14ac:dyDescent="0.3">
      <c r="A66" s="4">
        <v>46037</v>
      </c>
      <c r="B66" s="3" t="s">
        <v>409</v>
      </c>
      <c r="C66" s="3" t="s">
        <v>404</v>
      </c>
      <c r="D66" s="3" t="s">
        <v>405</v>
      </c>
      <c r="E66" s="3">
        <v>21</v>
      </c>
      <c r="F66" s="3">
        <v>1</v>
      </c>
      <c r="G66" s="6">
        <v>0.87</v>
      </c>
      <c r="H66" s="3">
        <v>9.1999999999999993</v>
      </c>
      <c r="I66" s="3">
        <v>72</v>
      </c>
      <c r="J66" s="3">
        <v>65</v>
      </c>
      <c r="K66" s="5">
        <v>2141</v>
      </c>
      <c r="L66" s="3">
        <v>67</v>
      </c>
      <c r="M66" s="3">
        <v>2</v>
      </c>
      <c r="N66" s="6">
        <v>0.71</v>
      </c>
      <c r="O66" s="3" t="s">
        <v>37</v>
      </c>
      <c r="P66" s="3" t="s">
        <v>36</v>
      </c>
    </row>
    <row r="67" spans="1:16" x14ac:dyDescent="0.3">
      <c r="A67" s="4">
        <v>46037</v>
      </c>
      <c r="B67" s="3" t="s">
        <v>409</v>
      </c>
      <c r="C67" s="3" t="s">
        <v>404</v>
      </c>
      <c r="D67" s="3" t="s">
        <v>406</v>
      </c>
      <c r="E67" s="3">
        <v>32</v>
      </c>
      <c r="F67" s="3">
        <v>1</v>
      </c>
      <c r="G67" s="6">
        <v>0.85</v>
      </c>
      <c r="H67" s="3">
        <v>17.7</v>
      </c>
      <c r="I67" s="3">
        <v>208</v>
      </c>
      <c r="J67" s="3">
        <v>38</v>
      </c>
      <c r="K67" s="5">
        <v>1587</v>
      </c>
      <c r="L67" s="3">
        <v>44</v>
      </c>
      <c r="M67" s="3">
        <v>5</v>
      </c>
      <c r="N67" s="6">
        <v>0.77</v>
      </c>
      <c r="O67" s="3" t="s">
        <v>26</v>
      </c>
      <c r="P67" s="3" t="s">
        <v>33</v>
      </c>
    </row>
    <row r="68" spans="1:16" x14ac:dyDescent="0.3">
      <c r="A68" s="4">
        <v>46038</v>
      </c>
      <c r="B68" s="3" t="s">
        <v>410</v>
      </c>
      <c r="C68" s="3" t="s">
        <v>398</v>
      </c>
      <c r="D68" s="3" t="s">
        <v>399</v>
      </c>
      <c r="E68" s="3">
        <v>26</v>
      </c>
      <c r="F68" s="3">
        <v>0</v>
      </c>
      <c r="G68" s="6">
        <v>0.86</v>
      </c>
      <c r="H68" s="3">
        <v>11.1</v>
      </c>
      <c r="I68" s="3">
        <v>210</v>
      </c>
      <c r="J68" s="3">
        <v>48</v>
      </c>
      <c r="K68" s="5">
        <v>1019</v>
      </c>
      <c r="L68" s="3">
        <v>34</v>
      </c>
      <c r="M68" s="3">
        <v>1</v>
      </c>
      <c r="N68" s="6">
        <v>0.88</v>
      </c>
      <c r="O68" s="3" t="s">
        <v>13</v>
      </c>
      <c r="P68" s="3" t="s">
        <v>12</v>
      </c>
    </row>
    <row r="69" spans="1:16" x14ac:dyDescent="0.3">
      <c r="A69" s="4">
        <v>46038</v>
      </c>
      <c r="B69" s="3" t="s">
        <v>410</v>
      </c>
      <c r="C69" s="3" t="s">
        <v>398</v>
      </c>
      <c r="D69" s="3" t="s">
        <v>400</v>
      </c>
      <c r="E69" s="3">
        <v>28</v>
      </c>
      <c r="F69" s="3">
        <v>0</v>
      </c>
      <c r="G69" s="6">
        <v>0.9</v>
      </c>
      <c r="H69" s="3">
        <v>10.199999999999999</v>
      </c>
      <c r="I69" s="3">
        <v>387</v>
      </c>
      <c r="J69" s="3">
        <v>130</v>
      </c>
      <c r="K69" s="5">
        <v>392</v>
      </c>
      <c r="L69" s="3">
        <v>65</v>
      </c>
      <c r="M69" s="3">
        <v>3</v>
      </c>
      <c r="N69" s="6">
        <v>0.81</v>
      </c>
      <c r="O69" s="3" t="s">
        <v>26</v>
      </c>
      <c r="P69" s="3" t="s">
        <v>33</v>
      </c>
    </row>
    <row r="70" spans="1:16" x14ac:dyDescent="0.3">
      <c r="A70" s="4">
        <v>46038</v>
      </c>
      <c r="B70" s="3" t="s">
        <v>410</v>
      </c>
      <c r="C70" s="3" t="s">
        <v>401</v>
      </c>
      <c r="D70" s="3" t="s">
        <v>402</v>
      </c>
      <c r="E70" s="3">
        <v>31</v>
      </c>
      <c r="F70" s="3">
        <v>0</v>
      </c>
      <c r="G70" s="6">
        <v>0.81</v>
      </c>
      <c r="H70" s="3">
        <v>16.2</v>
      </c>
      <c r="I70" s="3">
        <v>101</v>
      </c>
      <c r="J70" s="3">
        <v>55</v>
      </c>
      <c r="K70" s="5">
        <v>627</v>
      </c>
      <c r="L70" s="3">
        <v>118</v>
      </c>
      <c r="M70" s="3">
        <v>0</v>
      </c>
      <c r="N70" s="6">
        <v>0.69</v>
      </c>
      <c r="O70" s="3" t="s">
        <v>37</v>
      </c>
      <c r="P70" s="3" t="s">
        <v>40</v>
      </c>
    </row>
    <row r="71" spans="1:16" x14ac:dyDescent="0.3">
      <c r="A71" s="4">
        <v>46038</v>
      </c>
      <c r="B71" s="3" t="s">
        <v>410</v>
      </c>
      <c r="C71" s="3" t="s">
        <v>401</v>
      </c>
      <c r="D71" s="3" t="s">
        <v>403</v>
      </c>
      <c r="E71" s="3">
        <v>37</v>
      </c>
      <c r="F71" s="3">
        <v>1</v>
      </c>
      <c r="G71" s="6">
        <v>0.72</v>
      </c>
      <c r="H71" s="3">
        <v>9.9</v>
      </c>
      <c r="I71" s="3">
        <v>194</v>
      </c>
      <c r="J71" s="3">
        <v>44</v>
      </c>
      <c r="K71" s="5">
        <v>3949</v>
      </c>
      <c r="L71" s="3">
        <v>43</v>
      </c>
      <c r="M71" s="3">
        <v>1</v>
      </c>
      <c r="N71" s="6">
        <v>0.56999999999999995</v>
      </c>
      <c r="O71" s="3" t="s">
        <v>26</v>
      </c>
      <c r="P71" s="3" t="s">
        <v>33</v>
      </c>
    </row>
    <row r="72" spans="1:16" x14ac:dyDescent="0.3">
      <c r="A72" s="4">
        <v>46038</v>
      </c>
      <c r="B72" s="3" t="s">
        <v>410</v>
      </c>
      <c r="C72" s="3" t="s">
        <v>404</v>
      </c>
      <c r="D72" s="3" t="s">
        <v>405</v>
      </c>
      <c r="E72" s="3">
        <v>30</v>
      </c>
      <c r="F72" s="3">
        <v>0</v>
      </c>
      <c r="G72" s="6">
        <v>0.79</v>
      </c>
      <c r="H72" s="3">
        <v>18.100000000000001</v>
      </c>
      <c r="I72" s="3">
        <v>200</v>
      </c>
      <c r="J72" s="3">
        <v>147</v>
      </c>
      <c r="K72" s="5">
        <v>954</v>
      </c>
      <c r="L72" s="3">
        <v>88</v>
      </c>
      <c r="M72" s="3">
        <v>6</v>
      </c>
      <c r="N72" s="6">
        <v>0.69</v>
      </c>
      <c r="O72" s="3" t="s">
        <v>37</v>
      </c>
      <c r="P72" s="3" t="s">
        <v>36</v>
      </c>
    </row>
    <row r="73" spans="1:16" x14ac:dyDescent="0.3">
      <c r="A73" s="4">
        <v>46038</v>
      </c>
      <c r="B73" s="3" t="s">
        <v>410</v>
      </c>
      <c r="C73" s="3" t="s">
        <v>404</v>
      </c>
      <c r="D73" s="3" t="s">
        <v>406</v>
      </c>
      <c r="E73" s="3">
        <v>21</v>
      </c>
      <c r="F73" s="3">
        <v>0</v>
      </c>
      <c r="G73" s="6">
        <v>0.79</v>
      </c>
      <c r="H73" s="3">
        <v>16.2</v>
      </c>
      <c r="I73" s="3">
        <v>315</v>
      </c>
      <c r="J73" s="3">
        <v>4</v>
      </c>
      <c r="K73" s="5">
        <v>769</v>
      </c>
      <c r="L73" s="3">
        <v>16</v>
      </c>
      <c r="M73" s="3">
        <v>0</v>
      </c>
      <c r="N73" s="6">
        <v>0.71</v>
      </c>
      <c r="O73" s="3" t="s">
        <v>13</v>
      </c>
      <c r="P73" s="3" t="s">
        <v>21</v>
      </c>
    </row>
    <row r="74" spans="1:16" x14ac:dyDescent="0.3">
      <c r="A74" s="4">
        <v>46039</v>
      </c>
      <c r="B74" s="3" t="s">
        <v>411</v>
      </c>
      <c r="C74" s="3" t="s">
        <v>398</v>
      </c>
      <c r="D74" s="3" t="s">
        <v>399</v>
      </c>
      <c r="E74" s="3">
        <v>30</v>
      </c>
      <c r="F74" s="3">
        <v>4</v>
      </c>
      <c r="G74" s="6">
        <v>0.79</v>
      </c>
      <c r="H74" s="3">
        <v>8</v>
      </c>
      <c r="I74" s="3">
        <v>93</v>
      </c>
      <c r="J74" s="3">
        <v>148</v>
      </c>
      <c r="K74" s="5">
        <v>3000</v>
      </c>
      <c r="L74" s="3">
        <v>29</v>
      </c>
      <c r="M74" s="3">
        <v>2</v>
      </c>
      <c r="N74" s="6">
        <v>0.78</v>
      </c>
      <c r="O74" s="3" t="s">
        <v>37</v>
      </c>
      <c r="P74" s="3" t="s">
        <v>40</v>
      </c>
    </row>
    <row r="75" spans="1:16" x14ac:dyDescent="0.3">
      <c r="A75" s="4">
        <v>46039</v>
      </c>
      <c r="B75" s="3" t="s">
        <v>411</v>
      </c>
      <c r="C75" s="3" t="s">
        <v>398</v>
      </c>
      <c r="D75" s="3" t="s">
        <v>400</v>
      </c>
      <c r="E75" s="3">
        <v>35</v>
      </c>
      <c r="F75" s="3">
        <v>0</v>
      </c>
      <c r="G75" s="6">
        <v>0.73</v>
      </c>
      <c r="H75" s="3">
        <v>16.5</v>
      </c>
      <c r="I75" s="3">
        <v>286</v>
      </c>
      <c r="J75" s="3">
        <v>131</v>
      </c>
      <c r="K75" s="5">
        <v>2166</v>
      </c>
      <c r="L75" s="3">
        <v>14</v>
      </c>
      <c r="M75" s="3">
        <v>4</v>
      </c>
      <c r="N75" s="6">
        <v>0.62</v>
      </c>
      <c r="O75" s="3" t="s">
        <v>26</v>
      </c>
      <c r="P75" s="3" t="s">
        <v>33</v>
      </c>
    </row>
    <row r="76" spans="1:16" x14ac:dyDescent="0.3">
      <c r="A76" s="4">
        <v>46039</v>
      </c>
      <c r="B76" s="3" t="s">
        <v>411</v>
      </c>
      <c r="C76" s="3" t="s">
        <v>401</v>
      </c>
      <c r="D76" s="3" t="s">
        <v>402</v>
      </c>
      <c r="E76" s="3">
        <v>23</v>
      </c>
      <c r="F76" s="3">
        <v>1</v>
      </c>
      <c r="G76" s="6">
        <v>0.75</v>
      </c>
      <c r="H76" s="3">
        <v>11.1</v>
      </c>
      <c r="I76" s="3">
        <v>316</v>
      </c>
      <c r="J76" s="3">
        <v>92</v>
      </c>
      <c r="K76" s="5">
        <v>3732</v>
      </c>
      <c r="L76" s="3">
        <v>11</v>
      </c>
      <c r="M76" s="3">
        <v>3</v>
      </c>
      <c r="N76" s="6">
        <v>0.69</v>
      </c>
      <c r="O76" s="3" t="s">
        <v>13</v>
      </c>
      <c r="P76" s="3" t="s">
        <v>12</v>
      </c>
    </row>
    <row r="77" spans="1:16" x14ac:dyDescent="0.3">
      <c r="A77" s="4">
        <v>46039</v>
      </c>
      <c r="B77" s="3" t="s">
        <v>411</v>
      </c>
      <c r="C77" s="3" t="s">
        <v>401</v>
      </c>
      <c r="D77" s="3" t="s">
        <v>403</v>
      </c>
      <c r="E77" s="3">
        <v>24</v>
      </c>
      <c r="F77" s="3">
        <v>0</v>
      </c>
      <c r="G77" s="6">
        <v>0.82</v>
      </c>
      <c r="H77" s="3">
        <v>16.600000000000001</v>
      </c>
      <c r="I77" s="3">
        <v>209</v>
      </c>
      <c r="J77" s="3">
        <v>5</v>
      </c>
      <c r="K77" s="5">
        <v>3613</v>
      </c>
      <c r="L77" s="3">
        <v>35</v>
      </c>
      <c r="M77" s="3">
        <v>4</v>
      </c>
      <c r="N77" s="6">
        <v>0.76</v>
      </c>
      <c r="O77" s="3" t="s">
        <v>37</v>
      </c>
      <c r="P77" s="3" t="s">
        <v>36</v>
      </c>
    </row>
    <row r="78" spans="1:16" x14ac:dyDescent="0.3">
      <c r="A78" s="4">
        <v>46039</v>
      </c>
      <c r="B78" s="3" t="s">
        <v>411</v>
      </c>
      <c r="C78" s="3" t="s">
        <v>404</v>
      </c>
      <c r="D78" s="3" t="s">
        <v>405</v>
      </c>
      <c r="E78" s="3">
        <v>27</v>
      </c>
      <c r="F78" s="3">
        <v>1</v>
      </c>
      <c r="G78" s="6">
        <v>0.74</v>
      </c>
      <c r="H78" s="3">
        <v>13.3</v>
      </c>
      <c r="I78" s="3">
        <v>103</v>
      </c>
      <c r="J78" s="3">
        <v>18</v>
      </c>
      <c r="K78" s="5">
        <v>1822</v>
      </c>
      <c r="L78" s="3">
        <v>120</v>
      </c>
      <c r="M78" s="3">
        <v>2</v>
      </c>
      <c r="N78" s="6">
        <v>0.63</v>
      </c>
      <c r="O78" s="3" t="s">
        <v>26</v>
      </c>
      <c r="P78" s="3" t="s">
        <v>33</v>
      </c>
    </row>
    <row r="79" spans="1:16" x14ac:dyDescent="0.3">
      <c r="A79" s="4">
        <v>46039</v>
      </c>
      <c r="B79" s="3" t="s">
        <v>411</v>
      </c>
      <c r="C79" s="3" t="s">
        <v>404</v>
      </c>
      <c r="D79" s="3" t="s">
        <v>406</v>
      </c>
      <c r="E79" s="3">
        <v>29</v>
      </c>
      <c r="F79" s="3">
        <v>0</v>
      </c>
      <c r="G79" s="6">
        <v>0.72</v>
      </c>
      <c r="H79" s="3">
        <v>13.6</v>
      </c>
      <c r="I79" s="3">
        <v>317</v>
      </c>
      <c r="J79" s="3">
        <v>18</v>
      </c>
      <c r="K79" s="5">
        <v>2340</v>
      </c>
      <c r="L79" s="3">
        <v>23</v>
      </c>
      <c r="M79" s="3">
        <v>5</v>
      </c>
      <c r="N79" s="6">
        <v>0.56000000000000005</v>
      </c>
      <c r="O79" s="3" t="s">
        <v>18</v>
      </c>
      <c r="P79" s="3" t="s">
        <v>55</v>
      </c>
    </row>
    <row r="80" spans="1:16" x14ac:dyDescent="0.3">
      <c r="A80" s="4">
        <v>46040</v>
      </c>
      <c r="B80" s="3" t="s">
        <v>412</v>
      </c>
      <c r="C80" s="3" t="s">
        <v>398</v>
      </c>
      <c r="D80" s="3" t="s">
        <v>399</v>
      </c>
      <c r="E80" s="3">
        <v>30</v>
      </c>
      <c r="F80" s="3">
        <v>1</v>
      </c>
      <c r="G80" s="6">
        <v>0.82</v>
      </c>
      <c r="H80" s="3">
        <v>15.6</v>
      </c>
      <c r="I80" s="3">
        <v>301</v>
      </c>
      <c r="J80" s="3">
        <v>30</v>
      </c>
      <c r="K80" s="5">
        <v>4233</v>
      </c>
      <c r="L80" s="3">
        <v>118</v>
      </c>
      <c r="M80" s="3">
        <v>1</v>
      </c>
      <c r="N80" s="6">
        <v>0.62</v>
      </c>
      <c r="O80" s="3" t="s">
        <v>29</v>
      </c>
      <c r="P80" s="3" t="s">
        <v>66</v>
      </c>
    </row>
    <row r="81" spans="1:16" x14ac:dyDescent="0.3">
      <c r="A81" s="4">
        <v>46040</v>
      </c>
      <c r="B81" s="3" t="s">
        <v>412</v>
      </c>
      <c r="C81" s="3" t="s">
        <v>398</v>
      </c>
      <c r="D81" s="3" t="s">
        <v>400</v>
      </c>
      <c r="E81" s="3">
        <v>29</v>
      </c>
      <c r="F81" s="3">
        <v>1</v>
      </c>
      <c r="G81" s="6">
        <v>0.74</v>
      </c>
      <c r="H81" s="3">
        <v>17.399999999999999</v>
      </c>
      <c r="I81" s="3">
        <v>238</v>
      </c>
      <c r="J81" s="3">
        <v>124</v>
      </c>
      <c r="K81" s="5">
        <v>2442</v>
      </c>
      <c r="L81" s="3">
        <v>31</v>
      </c>
      <c r="M81" s="3">
        <v>4</v>
      </c>
      <c r="N81" s="6">
        <v>0.75</v>
      </c>
      <c r="O81" s="3" t="s">
        <v>29</v>
      </c>
      <c r="P81" s="3" t="s">
        <v>28</v>
      </c>
    </row>
    <row r="82" spans="1:16" x14ac:dyDescent="0.3">
      <c r="A82" s="4">
        <v>46040</v>
      </c>
      <c r="B82" s="3" t="s">
        <v>412</v>
      </c>
      <c r="C82" s="3" t="s">
        <v>401</v>
      </c>
      <c r="D82" s="3" t="s">
        <v>402</v>
      </c>
      <c r="E82" s="3">
        <v>21</v>
      </c>
      <c r="F82" s="3">
        <v>2</v>
      </c>
      <c r="G82" s="6">
        <v>0.8</v>
      </c>
      <c r="H82" s="3">
        <v>11.8</v>
      </c>
      <c r="I82" s="3">
        <v>180</v>
      </c>
      <c r="J82" s="3">
        <v>48</v>
      </c>
      <c r="K82" s="5">
        <v>812</v>
      </c>
      <c r="L82" s="3">
        <v>86</v>
      </c>
      <c r="M82" s="3">
        <v>4</v>
      </c>
      <c r="N82" s="6">
        <v>0.65</v>
      </c>
      <c r="O82" s="3" t="s">
        <v>26</v>
      </c>
      <c r="P82" s="3" t="s">
        <v>25</v>
      </c>
    </row>
    <row r="83" spans="1:16" x14ac:dyDescent="0.3">
      <c r="A83" s="4">
        <v>46040</v>
      </c>
      <c r="B83" s="3" t="s">
        <v>412</v>
      </c>
      <c r="C83" s="3" t="s">
        <v>401</v>
      </c>
      <c r="D83" s="3" t="s">
        <v>403</v>
      </c>
      <c r="E83" s="3">
        <v>22</v>
      </c>
      <c r="F83" s="3">
        <v>3</v>
      </c>
      <c r="G83" s="6">
        <v>0.9</v>
      </c>
      <c r="H83" s="3">
        <v>10.3</v>
      </c>
      <c r="I83" s="3">
        <v>252</v>
      </c>
      <c r="J83" s="3">
        <v>51</v>
      </c>
      <c r="K83" s="5">
        <v>236</v>
      </c>
      <c r="L83" s="3">
        <v>106</v>
      </c>
      <c r="M83" s="3">
        <v>0</v>
      </c>
      <c r="N83" s="6">
        <v>0.77</v>
      </c>
      <c r="O83" s="3" t="s">
        <v>26</v>
      </c>
      <c r="P83" s="3" t="s">
        <v>33</v>
      </c>
    </row>
    <row r="84" spans="1:16" x14ac:dyDescent="0.3">
      <c r="A84" s="4">
        <v>46040</v>
      </c>
      <c r="B84" s="3" t="s">
        <v>412</v>
      </c>
      <c r="C84" s="3" t="s">
        <v>404</v>
      </c>
      <c r="D84" s="3" t="s">
        <v>405</v>
      </c>
      <c r="E84" s="3">
        <v>26</v>
      </c>
      <c r="F84" s="3">
        <v>3</v>
      </c>
      <c r="G84" s="6">
        <v>0.83</v>
      </c>
      <c r="H84" s="3">
        <v>9.6</v>
      </c>
      <c r="I84" s="3">
        <v>247</v>
      </c>
      <c r="J84" s="3">
        <v>10</v>
      </c>
      <c r="K84" s="5">
        <v>4239</v>
      </c>
      <c r="L84" s="3">
        <v>92</v>
      </c>
      <c r="M84" s="3">
        <v>0</v>
      </c>
      <c r="N84" s="6">
        <v>0.71</v>
      </c>
      <c r="O84" s="3" t="s">
        <v>29</v>
      </c>
      <c r="P84" s="3" t="s">
        <v>28</v>
      </c>
    </row>
    <row r="85" spans="1:16" x14ac:dyDescent="0.3">
      <c r="A85" s="4">
        <v>46040</v>
      </c>
      <c r="B85" s="3" t="s">
        <v>412</v>
      </c>
      <c r="C85" s="3" t="s">
        <v>404</v>
      </c>
      <c r="D85" s="3" t="s">
        <v>406</v>
      </c>
      <c r="E85" s="3">
        <v>28</v>
      </c>
      <c r="F85" s="3">
        <v>0</v>
      </c>
      <c r="G85" s="6">
        <v>0.73</v>
      </c>
      <c r="H85" s="3">
        <v>16.899999999999999</v>
      </c>
      <c r="I85" s="3">
        <v>136</v>
      </c>
      <c r="J85" s="3">
        <v>82</v>
      </c>
      <c r="K85" s="5">
        <v>1318</v>
      </c>
      <c r="L85" s="3">
        <v>55</v>
      </c>
      <c r="M85" s="3">
        <v>2</v>
      </c>
      <c r="N85" s="6">
        <v>0.7</v>
      </c>
      <c r="O85" s="3" t="s">
        <v>13</v>
      </c>
      <c r="P85" s="3" t="s">
        <v>21</v>
      </c>
    </row>
    <row r="86" spans="1:16" x14ac:dyDescent="0.3">
      <c r="A86" s="4">
        <v>46041</v>
      </c>
      <c r="B86" s="3" t="s">
        <v>397</v>
      </c>
      <c r="C86" s="3" t="s">
        <v>398</v>
      </c>
      <c r="D86" s="3" t="s">
        <v>399</v>
      </c>
      <c r="E86" s="3">
        <v>25</v>
      </c>
      <c r="F86" s="3">
        <v>2</v>
      </c>
      <c r="G86" s="6">
        <v>0.87</v>
      </c>
      <c r="H86" s="3">
        <v>16.899999999999999</v>
      </c>
      <c r="I86" s="3">
        <v>49</v>
      </c>
      <c r="J86" s="3">
        <v>28</v>
      </c>
      <c r="K86" s="5">
        <v>3349</v>
      </c>
      <c r="L86" s="3">
        <v>67</v>
      </c>
      <c r="M86" s="3">
        <v>5</v>
      </c>
      <c r="N86" s="6">
        <v>0.67</v>
      </c>
      <c r="O86" s="3" t="s">
        <v>26</v>
      </c>
      <c r="P86" s="3" t="s">
        <v>25</v>
      </c>
    </row>
    <row r="87" spans="1:16" x14ac:dyDescent="0.3">
      <c r="A87" s="4">
        <v>46041</v>
      </c>
      <c r="B87" s="3" t="s">
        <v>397</v>
      </c>
      <c r="C87" s="3" t="s">
        <v>398</v>
      </c>
      <c r="D87" s="3" t="s">
        <v>400</v>
      </c>
      <c r="E87" s="3">
        <v>23</v>
      </c>
      <c r="F87" s="3">
        <v>0</v>
      </c>
      <c r="G87" s="6">
        <v>0.89</v>
      </c>
      <c r="H87" s="3">
        <v>9.9</v>
      </c>
      <c r="I87" s="3">
        <v>31</v>
      </c>
      <c r="J87" s="3">
        <v>31</v>
      </c>
      <c r="K87" s="5">
        <v>4005</v>
      </c>
      <c r="L87" s="3">
        <v>60</v>
      </c>
      <c r="M87" s="3">
        <v>5</v>
      </c>
      <c r="N87" s="6">
        <v>0.85</v>
      </c>
      <c r="O87" s="3" t="s">
        <v>18</v>
      </c>
      <c r="P87" s="3" t="s">
        <v>55</v>
      </c>
    </row>
    <row r="88" spans="1:16" x14ac:dyDescent="0.3">
      <c r="A88" s="4">
        <v>46041</v>
      </c>
      <c r="B88" s="3" t="s">
        <v>397</v>
      </c>
      <c r="C88" s="3" t="s">
        <v>401</v>
      </c>
      <c r="D88" s="3" t="s">
        <v>402</v>
      </c>
      <c r="E88" s="3">
        <v>23</v>
      </c>
      <c r="F88" s="3">
        <v>1</v>
      </c>
      <c r="G88" s="6">
        <v>0.89</v>
      </c>
      <c r="H88" s="3">
        <v>14.5</v>
      </c>
      <c r="I88" s="3">
        <v>424</v>
      </c>
      <c r="J88" s="3">
        <v>21</v>
      </c>
      <c r="K88" s="5">
        <v>3744</v>
      </c>
      <c r="L88" s="3">
        <v>4</v>
      </c>
      <c r="M88" s="3">
        <v>0</v>
      </c>
      <c r="N88" s="6">
        <v>0.86</v>
      </c>
      <c r="O88" s="3" t="s">
        <v>18</v>
      </c>
      <c r="P88" s="3" t="s">
        <v>55</v>
      </c>
    </row>
    <row r="89" spans="1:16" x14ac:dyDescent="0.3">
      <c r="A89" s="4">
        <v>46041</v>
      </c>
      <c r="B89" s="3" t="s">
        <v>397</v>
      </c>
      <c r="C89" s="3" t="s">
        <v>401</v>
      </c>
      <c r="D89" s="3" t="s">
        <v>403</v>
      </c>
      <c r="E89" s="3">
        <v>27</v>
      </c>
      <c r="F89" s="3">
        <v>0</v>
      </c>
      <c r="G89" s="6">
        <v>0.82</v>
      </c>
      <c r="H89" s="3">
        <v>12.8</v>
      </c>
      <c r="I89" s="3">
        <v>135</v>
      </c>
      <c r="J89" s="3">
        <v>84</v>
      </c>
      <c r="K89" s="5">
        <v>2049</v>
      </c>
      <c r="L89" s="3">
        <v>34</v>
      </c>
      <c r="M89" s="3">
        <v>4</v>
      </c>
      <c r="N89" s="6">
        <v>0.66</v>
      </c>
      <c r="O89" s="3" t="s">
        <v>29</v>
      </c>
      <c r="P89" s="3" t="s">
        <v>28</v>
      </c>
    </row>
    <row r="90" spans="1:16" x14ac:dyDescent="0.3">
      <c r="A90" s="4">
        <v>46041</v>
      </c>
      <c r="B90" s="3" t="s">
        <v>397</v>
      </c>
      <c r="C90" s="3" t="s">
        <v>404</v>
      </c>
      <c r="D90" s="3" t="s">
        <v>405</v>
      </c>
      <c r="E90" s="3">
        <v>38</v>
      </c>
      <c r="F90" s="3">
        <v>0</v>
      </c>
      <c r="G90" s="6">
        <v>0.76</v>
      </c>
      <c r="H90" s="3">
        <v>7.7</v>
      </c>
      <c r="I90" s="3">
        <v>58</v>
      </c>
      <c r="J90" s="3">
        <v>70</v>
      </c>
      <c r="K90" s="5">
        <v>2222</v>
      </c>
      <c r="L90" s="3">
        <v>53</v>
      </c>
      <c r="M90" s="3">
        <v>7</v>
      </c>
      <c r="N90" s="6">
        <v>0.72</v>
      </c>
      <c r="O90" s="3" t="s">
        <v>13</v>
      </c>
      <c r="P90" s="3" t="s">
        <v>12</v>
      </c>
    </row>
    <row r="91" spans="1:16" x14ac:dyDescent="0.3">
      <c r="A91" s="4">
        <v>46041</v>
      </c>
      <c r="B91" s="3" t="s">
        <v>397</v>
      </c>
      <c r="C91" s="3" t="s">
        <v>404</v>
      </c>
      <c r="D91" s="3" t="s">
        <v>406</v>
      </c>
      <c r="E91" s="3">
        <v>36</v>
      </c>
      <c r="F91" s="3">
        <v>0</v>
      </c>
      <c r="G91" s="6">
        <v>0.75</v>
      </c>
      <c r="H91" s="3">
        <v>13.8</v>
      </c>
      <c r="I91" s="3">
        <v>398</v>
      </c>
      <c r="J91" s="3">
        <v>22</v>
      </c>
      <c r="K91" s="5">
        <v>468</v>
      </c>
      <c r="L91" s="3">
        <v>34</v>
      </c>
      <c r="M91" s="3">
        <v>5</v>
      </c>
      <c r="N91" s="6">
        <v>0.71</v>
      </c>
      <c r="O91" s="3" t="s">
        <v>18</v>
      </c>
      <c r="P91" s="3" t="s">
        <v>55</v>
      </c>
    </row>
    <row r="92" spans="1:16" x14ac:dyDescent="0.3">
      <c r="A92" s="4">
        <v>46042</v>
      </c>
      <c r="B92" s="3" t="s">
        <v>407</v>
      </c>
      <c r="C92" s="3" t="s">
        <v>398</v>
      </c>
      <c r="D92" s="3" t="s">
        <v>399</v>
      </c>
      <c r="E92" s="3">
        <v>22</v>
      </c>
      <c r="F92" s="3">
        <v>0</v>
      </c>
      <c r="G92" s="6">
        <v>0.74</v>
      </c>
      <c r="H92" s="3">
        <v>14.4</v>
      </c>
      <c r="I92" s="3">
        <v>424</v>
      </c>
      <c r="J92" s="3">
        <v>58</v>
      </c>
      <c r="K92" s="5">
        <v>3214</v>
      </c>
      <c r="L92" s="3">
        <v>12</v>
      </c>
      <c r="M92" s="3">
        <v>3</v>
      </c>
      <c r="N92" s="6">
        <v>0.61</v>
      </c>
      <c r="O92" s="3" t="s">
        <v>13</v>
      </c>
      <c r="P92" s="3" t="s">
        <v>21</v>
      </c>
    </row>
    <row r="93" spans="1:16" x14ac:dyDescent="0.3">
      <c r="A93" s="4">
        <v>46042</v>
      </c>
      <c r="B93" s="3" t="s">
        <v>407</v>
      </c>
      <c r="C93" s="3" t="s">
        <v>398</v>
      </c>
      <c r="D93" s="3" t="s">
        <v>400</v>
      </c>
      <c r="E93" s="3">
        <v>25</v>
      </c>
      <c r="F93" s="3">
        <v>1</v>
      </c>
      <c r="G93" s="6">
        <v>0.86</v>
      </c>
      <c r="H93" s="3">
        <v>7.5</v>
      </c>
      <c r="I93" s="3">
        <v>317</v>
      </c>
      <c r="J93" s="3">
        <v>145</v>
      </c>
      <c r="K93" s="5">
        <v>2113</v>
      </c>
      <c r="L93" s="3">
        <v>6</v>
      </c>
      <c r="M93" s="3">
        <v>2</v>
      </c>
      <c r="N93" s="6">
        <v>0.71</v>
      </c>
      <c r="O93" s="3" t="s">
        <v>29</v>
      </c>
      <c r="P93" s="3" t="s">
        <v>66</v>
      </c>
    </row>
    <row r="94" spans="1:16" x14ac:dyDescent="0.3">
      <c r="A94" s="4">
        <v>46042</v>
      </c>
      <c r="B94" s="3" t="s">
        <v>407</v>
      </c>
      <c r="C94" s="3" t="s">
        <v>401</v>
      </c>
      <c r="D94" s="3" t="s">
        <v>402</v>
      </c>
      <c r="E94" s="3">
        <v>34</v>
      </c>
      <c r="F94" s="3">
        <v>0</v>
      </c>
      <c r="G94" s="6">
        <v>0.81</v>
      </c>
      <c r="H94" s="3">
        <v>9.5</v>
      </c>
      <c r="I94" s="3">
        <v>190</v>
      </c>
      <c r="J94" s="3">
        <v>132</v>
      </c>
      <c r="K94" s="5">
        <v>3861</v>
      </c>
      <c r="L94" s="3">
        <v>43</v>
      </c>
      <c r="M94" s="3">
        <v>6</v>
      </c>
      <c r="N94" s="6">
        <v>0.76</v>
      </c>
      <c r="O94" s="3" t="s">
        <v>26</v>
      </c>
      <c r="P94" s="3" t="s">
        <v>33</v>
      </c>
    </row>
    <row r="95" spans="1:16" x14ac:dyDescent="0.3">
      <c r="A95" s="4">
        <v>46042</v>
      </c>
      <c r="B95" s="3" t="s">
        <v>407</v>
      </c>
      <c r="C95" s="3" t="s">
        <v>401</v>
      </c>
      <c r="D95" s="3" t="s">
        <v>403</v>
      </c>
      <c r="E95" s="3">
        <v>33</v>
      </c>
      <c r="F95" s="3">
        <v>0</v>
      </c>
      <c r="G95" s="6">
        <v>0.81</v>
      </c>
      <c r="H95" s="3">
        <v>13.3</v>
      </c>
      <c r="I95" s="3">
        <v>213</v>
      </c>
      <c r="J95" s="3">
        <v>116</v>
      </c>
      <c r="K95" s="5">
        <v>4240</v>
      </c>
      <c r="L95" s="3">
        <v>2</v>
      </c>
      <c r="M95" s="3">
        <v>2</v>
      </c>
      <c r="N95" s="6">
        <v>0.86</v>
      </c>
      <c r="O95" s="3" t="s">
        <v>26</v>
      </c>
      <c r="P95" s="3" t="s">
        <v>33</v>
      </c>
    </row>
    <row r="96" spans="1:16" x14ac:dyDescent="0.3">
      <c r="A96" s="4">
        <v>46042</v>
      </c>
      <c r="B96" s="3" t="s">
        <v>407</v>
      </c>
      <c r="C96" s="3" t="s">
        <v>404</v>
      </c>
      <c r="D96" s="3" t="s">
        <v>405</v>
      </c>
      <c r="E96" s="3">
        <v>32</v>
      </c>
      <c r="F96" s="3">
        <v>1</v>
      </c>
      <c r="G96" s="6">
        <v>0.84</v>
      </c>
      <c r="H96" s="3">
        <v>10.6</v>
      </c>
      <c r="I96" s="3">
        <v>303</v>
      </c>
      <c r="J96" s="3">
        <v>8</v>
      </c>
      <c r="K96" s="5">
        <v>1254</v>
      </c>
      <c r="L96" s="3">
        <v>16</v>
      </c>
      <c r="M96" s="3">
        <v>4</v>
      </c>
      <c r="N96" s="6">
        <v>0.74</v>
      </c>
      <c r="O96" s="3" t="s">
        <v>26</v>
      </c>
      <c r="P96" s="3" t="s">
        <v>25</v>
      </c>
    </row>
    <row r="97" spans="1:16" x14ac:dyDescent="0.3">
      <c r="A97" s="4">
        <v>46042</v>
      </c>
      <c r="B97" s="3" t="s">
        <v>407</v>
      </c>
      <c r="C97" s="3" t="s">
        <v>404</v>
      </c>
      <c r="D97" s="3" t="s">
        <v>406</v>
      </c>
      <c r="E97" s="3">
        <v>30</v>
      </c>
      <c r="F97" s="3">
        <v>3</v>
      </c>
      <c r="G97" s="6">
        <v>0.81</v>
      </c>
      <c r="H97" s="3">
        <v>16.5</v>
      </c>
      <c r="I97" s="3">
        <v>386</v>
      </c>
      <c r="J97" s="3">
        <v>143</v>
      </c>
      <c r="K97" s="5">
        <v>4378</v>
      </c>
      <c r="L97" s="3">
        <v>11</v>
      </c>
      <c r="M97" s="3">
        <v>3</v>
      </c>
      <c r="N97" s="6">
        <v>0.74</v>
      </c>
      <c r="O97" s="3" t="s">
        <v>26</v>
      </c>
      <c r="P97" s="3" t="s">
        <v>25</v>
      </c>
    </row>
    <row r="98" spans="1:16" x14ac:dyDescent="0.3">
      <c r="A98" s="4">
        <v>46043</v>
      </c>
      <c r="B98" s="3" t="s">
        <v>408</v>
      </c>
      <c r="C98" s="3" t="s">
        <v>398</v>
      </c>
      <c r="D98" s="3" t="s">
        <v>399</v>
      </c>
      <c r="E98" s="3">
        <v>26</v>
      </c>
      <c r="F98" s="3">
        <v>3</v>
      </c>
      <c r="G98" s="6">
        <v>0.72</v>
      </c>
      <c r="H98" s="3">
        <v>12.1</v>
      </c>
      <c r="I98" s="3">
        <v>286</v>
      </c>
      <c r="J98" s="3">
        <v>56</v>
      </c>
      <c r="K98" s="5">
        <v>1923</v>
      </c>
      <c r="L98" s="3">
        <v>108</v>
      </c>
      <c r="M98" s="3">
        <v>1</v>
      </c>
      <c r="N98" s="6">
        <v>0.56000000000000005</v>
      </c>
      <c r="O98" s="3" t="s">
        <v>26</v>
      </c>
      <c r="P98" s="3" t="s">
        <v>33</v>
      </c>
    </row>
    <row r="99" spans="1:16" x14ac:dyDescent="0.3">
      <c r="A99" s="4">
        <v>46043</v>
      </c>
      <c r="B99" s="3" t="s">
        <v>408</v>
      </c>
      <c r="C99" s="3" t="s">
        <v>398</v>
      </c>
      <c r="D99" s="3" t="s">
        <v>400</v>
      </c>
      <c r="E99" s="3">
        <v>34</v>
      </c>
      <c r="F99" s="3">
        <v>4</v>
      </c>
      <c r="G99" s="6">
        <v>0.79</v>
      </c>
      <c r="H99" s="3">
        <v>17.600000000000001</v>
      </c>
      <c r="I99" s="3">
        <v>156</v>
      </c>
      <c r="J99" s="3">
        <v>26</v>
      </c>
      <c r="K99" s="5">
        <v>3987</v>
      </c>
      <c r="L99" s="3">
        <v>66</v>
      </c>
      <c r="M99" s="3">
        <v>5</v>
      </c>
      <c r="N99" s="6">
        <v>0.79</v>
      </c>
      <c r="O99" s="3" t="s">
        <v>37</v>
      </c>
      <c r="P99" s="3" t="s">
        <v>36</v>
      </c>
    </row>
    <row r="100" spans="1:16" x14ac:dyDescent="0.3">
      <c r="A100" s="4">
        <v>46043</v>
      </c>
      <c r="B100" s="3" t="s">
        <v>408</v>
      </c>
      <c r="C100" s="3" t="s">
        <v>401</v>
      </c>
      <c r="D100" s="3" t="s">
        <v>402</v>
      </c>
      <c r="E100" s="3">
        <v>26</v>
      </c>
      <c r="F100" s="3">
        <v>0</v>
      </c>
      <c r="G100" s="6">
        <v>0.8</v>
      </c>
      <c r="H100" s="3">
        <v>18</v>
      </c>
      <c r="I100" s="3">
        <v>379</v>
      </c>
      <c r="J100" s="3">
        <v>88</v>
      </c>
      <c r="K100" s="5">
        <v>3414</v>
      </c>
      <c r="L100" s="3">
        <v>65</v>
      </c>
      <c r="M100" s="3">
        <v>3</v>
      </c>
      <c r="N100" s="6">
        <v>0.67</v>
      </c>
      <c r="O100" s="3" t="s">
        <v>29</v>
      </c>
      <c r="P100" s="3" t="s">
        <v>66</v>
      </c>
    </row>
    <row r="101" spans="1:16" x14ac:dyDescent="0.3">
      <c r="A101" s="4">
        <v>46043</v>
      </c>
      <c r="B101" s="3" t="s">
        <v>408</v>
      </c>
      <c r="C101" s="3" t="s">
        <v>401</v>
      </c>
      <c r="D101" s="3" t="s">
        <v>403</v>
      </c>
      <c r="E101" s="3">
        <v>37</v>
      </c>
      <c r="F101" s="3">
        <v>1</v>
      </c>
      <c r="G101" s="6">
        <v>0.79</v>
      </c>
      <c r="H101" s="3">
        <v>11.1</v>
      </c>
      <c r="I101" s="3">
        <v>313</v>
      </c>
      <c r="J101" s="3">
        <v>102</v>
      </c>
      <c r="K101" s="5">
        <v>2886</v>
      </c>
      <c r="L101" s="3">
        <v>107</v>
      </c>
      <c r="M101" s="3">
        <v>4</v>
      </c>
      <c r="N101" s="6">
        <v>0.73</v>
      </c>
      <c r="O101" s="3" t="s">
        <v>13</v>
      </c>
      <c r="P101" s="3" t="s">
        <v>21</v>
      </c>
    </row>
    <row r="102" spans="1:16" x14ac:dyDescent="0.3">
      <c r="A102" s="4">
        <v>46043</v>
      </c>
      <c r="B102" s="3" t="s">
        <v>408</v>
      </c>
      <c r="C102" s="3" t="s">
        <v>404</v>
      </c>
      <c r="D102" s="3" t="s">
        <v>405</v>
      </c>
      <c r="E102" s="3">
        <v>30</v>
      </c>
      <c r="F102" s="3">
        <v>3</v>
      </c>
      <c r="G102" s="6">
        <v>0.8</v>
      </c>
      <c r="H102" s="3">
        <v>7.7</v>
      </c>
      <c r="I102" s="3">
        <v>212</v>
      </c>
      <c r="J102" s="3">
        <v>102</v>
      </c>
      <c r="K102" s="5">
        <v>3204</v>
      </c>
      <c r="L102" s="3">
        <v>81</v>
      </c>
      <c r="M102" s="3">
        <v>0</v>
      </c>
      <c r="N102" s="6">
        <v>0.57999999999999996</v>
      </c>
      <c r="O102" s="3" t="s">
        <v>29</v>
      </c>
      <c r="P102" s="3" t="s">
        <v>28</v>
      </c>
    </row>
    <row r="103" spans="1:16" x14ac:dyDescent="0.3">
      <c r="A103" s="4">
        <v>46043</v>
      </c>
      <c r="B103" s="3" t="s">
        <v>408</v>
      </c>
      <c r="C103" s="3" t="s">
        <v>404</v>
      </c>
      <c r="D103" s="3" t="s">
        <v>406</v>
      </c>
      <c r="E103" s="3">
        <v>21</v>
      </c>
      <c r="F103" s="3">
        <v>0</v>
      </c>
      <c r="G103" s="6">
        <v>0.76</v>
      </c>
      <c r="H103" s="3">
        <v>18</v>
      </c>
      <c r="I103" s="3">
        <v>437</v>
      </c>
      <c r="J103" s="3">
        <v>53</v>
      </c>
      <c r="K103" s="5">
        <v>3402</v>
      </c>
      <c r="L103" s="3">
        <v>120</v>
      </c>
      <c r="M103" s="3">
        <v>4</v>
      </c>
      <c r="N103" s="6">
        <v>0.77</v>
      </c>
      <c r="O103" s="3" t="s">
        <v>13</v>
      </c>
      <c r="P103" s="3" t="s">
        <v>21</v>
      </c>
    </row>
    <row r="104" spans="1:16" x14ac:dyDescent="0.3">
      <c r="A104" s="4">
        <v>46044</v>
      </c>
      <c r="B104" s="3" t="s">
        <v>409</v>
      </c>
      <c r="C104" s="3" t="s">
        <v>398</v>
      </c>
      <c r="D104" s="3" t="s">
        <v>399</v>
      </c>
      <c r="E104" s="3">
        <v>27</v>
      </c>
      <c r="F104" s="3">
        <v>0</v>
      </c>
      <c r="G104" s="6">
        <v>0.73</v>
      </c>
      <c r="H104" s="3">
        <v>9.3000000000000007</v>
      </c>
      <c r="I104" s="3">
        <v>374</v>
      </c>
      <c r="J104" s="3">
        <v>34</v>
      </c>
      <c r="K104" s="5">
        <v>730</v>
      </c>
      <c r="L104" s="3">
        <v>113</v>
      </c>
      <c r="M104" s="3">
        <v>2</v>
      </c>
      <c r="N104" s="6">
        <v>0.56000000000000005</v>
      </c>
      <c r="O104" s="3" t="s">
        <v>26</v>
      </c>
      <c r="P104" s="3" t="s">
        <v>25</v>
      </c>
    </row>
    <row r="105" spans="1:16" x14ac:dyDescent="0.3">
      <c r="A105" s="4">
        <v>46044</v>
      </c>
      <c r="B105" s="3" t="s">
        <v>409</v>
      </c>
      <c r="C105" s="3" t="s">
        <v>398</v>
      </c>
      <c r="D105" s="3" t="s">
        <v>400</v>
      </c>
      <c r="E105" s="3">
        <v>28</v>
      </c>
      <c r="F105" s="3">
        <v>0</v>
      </c>
      <c r="G105" s="6">
        <v>0.84</v>
      </c>
      <c r="H105" s="3">
        <v>8.9</v>
      </c>
      <c r="I105" s="3">
        <v>288</v>
      </c>
      <c r="J105" s="3">
        <v>78</v>
      </c>
      <c r="K105" s="5">
        <v>156</v>
      </c>
      <c r="L105" s="3">
        <v>62</v>
      </c>
      <c r="M105" s="3">
        <v>5</v>
      </c>
      <c r="N105" s="6">
        <v>0.75</v>
      </c>
      <c r="O105" s="3" t="s">
        <v>18</v>
      </c>
      <c r="P105" s="3" t="s">
        <v>55</v>
      </c>
    </row>
    <row r="106" spans="1:16" x14ac:dyDescent="0.3">
      <c r="A106" s="4">
        <v>46044</v>
      </c>
      <c r="B106" s="3" t="s">
        <v>409</v>
      </c>
      <c r="C106" s="3" t="s">
        <v>401</v>
      </c>
      <c r="D106" s="3" t="s">
        <v>402</v>
      </c>
      <c r="E106" s="3">
        <v>27</v>
      </c>
      <c r="F106" s="3">
        <v>4</v>
      </c>
      <c r="G106" s="6">
        <v>0.79</v>
      </c>
      <c r="H106" s="3">
        <v>13.7</v>
      </c>
      <c r="I106" s="3">
        <v>374</v>
      </c>
      <c r="J106" s="3">
        <v>27</v>
      </c>
      <c r="K106" s="5">
        <v>3705</v>
      </c>
      <c r="L106" s="3">
        <v>34</v>
      </c>
      <c r="M106" s="3">
        <v>6</v>
      </c>
      <c r="N106" s="6">
        <v>0.77</v>
      </c>
      <c r="O106" s="3" t="s">
        <v>13</v>
      </c>
      <c r="P106" s="3" t="s">
        <v>21</v>
      </c>
    </row>
    <row r="107" spans="1:16" x14ac:dyDescent="0.3">
      <c r="A107" s="4">
        <v>46044</v>
      </c>
      <c r="B107" s="3" t="s">
        <v>409</v>
      </c>
      <c r="C107" s="3" t="s">
        <v>401</v>
      </c>
      <c r="D107" s="3" t="s">
        <v>403</v>
      </c>
      <c r="E107" s="3">
        <v>23</v>
      </c>
      <c r="F107" s="3">
        <v>0</v>
      </c>
      <c r="G107" s="6">
        <v>0.81</v>
      </c>
      <c r="H107" s="3">
        <v>8.3000000000000007</v>
      </c>
      <c r="I107" s="3">
        <v>75</v>
      </c>
      <c r="J107" s="3">
        <v>11</v>
      </c>
      <c r="K107" s="5">
        <v>494</v>
      </c>
      <c r="L107" s="3">
        <v>35</v>
      </c>
      <c r="M107" s="3">
        <v>2</v>
      </c>
      <c r="N107" s="6">
        <v>0.77</v>
      </c>
      <c r="O107" s="3" t="s">
        <v>29</v>
      </c>
      <c r="P107" s="3" t="s">
        <v>66</v>
      </c>
    </row>
    <row r="108" spans="1:16" x14ac:dyDescent="0.3">
      <c r="A108" s="4">
        <v>46044</v>
      </c>
      <c r="B108" s="3" t="s">
        <v>409</v>
      </c>
      <c r="C108" s="3" t="s">
        <v>404</v>
      </c>
      <c r="D108" s="3" t="s">
        <v>405</v>
      </c>
      <c r="E108" s="3">
        <v>38</v>
      </c>
      <c r="F108" s="3">
        <v>1</v>
      </c>
      <c r="G108" s="6">
        <v>0.82</v>
      </c>
      <c r="H108" s="3">
        <v>9.1999999999999993</v>
      </c>
      <c r="I108" s="3">
        <v>154</v>
      </c>
      <c r="J108" s="3">
        <v>55</v>
      </c>
      <c r="K108" s="5">
        <v>611</v>
      </c>
      <c r="L108" s="3">
        <v>62</v>
      </c>
      <c r="M108" s="3">
        <v>3</v>
      </c>
      <c r="N108" s="6">
        <v>0.76</v>
      </c>
      <c r="O108" s="3" t="s">
        <v>13</v>
      </c>
      <c r="P108" s="3" t="s">
        <v>12</v>
      </c>
    </row>
    <row r="109" spans="1:16" x14ac:dyDescent="0.3">
      <c r="A109" s="4">
        <v>46044</v>
      </c>
      <c r="B109" s="3" t="s">
        <v>409</v>
      </c>
      <c r="C109" s="3" t="s">
        <v>404</v>
      </c>
      <c r="D109" s="3" t="s">
        <v>406</v>
      </c>
      <c r="E109" s="3">
        <v>21</v>
      </c>
      <c r="F109" s="3">
        <v>1</v>
      </c>
      <c r="G109" s="6">
        <v>0.78</v>
      </c>
      <c r="H109" s="3">
        <v>9.6999999999999993</v>
      </c>
      <c r="I109" s="3">
        <v>389</v>
      </c>
      <c r="J109" s="3">
        <v>14</v>
      </c>
      <c r="K109" s="5">
        <v>2748</v>
      </c>
      <c r="L109" s="3">
        <v>81</v>
      </c>
      <c r="M109" s="3">
        <v>2</v>
      </c>
      <c r="N109" s="6">
        <v>0.67</v>
      </c>
      <c r="O109" s="3" t="s">
        <v>37</v>
      </c>
      <c r="P109" s="3" t="s">
        <v>36</v>
      </c>
    </row>
    <row r="110" spans="1:16" x14ac:dyDescent="0.3">
      <c r="A110" s="4">
        <v>46045</v>
      </c>
      <c r="B110" s="3" t="s">
        <v>410</v>
      </c>
      <c r="C110" s="3" t="s">
        <v>398</v>
      </c>
      <c r="D110" s="3" t="s">
        <v>399</v>
      </c>
      <c r="E110" s="3">
        <v>31</v>
      </c>
      <c r="F110" s="3">
        <v>3</v>
      </c>
      <c r="G110" s="6">
        <v>0.73</v>
      </c>
      <c r="H110" s="3">
        <v>14.8</v>
      </c>
      <c r="I110" s="3">
        <v>204</v>
      </c>
      <c r="J110" s="3">
        <v>82</v>
      </c>
      <c r="K110" s="5">
        <v>1737</v>
      </c>
      <c r="L110" s="3">
        <v>47</v>
      </c>
      <c r="M110" s="3">
        <v>2</v>
      </c>
      <c r="N110" s="6">
        <v>0.67</v>
      </c>
      <c r="O110" s="3" t="s">
        <v>29</v>
      </c>
      <c r="P110" s="3" t="s">
        <v>28</v>
      </c>
    </row>
    <row r="111" spans="1:16" x14ac:dyDescent="0.3">
      <c r="A111" s="4">
        <v>46045</v>
      </c>
      <c r="B111" s="3" t="s">
        <v>410</v>
      </c>
      <c r="C111" s="3" t="s">
        <v>398</v>
      </c>
      <c r="D111" s="3" t="s">
        <v>400</v>
      </c>
      <c r="E111" s="3">
        <v>29</v>
      </c>
      <c r="F111" s="3">
        <v>0</v>
      </c>
      <c r="G111" s="6">
        <v>0.83</v>
      </c>
      <c r="H111" s="3">
        <v>9.6999999999999993</v>
      </c>
      <c r="I111" s="3">
        <v>54</v>
      </c>
      <c r="J111" s="3">
        <v>14</v>
      </c>
      <c r="K111" s="5">
        <v>41</v>
      </c>
      <c r="L111" s="3">
        <v>116</v>
      </c>
      <c r="M111" s="3">
        <v>1</v>
      </c>
      <c r="N111" s="6">
        <v>0.69</v>
      </c>
      <c r="O111" s="3" t="s">
        <v>37</v>
      </c>
      <c r="P111" s="3" t="s">
        <v>36</v>
      </c>
    </row>
    <row r="112" spans="1:16" x14ac:dyDescent="0.3">
      <c r="A112" s="4">
        <v>46045</v>
      </c>
      <c r="B112" s="3" t="s">
        <v>410</v>
      </c>
      <c r="C112" s="3" t="s">
        <v>401</v>
      </c>
      <c r="D112" s="3" t="s">
        <v>402</v>
      </c>
      <c r="E112" s="3">
        <v>32</v>
      </c>
      <c r="F112" s="3">
        <v>0</v>
      </c>
      <c r="G112" s="6">
        <v>0.75</v>
      </c>
      <c r="H112" s="3">
        <v>12.6</v>
      </c>
      <c r="I112" s="3">
        <v>109</v>
      </c>
      <c r="J112" s="3">
        <v>57</v>
      </c>
      <c r="K112" s="5">
        <v>1884</v>
      </c>
      <c r="L112" s="3">
        <v>5</v>
      </c>
      <c r="M112" s="3">
        <v>6</v>
      </c>
      <c r="N112" s="6">
        <v>0.61</v>
      </c>
      <c r="O112" s="3" t="s">
        <v>37</v>
      </c>
      <c r="P112" s="3" t="s">
        <v>36</v>
      </c>
    </row>
    <row r="113" spans="1:16" x14ac:dyDescent="0.3">
      <c r="A113" s="4">
        <v>46045</v>
      </c>
      <c r="B113" s="3" t="s">
        <v>410</v>
      </c>
      <c r="C113" s="3" t="s">
        <v>401</v>
      </c>
      <c r="D113" s="3" t="s">
        <v>403</v>
      </c>
      <c r="E113" s="3">
        <v>25</v>
      </c>
      <c r="F113" s="3">
        <v>0</v>
      </c>
      <c r="G113" s="6">
        <v>0.79</v>
      </c>
      <c r="H113" s="3">
        <v>12.7</v>
      </c>
      <c r="I113" s="3">
        <v>337</v>
      </c>
      <c r="J113" s="3">
        <v>13</v>
      </c>
      <c r="K113" s="5">
        <v>3816</v>
      </c>
      <c r="L113" s="3">
        <v>56</v>
      </c>
      <c r="M113" s="3">
        <v>2</v>
      </c>
      <c r="N113" s="6">
        <v>0.64</v>
      </c>
      <c r="O113" s="3" t="s">
        <v>26</v>
      </c>
      <c r="P113" s="3" t="s">
        <v>25</v>
      </c>
    </row>
    <row r="114" spans="1:16" x14ac:dyDescent="0.3">
      <c r="A114" s="4">
        <v>46045</v>
      </c>
      <c r="B114" s="3" t="s">
        <v>410</v>
      </c>
      <c r="C114" s="3" t="s">
        <v>404</v>
      </c>
      <c r="D114" s="3" t="s">
        <v>405</v>
      </c>
      <c r="E114" s="3">
        <v>35</v>
      </c>
      <c r="F114" s="3">
        <v>1</v>
      </c>
      <c r="G114" s="6">
        <v>0.76</v>
      </c>
      <c r="H114" s="3">
        <v>11.4</v>
      </c>
      <c r="I114" s="3">
        <v>34</v>
      </c>
      <c r="J114" s="3">
        <v>144</v>
      </c>
      <c r="K114" s="5">
        <v>3163</v>
      </c>
      <c r="L114" s="3">
        <v>68</v>
      </c>
      <c r="M114" s="3">
        <v>1</v>
      </c>
      <c r="N114" s="6">
        <v>0.73</v>
      </c>
      <c r="O114" s="3" t="s">
        <v>13</v>
      </c>
      <c r="P114" s="3" t="s">
        <v>21</v>
      </c>
    </row>
    <row r="115" spans="1:16" x14ac:dyDescent="0.3">
      <c r="A115" s="4">
        <v>46045</v>
      </c>
      <c r="B115" s="3" t="s">
        <v>410</v>
      </c>
      <c r="C115" s="3" t="s">
        <v>404</v>
      </c>
      <c r="D115" s="3" t="s">
        <v>406</v>
      </c>
      <c r="E115" s="3">
        <v>21</v>
      </c>
      <c r="F115" s="3">
        <v>0</v>
      </c>
      <c r="G115" s="6">
        <v>0.76</v>
      </c>
      <c r="H115" s="3">
        <v>9.5</v>
      </c>
      <c r="I115" s="3">
        <v>180</v>
      </c>
      <c r="J115" s="3">
        <v>64</v>
      </c>
      <c r="K115" s="5">
        <v>2850</v>
      </c>
      <c r="L115" s="3">
        <v>12</v>
      </c>
      <c r="M115" s="3">
        <v>5</v>
      </c>
      <c r="N115" s="6">
        <v>0.8</v>
      </c>
      <c r="O115" s="3" t="s">
        <v>13</v>
      </c>
      <c r="P115" s="3" t="s">
        <v>12</v>
      </c>
    </row>
    <row r="116" spans="1:16" x14ac:dyDescent="0.3">
      <c r="A116" s="4">
        <v>46046</v>
      </c>
      <c r="B116" s="3" t="s">
        <v>411</v>
      </c>
      <c r="C116" s="3" t="s">
        <v>398</v>
      </c>
      <c r="D116" s="3" t="s">
        <v>399</v>
      </c>
      <c r="E116" s="3">
        <v>27</v>
      </c>
      <c r="F116" s="3">
        <v>0</v>
      </c>
      <c r="G116" s="6">
        <v>0.8</v>
      </c>
      <c r="H116" s="3">
        <v>15.2</v>
      </c>
      <c r="I116" s="3">
        <v>363</v>
      </c>
      <c r="J116" s="3">
        <v>52</v>
      </c>
      <c r="K116" s="5">
        <v>2410</v>
      </c>
      <c r="L116" s="3">
        <v>94</v>
      </c>
      <c r="M116" s="3">
        <v>5</v>
      </c>
      <c r="N116" s="6">
        <v>0.66</v>
      </c>
      <c r="O116" s="3" t="s">
        <v>18</v>
      </c>
      <c r="P116" s="3" t="s">
        <v>17</v>
      </c>
    </row>
    <row r="117" spans="1:16" x14ac:dyDescent="0.3">
      <c r="A117" s="4">
        <v>46046</v>
      </c>
      <c r="B117" s="3" t="s">
        <v>411</v>
      </c>
      <c r="C117" s="3" t="s">
        <v>398</v>
      </c>
      <c r="D117" s="3" t="s">
        <v>400</v>
      </c>
      <c r="E117" s="3">
        <v>23</v>
      </c>
      <c r="F117" s="3">
        <v>0</v>
      </c>
      <c r="G117" s="6">
        <v>0.88</v>
      </c>
      <c r="H117" s="3">
        <v>9.8000000000000007</v>
      </c>
      <c r="I117" s="3">
        <v>50</v>
      </c>
      <c r="J117" s="3">
        <v>138</v>
      </c>
      <c r="K117" s="5">
        <v>2168</v>
      </c>
      <c r="L117" s="3">
        <v>49</v>
      </c>
      <c r="M117" s="3">
        <v>0</v>
      </c>
      <c r="N117" s="6">
        <v>0.95</v>
      </c>
      <c r="O117" s="3" t="s">
        <v>37</v>
      </c>
      <c r="P117" s="3" t="s">
        <v>36</v>
      </c>
    </row>
    <row r="118" spans="1:16" x14ac:dyDescent="0.3">
      <c r="A118" s="4">
        <v>46046</v>
      </c>
      <c r="B118" s="3" t="s">
        <v>411</v>
      </c>
      <c r="C118" s="3" t="s">
        <v>401</v>
      </c>
      <c r="D118" s="3" t="s">
        <v>402</v>
      </c>
      <c r="E118" s="3">
        <v>23</v>
      </c>
      <c r="F118" s="3">
        <v>0</v>
      </c>
      <c r="G118" s="6">
        <v>0.76</v>
      </c>
      <c r="H118" s="3">
        <v>14.3</v>
      </c>
      <c r="I118" s="3">
        <v>405</v>
      </c>
      <c r="J118" s="3">
        <v>18</v>
      </c>
      <c r="K118" s="5">
        <v>1908</v>
      </c>
      <c r="L118" s="3">
        <v>99</v>
      </c>
      <c r="M118" s="3">
        <v>1</v>
      </c>
      <c r="N118" s="6">
        <v>0.72</v>
      </c>
      <c r="O118" s="3" t="s">
        <v>37</v>
      </c>
      <c r="P118" s="3" t="s">
        <v>40</v>
      </c>
    </row>
    <row r="119" spans="1:16" x14ac:dyDescent="0.3">
      <c r="A119" s="4">
        <v>46046</v>
      </c>
      <c r="B119" s="3" t="s">
        <v>411</v>
      </c>
      <c r="C119" s="3" t="s">
        <v>401</v>
      </c>
      <c r="D119" s="3" t="s">
        <v>403</v>
      </c>
      <c r="E119" s="3">
        <v>35</v>
      </c>
      <c r="F119" s="3">
        <v>0</v>
      </c>
      <c r="G119" s="6">
        <v>0.77</v>
      </c>
      <c r="H119" s="3">
        <v>16.600000000000001</v>
      </c>
      <c r="I119" s="3">
        <v>177</v>
      </c>
      <c r="J119" s="3">
        <v>64</v>
      </c>
      <c r="K119" s="5">
        <v>317</v>
      </c>
      <c r="L119" s="3">
        <v>118</v>
      </c>
      <c r="M119" s="3">
        <v>2</v>
      </c>
      <c r="N119" s="6">
        <v>0.78</v>
      </c>
      <c r="O119" s="3" t="s">
        <v>13</v>
      </c>
      <c r="P119" s="3" t="s">
        <v>21</v>
      </c>
    </row>
    <row r="120" spans="1:16" x14ac:dyDescent="0.3">
      <c r="A120" s="4">
        <v>46046</v>
      </c>
      <c r="B120" s="3" t="s">
        <v>411</v>
      </c>
      <c r="C120" s="3" t="s">
        <v>404</v>
      </c>
      <c r="D120" s="3" t="s">
        <v>405</v>
      </c>
      <c r="E120" s="3">
        <v>30</v>
      </c>
      <c r="F120" s="3">
        <v>0</v>
      </c>
      <c r="G120" s="6">
        <v>0.85</v>
      </c>
      <c r="H120" s="3">
        <v>18.3</v>
      </c>
      <c r="I120" s="3">
        <v>361</v>
      </c>
      <c r="J120" s="3">
        <v>83</v>
      </c>
      <c r="K120" s="5">
        <v>1126</v>
      </c>
      <c r="L120" s="3">
        <v>24</v>
      </c>
      <c r="M120" s="3">
        <v>7</v>
      </c>
      <c r="N120" s="6">
        <v>0.89</v>
      </c>
      <c r="O120" s="3" t="s">
        <v>13</v>
      </c>
      <c r="P120" s="3" t="s">
        <v>12</v>
      </c>
    </row>
    <row r="121" spans="1:16" x14ac:dyDescent="0.3">
      <c r="A121" s="4">
        <v>46046</v>
      </c>
      <c r="B121" s="3" t="s">
        <v>411</v>
      </c>
      <c r="C121" s="3" t="s">
        <v>404</v>
      </c>
      <c r="D121" s="3" t="s">
        <v>406</v>
      </c>
      <c r="E121" s="3">
        <v>35</v>
      </c>
      <c r="F121" s="3">
        <v>1</v>
      </c>
      <c r="G121" s="6">
        <v>0.8</v>
      </c>
      <c r="H121" s="3">
        <v>14.4</v>
      </c>
      <c r="I121" s="3">
        <v>208</v>
      </c>
      <c r="J121" s="3">
        <v>85</v>
      </c>
      <c r="K121" s="5">
        <v>2596</v>
      </c>
      <c r="L121" s="3">
        <v>63</v>
      </c>
      <c r="M121" s="3">
        <v>6</v>
      </c>
      <c r="N121" s="6">
        <v>0.68</v>
      </c>
      <c r="O121" s="3" t="s">
        <v>18</v>
      </c>
      <c r="P121" s="3" t="s">
        <v>17</v>
      </c>
    </row>
    <row r="122" spans="1:16" x14ac:dyDescent="0.3">
      <c r="A122" s="4">
        <v>46047</v>
      </c>
      <c r="B122" s="3" t="s">
        <v>412</v>
      </c>
      <c r="C122" s="3" t="s">
        <v>398</v>
      </c>
      <c r="D122" s="3" t="s">
        <v>399</v>
      </c>
      <c r="E122" s="3">
        <v>20</v>
      </c>
      <c r="F122" s="3">
        <v>3</v>
      </c>
      <c r="G122" s="6">
        <v>0.89</v>
      </c>
      <c r="H122" s="3">
        <v>18.2</v>
      </c>
      <c r="I122" s="3">
        <v>231</v>
      </c>
      <c r="J122" s="3">
        <v>93</v>
      </c>
      <c r="K122" s="5">
        <v>2700</v>
      </c>
      <c r="L122" s="3">
        <v>6</v>
      </c>
      <c r="M122" s="3">
        <v>1</v>
      </c>
      <c r="N122" s="6">
        <v>0.92</v>
      </c>
      <c r="O122" s="3" t="s">
        <v>18</v>
      </c>
      <c r="P122" s="3" t="s">
        <v>55</v>
      </c>
    </row>
    <row r="123" spans="1:16" x14ac:dyDescent="0.3">
      <c r="A123" s="4">
        <v>46047</v>
      </c>
      <c r="B123" s="3" t="s">
        <v>412</v>
      </c>
      <c r="C123" s="3" t="s">
        <v>398</v>
      </c>
      <c r="D123" s="3" t="s">
        <v>400</v>
      </c>
      <c r="E123" s="3">
        <v>21</v>
      </c>
      <c r="F123" s="3">
        <v>2</v>
      </c>
      <c r="G123" s="6">
        <v>0.73</v>
      </c>
      <c r="H123" s="3">
        <v>17.2</v>
      </c>
      <c r="I123" s="3">
        <v>239</v>
      </c>
      <c r="J123" s="3">
        <v>33</v>
      </c>
      <c r="K123" s="5">
        <v>104</v>
      </c>
      <c r="L123" s="3">
        <v>55</v>
      </c>
      <c r="M123" s="3">
        <v>3</v>
      </c>
      <c r="N123" s="6">
        <v>0.63</v>
      </c>
      <c r="O123" s="3" t="s">
        <v>37</v>
      </c>
      <c r="P123" s="3" t="s">
        <v>36</v>
      </c>
    </row>
    <row r="124" spans="1:16" x14ac:dyDescent="0.3">
      <c r="A124" s="4">
        <v>46047</v>
      </c>
      <c r="B124" s="3" t="s">
        <v>412</v>
      </c>
      <c r="C124" s="3" t="s">
        <v>401</v>
      </c>
      <c r="D124" s="3" t="s">
        <v>402</v>
      </c>
      <c r="E124" s="3">
        <v>25</v>
      </c>
      <c r="F124" s="3">
        <v>2</v>
      </c>
      <c r="G124" s="6">
        <v>0.87</v>
      </c>
      <c r="H124" s="3">
        <v>17.899999999999999</v>
      </c>
      <c r="I124" s="3">
        <v>184</v>
      </c>
      <c r="J124" s="3">
        <v>99</v>
      </c>
      <c r="K124" s="5">
        <v>3967</v>
      </c>
      <c r="L124" s="3">
        <v>44</v>
      </c>
      <c r="M124" s="3">
        <v>4</v>
      </c>
      <c r="N124" s="6">
        <v>0.68</v>
      </c>
      <c r="O124" s="3" t="s">
        <v>13</v>
      </c>
      <c r="P124" s="3" t="s">
        <v>12</v>
      </c>
    </row>
    <row r="125" spans="1:16" x14ac:dyDescent="0.3">
      <c r="A125" s="4">
        <v>46047</v>
      </c>
      <c r="B125" s="3" t="s">
        <v>412</v>
      </c>
      <c r="C125" s="3" t="s">
        <v>401</v>
      </c>
      <c r="D125" s="3" t="s">
        <v>403</v>
      </c>
      <c r="E125" s="3">
        <v>32</v>
      </c>
      <c r="F125" s="3">
        <v>0</v>
      </c>
      <c r="G125" s="6">
        <v>0.89</v>
      </c>
      <c r="H125" s="3">
        <v>13.3</v>
      </c>
      <c r="I125" s="3">
        <v>118</v>
      </c>
      <c r="J125" s="3">
        <v>4</v>
      </c>
      <c r="K125" s="5">
        <v>213</v>
      </c>
      <c r="L125" s="3">
        <v>62</v>
      </c>
      <c r="M125" s="3">
        <v>8</v>
      </c>
      <c r="N125" s="6">
        <v>0.83</v>
      </c>
      <c r="O125" s="3" t="s">
        <v>37</v>
      </c>
      <c r="P125" s="3" t="s">
        <v>40</v>
      </c>
    </row>
    <row r="126" spans="1:16" x14ac:dyDescent="0.3">
      <c r="A126" s="4">
        <v>46047</v>
      </c>
      <c r="B126" s="3" t="s">
        <v>412</v>
      </c>
      <c r="C126" s="3" t="s">
        <v>404</v>
      </c>
      <c r="D126" s="3" t="s">
        <v>405</v>
      </c>
      <c r="E126" s="3">
        <v>36</v>
      </c>
      <c r="F126" s="3">
        <v>0</v>
      </c>
      <c r="G126" s="6">
        <v>0.77</v>
      </c>
      <c r="H126" s="3">
        <v>17</v>
      </c>
      <c r="I126" s="3">
        <v>51</v>
      </c>
      <c r="J126" s="3">
        <v>13</v>
      </c>
      <c r="K126" s="5">
        <v>2852</v>
      </c>
      <c r="L126" s="3">
        <v>26</v>
      </c>
      <c r="M126" s="3">
        <v>4</v>
      </c>
      <c r="N126" s="6">
        <v>0.69</v>
      </c>
      <c r="O126" s="3" t="s">
        <v>13</v>
      </c>
      <c r="P126" s="3" t="s">
        <v>21</v>
      </c>
    </row>
    <row r="127" spans="1:16" x14ac:dyDescent="0.3">
      <c r="A127" s="4">
        <v>46047</v>
      </c>
      <c r="B127" s="3" t="s">
        <v>412</v>
      </c>
      <c r="C127" s="3" t="s">
        <v>404</v>
      </c>
      <c r="D127" s="3" t="s">
        <v>406</v>
      </c>
      <c r="E127" s="3">
        <v>26</v>
      </c>
      <c r="F127" s="3">
        <v>0</v>
      </c>
      <c r="G127" s="6">
        <v>0.81</v>
      </c>
      <c r="H127" s="3">
        <v>17.600000000000001</v>
      </c>
      <c r="I127" s="3">
        <v>202</v>
      </c>
      <c r="J127" s="3">
        <v>50</v>
      </c>
      <c r="K127" s="5">
        <v>4470</v>
      </c>
      <c r="L127" s="3">
        <v>78</v>
      </c>
      <c r="M127" s="3">
        <v>5</v>
      </c>
      <c r="N127" s="6">
        <v>0.65</v>
      </c>
      <c r="O127" s="3" t="s">
        <v>26</v>
      </c>
      <c r="P127" s="3" t="s">
        <v>33</v>
      </c>
    </row>
    <row r="128" spans="1:16" x14ac:dyDescent="0.3">
      <c r="A128" s="4">
        <v>46048</v>
      </c>
      <c r="B128" s="3" t="s">
        <v>397</v>
      </c>
      <c r="C128" s="3" t="s">
        <v>398</v>
      </c>
      <c r="D128" s="3" t="s">
        <v>399</v>
      </c>
      <c r="E128" s="3">
        <v>28</v>
      </c>
      <c r="F128" s="3">
        <v>0</v>
      </c>
      <c r="G128" s="6">
        <v>0.79</v>
      </c>
      <c r="H128" s="3">
        <v>14.8</v>
      </c>
      <c r="I128" s="3">
        <v>214</v>
      </c>
      <c r="J128" s="3">
        <v>105</v>
      </c>
      <c r="K128" s="5">
        <v>3171</v>
      </c>
      <c r="L128" s="3">
        <v>14</v>
      </c>
      <c r="M128" s="3">
        <v>0</v>
      </c>
      <c r="N128" s="6">
        <v>0.74</v>
      </c>
      <c r="O128" s="3" t="s">
        <v>26</v>
      </c>
      <c r="P128" s="3" t="s">
        <v>33</v>
      </c>
    </row>
    <row r="129" spans="1:16" x14ac:dyDescent="0.3">
      <c r="A129" s="4">
        <v>46048</v>
      </c>
      <c r="B129" s="3" t="s">
        <v>397</v>
      </c>
      <c r="C129" s="3" t="s">
        <v>398</v>
      </c>
      <c r="D129" s="3" t="s">
        <v>400</v>
      </c>
      <c r="E129" s="3">
        <v>35</v>
      </c>
      <c r="F129" s="3">
        <v>0</v>
      </c>
      <c r="G129" s="6">
        <v>0.86</v>
      </c>
      <c r="H129" s="3">
        <v>18.2</v>
      </c>
      <c r="I129" s="3">
        <v>303</v>
      </c>
      <c r="J129" s="3">
        <v>59</v>
      </c>
      <c r="K129" s="5">
        <v>1833</v>
      </c>
      <c r="L129" s="3">
        <v>76</v>
      </c>
      <c r="M129" s="3">
        <v>2</v>
      </c>
      <c r="N129" s="6">
        <v>0.73</v>
      </c>
      <c r="O129" s="3" t="s">
        <v>18</v>
      </c>
      <c r="P129" s="3" t="s">
        <v>55</v>
      </c>
    </row>
    <row r="130" spans="1:16" x14ac:dyDescent="0.3">
      <c r="A130" s="4">
        <v>46048</v>
      </c>
      <c r="B130" s="3" t="s">
        <v>397</v>
      </c>
      <c r="C130" s="3" t="s">
        <v>401</v>
      </c>
      <c r="D130" s="3" t="s">
        <v>402</v>
      </c>
      <c r="E130" s="3">
        <v>35</v>
      </c>
      <c r="F130" s="3">
        <v>1</v>
      </c>
      <c r="G130" s="6">
        <v>0.73</v>
      </c>
      <c r="H130" s="3">
        <v>15</v>
      </c>
      <c r="I130" s="3">
        <v>261</v>
      </c>
      <c r="J130" s="3">
        <v>118</v>
      </c>
      <c r="K130" s="5">
        <v>2563</v>
      </c>
      <c r="L130" s="3">
        <v>65</v>
      </c>
      <c r="M130" s="3">
        <v>1</v>
      </c>
      <c r="N130" s="6">
        <v>0.77</v>
      </c>
      <c r="O130" s="3" t="s">
        <v>29</v>
      </c>
      <c r="P130" s="3" t="s">
        <v>66</v>
      </c>
    </row>
    <row r="131" spans="1:16" x14ac:dyDescent="0.3">
      <c r="A131" s="4">
        <v>46048</v>
      </c>
      <c r="B131" s="3" t="s">
        <v>397</v>
      </c>
      <c r="C131" s="3" t="s">
        <v>401</v>
      </c>
      <c r="D131" s="3" t="s">
        <v>403</v>
      </c>
      <c r="E131" s="3">
        <v>22</v>
      </c>
      <c r="F131" s="3">
        <v>0</v>
      </c>
      <c r="G131" s="6">
        <v>0.86</v>
      </c>
      <c r="H131" s="3">
        <v>16.399999999999999</v>
      </c>
      <c r="I131" s="3">
        <v>47</v>
      </c>
      <c r="J131" s="3">
        <v>45</v>
      </c>
      <c r="K131" s="5">
        <v>1178</v>
      </c>
      <c r="L131" s="3">
        <v>95</v>
      </c>
      <c r="M131" s="3">
        <v>3</v>
      </c>
      <c r="N131" s="6">
        <v>0.74</v>
      </c>
      <c r="O131" s="3" t="s">
        <v>18</v>
      </c>
      <c r="P131" s="3" t="s">
        <v>55</v>
      </c>
    </row>
    <row r="132" spans="1:16" x14ac:dyDescent="0.3">
      <c r="A132" s="4">
        <v>46048</v>
      </c>
      <c r="B132" s="3" t="s">
        <v>397</v>
      </c>
      <c r="C132" s="3" t="s">
        <v>404</v>
      </c>
      <c r="D132" s="3" t="s">
        <v>405</v>
      </c>
      <c r="E132" s="3">
        <v>31</v>
      </c>
      <c r="F132" s="3">
        <v>0</v>
      </c>
      <c r="G132" s="6">
        <v>0.83</v>
      </c>
      <c r="H132" s="3">
        <v>10.6</v>
      </c>
      <c r="I132" s="3">
        <v>417</v>
      </c>
      <c r="J132" s="3">
        <v>104</v>
      </c>
      <c r="K132" s="5">
        <v>3548</v>
      </c>
      <c r="L132" s="3">
        <v>96</v>
      </c>
      <c r="M132" s="3">
        <v>3</v>
      </c>
      <c r="N132" s="6">
        <v>0.85</v>
      </c>
      <c r="O132" s="3" t="s">
        <v>26</v>
      </c>
      <c r="P132" s="3" t="s">
        <v>25</v>
      </c>
    </row>
    <row r="133" spans="1:16" x14ac:dyDescent="0.3">
      <c r="A133" s="4">
        <v>46048</v>
      </c>
      <c r="B133" s="3" t="s">
        <v>397</v>
      </c>
      <c r="C133" s="3" t="s">
        <v>404</v>
      </c>
      <c r="D133" s="3" t="s">
        <v>406</v>
      </c>
      <c r="E133" s="3">
        <v>20</v>
      </c>
      <c r="F133" s="3">
        <v>1</v>
      </c>
      <c r="G133" s="6">
        <v>0.87</v>
      </c>
      <c r="H133" s="3">
        <v>16.3</v>
      </c>
      <c r="I133" s="3">
        <v>414</v>
      </c>
      <c r="J133" s="3">
        <v>31</v>
      </c>
      <c r="K133" s="5">
        <v>669</v>
      </c>
      <c r="L133" s="3">
        <v>37</v>
      </c>
      <c r="M133" s="3">
        <v>3</v>
      </c>
      <c r="N133" s="6">
        <v>0.94</v>
      </c>
      <c r="O133" s="3" t="s">
        <v>13</v>
      </c>
      <c r="P133" s="3" t="s">
        <v>12</v>
      </c>
    </row>
    <row r="134" spans="1:16" x14ac:dyDescent="0.3">
      <c r="A134" s="4">
        <v>46049</v>
      </c>
      <c r="B134" s="3" t="s">
        <v>407</v>
      </c>
      <c r="C134" s="3" t="s">
        <v>398</v>
      </c>
      <c r="D134" s="3" t="s">
        <v>399</v>
      </c>
      <c r="E134" s="3">
        <v>21</v>
      </c>
      <c r="F134" s="3">
        <v>2</v>
      </c>
      <c r="G134" s="6">
        <v>0.76</v>
      </c>
      <c r="H134" s="3">
        <v>16.899999999999999</v>
      </c>
      <c r="I134" s="3">
        <v>171</v>
      </c>
      <c r="J134" s="3">
        <v>10</v>
      </c>
      <c r="K134" s="5">
        <v>1243</v>
      </c>
      <c r="L134" s="3">
        <v>95</v>
      </c>
      <c r="M134" s="3">
        <v>1</v>
      </c>
      <c r="N134" s="6">
        <v>0.76</v>
      </c>
      <c r="O134" s="3" t="s">
        <v>29</v>
      </c>
      <c r="P134" s="3" t="s">
        <v>66</v>
      </c>
    </row>
    <row r="135" spans="1:16" x14ac:dyDescent="0.3">
      <c r="A135" s="4">
        <v>46049</v>
      </c>
      <c r="B135" s="3" t="s">
        <v>407</v>
      </c>
      <c r="C135" s="3" t="s">
        <v>398</v>
      </c>
      <c r="D135" s="3" t="s">
        <v>400</v>
      </c>
      <c r="E135" s="3">
        <v>24</v>
      </c>
      <c r="F135" s="3">
        <v>1</v>
      </c>
      <c r="G135" s="6">
        <v>0.74</v>
      </c>
      <c r="H135" s="3">
        <v>12.2</v>
      </c>
      <c r="I135" s="3">
        <v>106</v>
      </c>
      <c r="J135" s="3">
        <v>44</v>
      </c>
      <c r="K135" s="5">
        <v>2307</v>
      </c>
      <c r="L135" s="3">
        <v>52</v>
      </c>
      <c r="M135" s="3">
        <v>0</v>
      </c>
      <c r="N135" s="6">
        <v>0.68</v>
      </c>
      <c r="O135" s="3" t="s">
        <v>29</v>
      </c>
      <c r="P135" s="3" t="s">
        <v>66</v>
      </c>
    </row>
    <row r="136" spans="1:16" x14ac:dyDescent="0.3">
      <c r="A136" s="4">
        <v>46049</v>
      </c>
      <c r="B136" s="3" t="s">
        <v>407</v>
      </c>
      <c r="C136" s="3" t="s">
        <v>401</v>
      </c>
      <c r="D136" s="3" t="s">
        <v>402</v>
      </c>
      <c r="E136" s="3">
        <v>26</v>
      </c>
      <c r="F136" s="3">
        <v>1</v>
      </c>
      <c r="G136" s="6">
        <v>0.84</v>
      </c>
      <c r="H136" s="3">
        <v>13.8</v>
      </c>
      <c r="I136" s="3">
        <v>427</v>
      </c>
      <c r="J136" s="3">
        <v>49</v>
      </c>
      <c r="K136" s="5">
        <v>2923</v>
      </c>
      <c r="L136" s="3">
        <v>100</v>
      </c>
      <c r="M136" s="3">
        <v>1</v>
      </c>
      <c r="N136" s="6">
        <v>0.76</v>
      </c>
      <c r="O136" s="3" t="s">
        <v>18</v>
      </c>
      <c r="P136" s="3" t="s">
        <v>17</v>
      </c>
    </row>
    <row r="137" spans="1:16" x14ac:dyDescent="0.3">
      <c r="A137" s="4">
        <v>46049</v>
      </c>
      <c r="B137" s="3" t="s">
        <v>407</v>
      </c>
      <c r="C137" s="3" t="s">
        <v>401</v>
      </c>
      <c r="D137" s="3" t="s">
        <v>403</v>
      </c>
      <c r="E137" s="3">
        <v>23</v>
      </c>
      <c r="F137" s="3">
        <v>1</v>
      </c>
      <c r="G137" s="6">
        <v>0.72</v>
      </c>
      <c r="H137" s="3">
        <v>16.600000000000001</v>
      </c>
      <c r="I137" s="3">
        <v>324</v>
      </c>
      <c r="J137" s="3">
        <v>6</v>
      </c>
      <c r="K137" s="5">
        <v>1181</v>
      </c>
      <c r="L137" s="3">
        <v>8</v>
      </c>
      <c r="M137" s="3">
        <v>0</v>
      </c>
      <c r="N137" s="6">
        <v>0.59</v>
      </c>
      <c r="O137" s="3" t="s">
        <v>26</v>
      </c>
      <c r="P137" s="3" t="s">
        <v>33</v>
      </c>
    </row>
    <row r="138" spans="1:16" x14ac:dyDescent="0.3">
      <c r="A138" s="4">
        <v>46049</v>
      </c>
      <c r="B138" s="3" t="s">
        <v>407</v>
      </c>
      <c r="C138" s="3" t="s">
        <v>404</v>
      </c>
      <c r="D138" s="3" t="s">
        <v>405</v>
      </c>
      <c r="E138" s="3">
        <v>32</v>
      </c>
      <c r="F138" s="3">
        <v>1</v>
      </c>
      <c r="G138" s="6">
        <v>0.86</v>
      </c>
      <c r="H138" s="3">
        <v>18.100000000000001</v>
      </c>
      <c r="I138" s="3">
        <v>354</v>
      </c>
      <c r="J138" s="3">
        <v>45</v>
      </c>
      <c r="K138" s="5">
        <v>3201</v>
      </c>
      <c r="L138" s="3">
        <v>28</v>
      </c>
      <c r="M138" s="3">
        <v>8</v>
      </c>
      <c r="N138" s="6">
        <v>0.75</v>
      </c>
      <c r="O138" s="3" t="s">
        <v>18</v>
      </c>
      <c r="P138" s="3" t="s">
        <v>17</v>
      </c>
    </row>
    <row r="139" spans="1:16" x14ac:dyDescent="0.3">
      <c r="A139" s="4">
        <v>46049</v>
      </c>
      <c r="B139" s="3" t="s">
        <v>407</v>
      </c>
      <c r="C139" s="3" t="s">
        <v>404</v>
      </c>
      <c r="D139" s="3" t="s">
        <v>406</v>
      </c>
      <c r="E139" s="3">
        <v>25</v>
      </c>
      <c r="F139" s="3">
        <v>2</v>
      </c>
      <c r="G139" s="6">
        <v>0.82</v>
      </c>
      <c r="H139" s="3">
        <v>18.2</v>
      </c>
      <c r="I139" s="3">
        <v>200</v>
      </c>
      <c r="J139" s="3">
        <v>124</v>
      </c>
      <c r="K139" s="5">
        <v>3071</v>
      </c>
      <c r="L139" s="3">
        <v>8</v>
      </c>
      <c r="M139" s="3">
        <v>1</v>
      </c>
      <c r="N139" s="6">
        <v>0.67</v>
      </c>
      <c r="O139" s="3" t="s">
        <v>37</v>
      </c>
      <c r="P139" s="3" t="s">
        <v>40</v>
      </c>
    </row>
    <row r="140" spans="1:16" x14ac:dyDescent="0.3">
      <c r="A140" s="4">
        <v>46050</v>
      </c>
      <c r="B140" s="3" t="s">
        <v>408</v>
      </c>
      <c r="C140" s="3" t="s">
        <v>398</v>
      </c>
      <c r="D140" s="3" t="s">
        <v>399</v>
      </c>
      <c r="E140" s="3">
        <v>34</v>
      </c>
      <c r="F140" s="3">
        <v>0</v>
      </c>
      <c r="G140" s="6">
        <v>0.76</v>
      </c>
      <c r="H140" s="3">
        <v>12.8</v>
      </c>
      <c r="I140" s="3">
        <v>341</v>
      </c>
      <c r="J140" s="3">
        <v>46</v>
      </c>
      <c r="K140" s="5">
        <v>3855</v>
      </c>
      <c r="L140" s="3">
        <v>46</v>
      </c>
      <c r="M140" s="3">
        <v>3</v>
      </c>
      <c r="N140" s="6">
        <v>0.59</v>
      </c>
      <c r="O140" s="3" t="s">
        <v>26</v>
      </c>
      <c r="P140" s="3" t="s">
        <v>33</v>
      </c>
    </row>
    <row r="141" spans="1:16" x14ac:dyDescent="0.3">
      <c r="A141" s="4">
        <v>46050</v>
      </c>
      <c r="B141" s="3" t="s">
        <v>408</v>
      </c>
      <c r="C141" s="3" t="s">
        <v>398</v>
      </c>
      <c r="D141" s="3" t="s">
        <v>400</v>
      </c>
      <c r="E141" s="3">
        <v>30</v>
      </c>
      <c r="F141" s="3">
        <v>2</v>
      </c>
      <c r="G141" s="6">
        <v>0.83</v>
      </c>
      <c r="H141" s="3">
        <v>15.3</v>
      </c>
      <c r="I141" s="3">
        <v>426</v>
      </c>
      <c r="J141" s="3">
        <v>90</v>
      </c>
      <c r="K141" s="5">
        <v>2212</v>
      </c>
      <c r="L141" s="3">
        <v>8</v>
      </c>
      <c r="M141" s="3">
        <v>3</v>
      </c>
      <c r="N141" s="6">
        <v>0.66</v>
      </c>
      <c r="O141" s="3" t="s">
        <v>26</v>
      </c>
      <c r="P141" s="3" t="s">
        <v>33</v>
      </c>
    </row>
    <row r="142" spans="1:16" x14ac:dyDescent="0.3">
      <c r="A142" s="4">
        <v>46050</v>
      </c>
      <c r="B142" s="3" t="s">
        <v>408</v>
      </c>
      <c r="C142" s="3" t="s">
        <v>401</v>
      </c>
      <c r="D142" s="3" t="s">
        <v>402</v>
      </c>
      <c r="E142" s="3">
        <v>31</v>
      </c>
      <c r="F142" s="3">
        <v>0</v>
      </c>
      <c r="G142" s="6">
        <v>0.78</v>
      </c>
      <c r="H142" s="3">
        <v>13.4</v>
      </c>
      <c r="I142" s="3">
        <v>199</v>
      </c>
      <c r="J142" s="3">
        <v>81</v>
      </c>
      <c r="K142" s="5">
        <v>370</v>
      </c>
      <c r="L142" s="3">
        <v>43</v>
      </c>
      <c r="M142" s="3">
        <v>2</v>
      </c>
      <c r="N142" s="6">
        <v>0.76</v>
      </c>
      <c r="O142" s="3" t="s">
        <v>37</v>
      </c>
      <c r="P142" s="3" t="s">
        <v>36</v>
      </c>
    </row>
    <row r="143" spans="1:16" x14ac:dyDescent="0.3">
      <c r="A143" s="4">
        <v>46050</v>
      </c>
      <c r="B143" s="3" t="s">
        <v>408</v>
      </c>
      <c r="C143" s="3" t="s">
        <v>401</v>
      </c>
      <c r="D143" s="3" t="s">
        <v>403</v>
      </c>
      <c r="E143" s="3">
        <v>38</v>
      </c>
      <c r="F143" s="3">
        <v>0</v>
      </c>
      <c r="G143" s="6">
        <v>0.79</v>
      </c>
      <c r="H143" s="3">
        <v>12.8</v>
      </c>
      <c r="I143" s="3">
        <v>349</v>
      </c>
      <c r="J143" s="3">
        <v>59</v>
      </c>
      <c r="K143" s="5">
        <v>857</v>
      </c>
      <c r="L143" s="3">
        <v>67</v>
      </c>
      <c r="M143" s="3">
        <v>7</v>
      </c>
      <c r="N143" s="6">
        <v>0.61</v>
      </c>
      <c r="O143" s="3" t="s">
        <v>37</v>
      </c>
      <c r="P143" s="3" t="s">
        <v>40</v>
      </c>
    </row>
    <row r="144" spans="1:16" x14ac:dyDescent="0.3">
      <c r="A144" s="4">
        <v>46050</v>
      </c>
      <c r="B144" s="3" t="s">
        <v>408</v>
      </c>
      <c r="C144" s="3" t="s">
        <v>404</v>
      </c>
      <c r="D144" s="3" t="s">
        <v>405</v>
      </c>
      <c r="E144" s="3">
        <v>38</v>
      </c>
      <c r="F144" s="3">
        <v>3</v>
      </c>
      <c r="G144" s="6">
        <v>0.75</v>
      </c>
      <c r="H144" s="3">
        <v>10.6</v>
      </c>
      <c r="I144" s="3">
        <v>340</v>
      </c>
      <c r="J144" s="3">
        <v>110</v>
      </c>
      <c r="K144" s="5">
        <v>1380</v>
      </c>
      <c r="L144" s="3">
        <v>66</v>
      </c>
      <c r="M144" s="3">
        <v>8</v>
      </c>
      <c r="N144" s="6">
        <v>0.53</v>
      </c>
      <c r="O144" s="3" t="s">
        <v>13</v>
      </c>
      <c r="P144" s="3" t="s">
        <v>21</v>
      </c>
    </row>
    <row r="145" spans="1:16" x14ac:dyDescent="0.3">
      <c r="A145" s="4">
        <v>46050</v>
      </c>
      <c r="B145" s="3" t="s">
        <v>408</v>
      </c>
      <c r="C145" s="3" t="s">
        <v>404</v>
      </c>
      <c r="D145" s="3" t="s">
        <v>406</v>
      </c>
      <c r="E145" s="3">
        <v>24</v>
      </c>
      <c r="F145" s="3">
        <v>1</v>
      </c>
      <c r="G145" s="6">
        <v>0.77</v>
      </c>
      <c r="H145" s="3">
        <v>9.6</v>
      </c>
      <c r="I145" s="3">
        <v>384</v>
      </c>
      <c r="J145" s="3">
        <v>110</v>
      </c>
      <c r="K145" s="5">
        <v>850</v>
      </c>
      <c r="L145" s="3">
        <v>35</v>
      </c>
      <c r="M145" s="3">
        <v>0</v>
      </c>
      <c r="N145" s="6">
        <v>0.64</v>
      </c>
      <c r="O145" s="3" t="s">
        <v>13</v>
      </c>
      <c r="P145" s="3" t="s">
        <v>12</v>
      </c>
    </row>
    <row r="146" spans="1:16" x14ac:dyDescent="0.3">
      <c r="A146" s="4">
        <v>46051</v>
      </c>
      <c r="B146" s="3" t="s">
        <v>409</v>
      </c>
      <c r="C146" s="3" t="s">
        <v>398</v>
      </c>
      <c r="D146" s="3" t="s">
        <v>399</v>
      </c>
      <c r="E146" s="3">
        <v>31</v>
      </c>
      <c r="F146" s="3">
        <v>0</v>
      </c>
      <c r="G146" s="6">
        <v>0.87</v>
      </c>
      <c r="H146" s="3">
        <v>11.6</v>
      </c>
      <c r="I146" s="3">
        <v>386</v>
      </c>
      <c r="J146" s="3">
        <v>122</v>
      </c>
      <c r="K146" s="5">
        <v>3278</v>
      </c>
      <c r="L146" s="3">
        <v>24</v>
      </c>
      <c r="M146" s="3">
        <v>5</v>
      </c>
      <c r="N146" s="6">
        <v>0.89</v>
      </c>
      <c r="O146" s="3" t="s">
        <v>26</v>
      </c>
      <c r="P146" s="3" t="s">
        <v>25</v>
      </c>
    </row>
    <row r="147" spans="1:16" x14ac:dyDescent="0.3">
      <c r="A147" s="4">
        <v>46051</v>
      </c>
      <c r="B147" s="3" t="s">
        <v>409</v>
      </c>
      <c r="C147" s="3" t="s">
        <v>398</v>
      </c>
      <c r="D147" s="3" t="s">
        <v>400</v>
      </c>
      <c r="E147" s="3">
        <v>26</v>
      </c>
      <c r="F147" s="3">
        <v>3</v>
      </c>
      <c r="G147" s="6">
        <v>0.79</v>
      </c>
      <c r="H147" s="3">
        <v>17.899999999999999</v>
      </c>
      <c r="I147" s="3">
        <v>340</v>
      </c>
      <c r="J147" s="3">
        <v>32</v>
      </c>
      <c r="K147" s="5">
        <v>38</v>
      </c>
      <c r="L147" s="3">
        <v>85</v>
      </c>
      <c r="M147" s="3">
        <v>0</v>
      </c>
      <c r="N147" s="6">
        <v>0.73</v>
      </c>
      <c r="O147" s="3" t="s">
        <v>18</v>
      </c>
      <c r="P147" s="3" t="s">
        <v>17</v>
      </c>
    </row>
    <row r="148" spans="1:16" x14ac:dyDescent="0.3">
      <c r="A148" s="4">
        <v>46051</v>
      </c>
      <c r="B148" s="3" t="s">
        <v>409</v>
      </c>
      <c r="C148" s="3" t="s">
        <v>401</v>
      </c>
      <c r="D148" s="3" t="s">
        <v>402</v>
      </c>
      <c r="E148" s="3">
        <v>34</v>
      </c>
      <c r="F148" s="3">
        <v>0</v>
      </c>
      <c r="G148" s="6">
        <v>0.76</v>
      </c>
      <c r="H148" s="3">
        <v>11.1</v>
      </c>
      <c r="I148" s="3">
        <v>37</v>
      </c>
      <c r="J148" s="3">
        <v>30</v>
      </c>
      <c r="K148" s="5">
        <v>1520</v>
      </c>
      <c r="L148" s="3">
        <v>91</v>
      </c>
      <c r="M148" s="3">
        <v>7</v>
      </c>
      <c r="N148" s="6">
        <v>0.81</v>
      </c>
      <c r="O148" s="3" t="s">
        <v>13</v>
      </c>
      <c r="P148" s="3" t="s">
        <v>12</v>
      </c>
    </row>
    <row r="149" spans="1:16" x14ac:dyDescent="0.3">
      <c r="A149" s="4">
        <v>46051</v>
      </c>
      <c r="B149" s="3" t="s">
        <v>409</v>
      </c>
      <c r="C149" s="3" t="s">
        <v>401</v>
      </c>
      <c r="D149" s="3" t="s">
        <v>403</v>
      </c>
      <c r="E149" s="3">
        <v>27</v>
      </c>
      <c r="F149" s="3">
        <v>0</v>
      </c>
      <c r="G149" s="6">
        <v>0.72</v>
      </c>
      <c r="H149" s="3">
        <v>17.3</v>
      </c>
      <c r="I149" s="3">
        <v>399</v>
      </c>
      <c r="J149" s="3">
        <v>146</v>
      </c>
      <c r="K149" s="5">
        <v>3836</v>
      </c>
      <c r="L149" s="3">
        <v>115</v>
      </c>
      <c r="M149" s="3">
        <v>2</v>
      </c>
      <c r="N149" s="6">
        <v>0.56999999999999995</v>
      </c>
      <c r="O149" s="3" t="s">
        <v>26</v>
      </c>
      <c r="P149" s="3" t="s">
        <v>25</v>
      </c>
    </row>
    <row r="150" spans="1:16" x14ac:dyDescent="0.3">
      <c r="A150" s="4">
        <v>46051</v>
      </c>
      <c r="B150" s="3" t="s">
        <v>409</v>
      </c>
      <c r="C150" s="3" t="s">
        <v>404</v>
      </c>
      <c r="D150" s="3" t="s">
        <v>405</v>
      </c>
      <c r="E150" s="3">
        <v>29</v>
      </c>
      <c r="F150" s="3">
        <v>0</v>
      </c>
      <c r="G150" s="6">
        <v>0.73</v>
      </c>
      <c r="H150" s="3">
        <v>14.3</v>
      </c>
      <c r="I150" s="3">
        <v>233</v>
      </c>
      <c r="J150" s="3">
        <v>128</v>
      </c>
      <c r="K150" s="5">
        <v>4407</v>
      </c>
      <c r="L150" s="3">
        <v>56</v>
      </c>
      <c r="M150" s="3">
        <v>0</v>
      </c>
      <c r="N150" s="6">
        <v>0.67</v>
      </c>
      <c r="O150" s="3" t="s">
        <v>29</v>
      </c>
      <c r="P150" s="3" t="s">
        <v>66</v>
      </c>
    </row>
    <row r="151" spans="1:16" x14ac:dyDescent="0.3">
      <c r="A151" s="4">
        <v>46051</v>
      </c>
      <c r="B151" s="3" t="s">
        <v>409</v>
      </c>
      <c r="C151" s="3" t="s">
        <v>404</v>
      </c>
      <c r="D151" s="3" t="s">
        <v>406</v>
      </c>
      <c r="E151" s="3">
        <v>25</v>
      </c>
      <c r="F151" s="3">
        <v>0</v>
      </c>
      <c r="G151" s="6">
        <v>0.89</v>
      </c>
      <c r="H151" s="3">
        <v>13.6</v>
      </c>
      <c r="I151" s="3">
        <v>295</v>
      </c>
      <c r="J151" s="3">
        <v>15</v>
      </c>
      <c r="K151" s="5">
        <v>1589</v>
      </c>
      <c r="L151" s="3">
        <v>4</v>
      </c>
      <c r="M151" s="3">
        <v>3</v>
      </c>
      <c r="N151" s="6">
        <v>0.88</v>
      </c>
      <c r="O151" s="3" t="s">
        <v>18</v>
      </c>
      <c r="P151" s="3" t="s">
        <v>17</v>
      </c>
    </row>
    <row r="152" spans="1:16" x14ac:dyDescent="0.3">
      <c r="A152" s="4">
        <v>46052</v>
      </c>
      <c r="B152" s="3" t="s">
        <v>410</v>
      </c>
      <c r="C152" s="3" t="s">
        <v>398</v>
      </c>
      <c r="D152" s="3" t="s">
        <v>399</v>
      </c>
      <c r="E152" s="3">
        <v>32</v>
      </c>
      <c r="F152" s="3">
        <v>0</v>
      </c>
      <c r="G152" s="6">
        <v>0.79</v>
      </c>
      <c r="H152" s="3">
        <v>11.1</v>
      </c>
      <c r="I152" s="3">
        <v>77</v>
      </c>
      <c r="J152" s="3">
        <v>127</v>
      </c>
      <c r="K152" s="5">
        <v>3789</v>
      </c>
      <c r="L152" s="3">
        <v>17</v>
      </c>
      <c r="M152" s="3">
        <v>2</v>
      </c>
      <c r="N152" s="6">
        <v>0.78</v>
      </c>
      <c r="O152" s="3" t="s">
        <v>26</v>
      </c>
      <c r="P152" s="3" t="s">
        <v>33</v>
      </c>
    </row>
    <row r="153" spans="1:16" x14ac:dyDescent="0.3">
      <c r="A153" s="4">
        <v>46052</v>
      </c>
      <c r="B153" s="3" t="s">
        <v>410</v>
      </c>
      <c r="C153" s="3" t="s">
        <v>398</v>
      </c>
      <c r="D153" s="3" t="s">
        <v>400</v>
      </c>
      <c r="E153" s="3">
        <v>25</v>
      </c>
      <c r="F153" s="3">
        <v>1</v>
      </c>
      <c r="G153" s="6">
        <v>0.79</v>
      </c>
      <c r="H153" s="3">
        <v>10.4</v>
      </c>
      <c r="I153" s="3">
        <v>284</v>
      </c>
      <c r="J153" s="3">
        <v>118</v>
      </c>
      <c r="K153" s="5">
        <v>1601</v>
      </c>
      <c r="L153" s="3">
        <v>14</v>
      </c>
      <c r="M153" s="3">
        <v>2</v>
      </c>
      <c r="N153" s="6">
        <v>0.87</v>
      </c>
      <c r="O153" s="3" t="s">
        <v>13</v>
      </c>
      <c r="P153" s="3" t="s">
        <v>21</v>
      </c>
    </row>
    <row r="154" spans="1:16" x14ac:dyDescent="0.3">
      <c r="A154" s="4">
        <v>46052</v>
      </c>
      <c r="B154" s="3" t="s">
        <v>410</v>
      </c>
      <c r="C154" s="3" t="s">
        <v>401</v>
      </c>
      <c r="D154" s="3" t="s">
        <v>402</v>
      </c>
      <c r="E154" s="3">
        <v>29</v>
      </c>
      <c r="F154" s="3">
        <v>2</v>
      </c>
      <c r="G154" s="6">
        <v>0.78</v>
      </c>
      <c r="H154" s="3">
        <v>8.6</v>
      </c>
      <c r="I154" s="3">
        <v>115</v>
      </c>
      <c r="J154" s="3">
        <v>63</v>
      </c>
      <c r="K154" s="5">
        <v>2737</v>
      </c>
      <c r="L154" s="3">
        <v>119</v>
      </c>
      <c r="M154" s="3">
        <v>5</v>
      </c>
      <c r="N154" s="6">
        <v>0.75</v>
      </c>
      <c r="O154" s="3" t="s">
        <v>26</v>
      </c>
      <c r="P154" s="3" t="s">
        <v>25</v>
      </c>
    </row>
    <row r="155" spans="1:16" x14ac:dyDescent="0.3">
      <c r="A155" s="4">
        <v>46052</v>
      </c>
      <c r="B155" s="3" t="s">
        <v>410</v>
      </c>
      <c r="C155" s="3" t="s">
        <v>401</v>
      </c>
      <c r="D155" s="3" t="s">
        <v>403</v>
      </c>
      <c r="E155" s="3">
        <v>31</v>
      </c>
      <c r="F155" s="3">
        <v>3</v>
      </c>
      <c r="G155" s="6">
        <v>0.81</v>
      </c>
      <c r="H155" s="3">
        <v>8.6</v>
      </c>
      <c r="I155" s="3">
        <v>129</v>
      </c>
      <c r="J155" s="3">
        <v>110</v>
      </c>
      <c r="K155" s="5">
        <v>147</v>
      </c>
      <c r="L155" s="3">
        <v>53</v>
      </c>
      <c r="M155" s="3">
        <v>2</v>
      </c>
      <c r="N155" s="6">
        <v>0.66</v>
      </c>
      <c r="O155" s="3" t="s">
        <v>26</v>
      </c>
      <c r="P155" s="3" t="s">
        <v>33</v>
      </c>
    </row>
    <row r="156" spans="1:16" x14ac:dyDescent="0.3">
      <c r="A156" s="4">
        <v>46052</v>
      </c>
      <c r="B156" s="3" t="s">
        <v>410</v>
      </c>
      <c r="C156" s="3" t="s">
        <v>404</v>
      </c>
      <c r="D156" s="3" t="s">
        <v>405</v>
      </c>
      <c r="E156" s="3">
        <v>36</v>
      </c>
      <c r="F156" s="3">
        <v>2</v>
      </c>
      <c r="G156" s="6">
        <v>0.89</v>
      </c>
      <c r="H156" s="3">
        <v>15.1</v>
      </c>
      <c r="I156" s="3">
        <v>60</v>
      </c>
      <c r="J156" s="3">
        <v>5</v>
      </c>
      <c r="K156" s="5">
        <v>2639</v>
      </c>
      <c r="L156" s="3">
        <v>117</v>
      </c>
      <c r="M156" s="3">
        <v>2</v>
      </c>
      <c r="N156" s="6">
        <v>0.67</v>
      </c>
      <c r="O156" s="3" t="s">
        <v>26</v>
      </c>
      <c r="P156" s="3" t="s">
        <v>33</v>
      </c>
    </row>
    <row r="157" spans="1:16" x14ac:dyDescent="0.3">
      <c r="A157" s="4">
        <v>46052</v>
      </c>
      <c r="B157" s="3" t="s">
        <v>410</v>
      </c>
      <c r="C157" s="3" t="s">
        <v>404</v>
      </c>
      <c r="D157" s="3" t="s">
        <v>406</v>
      </c>
      <c r="E157" s="3">
        <v>21</v>
      </c>
      <c r="F157" s="3">
        <v>0</v>
      </c>
      <c r="G157" s="6">
        <v>0.76</v>
      </c>
      <c r="H157" s="3">
        <v>15</v>
      </c>
      <c r="I157" s="3">
        <v>442</v>
      </c>
      <c r="J157" s="3">
        <v>147</v>
      </c>
      <c r="K157" s="5">
        <v>2054</v>
      </c>
      <c r="L157" s="3">
        <v>97</v>
      </c>
      <c r="M157" s="3">
        <v>0</v>
      </c>
      <c r="N157" s="6">
        <v>0.78</v>
      </c>
      <c r="O157" s="3" t="s">
        <v>26</v>
      </c>
      <c r="P157" s="3" t="s">
        <v>33</v>
      </c>
    </row>
    <row r="158" spans="1:16" x14ac:dyDescent="0.3">
      <c r="A158" s="4">
        <v>46053</v>
      </c>
      <c r="B158" s="3" t="s">
        <v>411</v>
      </c>
      <c r="C158" s="3" t="s">
        <v>398</v>
      </c>
      <c r="D158" s="3" t="s">
        <v>399</v>
      </c>
      <c r="E158" s="3">
        <v>34</v>
      </c>
      <c r="F158" s="3">
        <v>2</v>
      </c>
      <c r="G158" s="6">
        <v>0.81</v>
      </c>
      <c r="H158" s="3">
        <v>12.2</v>
      </c>
      <c r="I158" s="3">
        <v>181</v>
      </c>
      <c r="J158" s="3">
        <v>72</v>
      </c>
      <c r="K158" s="5">
        <v>687</v>
      </c>
      <c r="L158" s="3">
        <v>70</v>
      </c>
      <c r="M158" s="3">
        <v>4</v>
      </c>
      <c r="N158" s="6">
        <v>0.74</v>
      </c>
      <c r="O158" s="3" t="s">
        <v>37</v>
      </c>
      <c r="P158" s="3" t="s">
        <v>36</v>
      </c>
    </row>
    <row r="159" spans="1:16" x14ac:dyDescent="0.3">
      <c r="A159" s="4">
        <v>46053</v>
      </c>
      <c r="B159" s="3" t="s">
        <v>411</v>
      </c>
      <c r="C159" s="3" t="s">
        <v>398</v>
      </c>
      <c r="D159" s="3" t="s">
        <v>400</v>
      </c>
      <c r="E159" s="3">
        <v>31</v>
      </c>
      <c r="F159" s="3">
        <v>2</v>
      </c>
      <c r="G159" s="6">
        <v>0.76</v>
      </c>
      <c r="H159" s="3">
        <v>8.8000000000000007</v>
      </c>
      <c r="I159" s="3">
        <v>30</v>
      </c>
      <c r="J159" s="3">
        <v>1</v>
      </c>
      <c r="K159" s="5">
        <v>2580</v>
      </c>
      <c r="L159" s="3">
        <v>7</v>
      </c>
      <c r="M159" s="3">
        <v>2</v>
      </c>
      <c r="N159" s="6">
        <v>0.66</v>
      </c>
      <c r="O159" s="3" t="s">
        <v>29</v>
      </c>
      <c r="P159" s="3" t="s">
        <v>66</v>
      </c>
    </row>
    <row r="160" spans="1:16" x14ac:dyDescent="0.3">
      <c r="A160" s="4">
        <v>46053</v>
      </c>
      <c r="B160" s="3" t="s">
        <v>411</v>
      </c>
      <c r="C160" s="3" t="s">
        <v>401</v>
      </c>
      <c r="D160" s="3" t="s">
        <v>402</v>
      </c>
      <c r="E160" s="3">
        <v>35</v>
      </c>
      <c r="F160" s="3">
        <v>1</v>
      </c>
      <c r="G160" s="6">
        <v>0.81</v>
      </c>
      <c r="H160" s="3">
        <v>10.1</v>
      </c>
      <c r="I160" s="3">
        <v>262</v>
      </c>
      <c r="J160" s="3">
        <v>128</v>
      </c>
      <c r="K160" s="5">
        <v>1779</v>
      </c>
      <c r="L160" s="3">
        <v>87</v>
      </c>
      <c r="M160" s="3">
        <v>3</v>
      </c>
      <c r="N160" s="6">
        <v>0.62</v>
      </c>
      <c r="O160" s="3" t="s">
        <v>37</v>
      </c>
      <c r="P160" s="3" t="s">
        <v>36</v>
      </c>
    </row>
    <row r="161" spans="1:16" x14ac:dyDescent="0.3">
      <c r="A161" s="4">
        <v>46053</v>
      </c>
      <c r="B161" s="3" t="s">
        <v>411</v>
      </c>
      <c r="C161" s="3" t="s">
        <v>401</v>
      </c>
      <c r="D161" s="3" t="s">
        <v>403</v>
      </c>
      <c r="E161" s="3">
        <v>21</v>
      </c>
      <c r="F161" s="3">
        <v>0</v>
      </c>
      <c r="G161" s="6">
        <v>0.85</v>
      </c>
      <c r="H161" s="3">
        <v>17.8</v>
      </c>
      <c r="I161" s="3">
        <v>56</v>
      </c>
      <c r="J161" s="3">
        <v>18</v>
      </c>
      <c r="K161" s="5">
        <v>1411</v>
      </c>
      <c r="L161" s="3">
        <v>21</v>
      </c>
      <c r="M161" s="3">
        <v>1</v>
      </c>
      <c r="N161" s="6">
        <v>0.88</v>
      </c>
      <c r="O161" s="3" t="s">
        <v>29</v>
      </c>
      <c r="P161" s="3" t="s">
        <v>28</v>
      </c>
    </row>
    <row r="162" spans="1:16" x14ac:dyDescent="0.3">
      <c r="A162" s="4">
        <v>46053</v>
      </c>
      <c r="B162" s="3" t="s">
        <v>411</v>
      </c>
      <c r="C162" s="3" t="s">
        <v>404</v>
      </c>
      <c r="D162" s="3" t="s">
        <v>405</v>
      </c>
      <c r="E162" s="3">
        <v>24</v>
      </c>
      <c r="F162" s="3">
        <v>1</v>
      </c>
      <c r="G162" s="6">
        <v>0.78</v>
      </c>
      <c r="H162" s="3">
        <v>12.5</v>
      </c>
      <c r="I162" s="3">
        <v>139</v>
      </c>
      <c r="J162" s="3">
        <v>5</v>
      </c>
      <c r="K162" s="5">
        <v>3970</v>
      </c>
      <c r="L162" s="3">
        <v>82</v>
      </c>
      <c r="M162" s="3">
        <v>5</v>
      </c>
      <c r="N162" s="6">
        <v>0.74</v>
      </c>
      <c r="O162" s="3" t="s">
        <v>13</v>
      </c>
      <c r="P162" s="3" t="s">
        <v>21</v>
      </c>
    </row>
    <row r="163" spans="1:16" x14ac:dyDescent="0.3">
      <c r="A163" s="4">
        <v>46053</v>
      </c>
      <c r="B163" s="3" t="s">
        <v>411</v>
      </c>
      <c r="C163" s="3" t="s">
        <v>404</v>
      </c>
      <c r="D163" s="3" t="s">
        <v>406</v>
      </c>
      <c r="E163" s="3">
        <v>27</v>
      </c>
      <c r="F163" s="3">
        <v>0</v>
      </c>
      <c r="G163" s="6">
        <v>0.73</v>
      </c>
      <c r="H163" s="3">
        <v>15.1</v>
      </c>
      <c r="I163" s="3">
        <v>31</v>
      </c>
      <c r="J163" s="3">
        <v>147</v>
      </c>
      <c r="K163" s="5">
        <v>4</v>
      </c>
      <c r="L163" s="3">
        <v>53</v>
      </c>
      <c r="M163" s="3">
        <v>1</v>
      </c>
      <c r="N163" s="6">
        <v>0.74</v>
      </c>
      <c r="O163" s="3" t="s">
        <v>13</v>
      </c>
      <c r="P163" s="3" t="s">
        <v>12</v>
      </c>
    </row>
    <row r="164" spans="1:16" x14ac:dyDescent="0.3">
      <c r="A164" s="4">
        <v>46054</v>
      </c>
      <c r="B164" s="3" t="s">
        <v>412</v>
      </c>
      <c r="C164" s="3" t="s">
        <v>398</v>
      </c>
      <c r="D164" s="3" t="s">
        <v>399</v>
      </c>
      <c r="E164" s="3">
        <v>22</v>
      </c>
      <c r="F164" s="3">
        <v>1</v>
      </c>
      <c r="G164" s="6">
        <v>0.85</v>
      </c>
      <c r="H164" s="3">
        <v>13.4</v>
      </c>
      <c r="I164" s="3">
        <v>373</v>
      </c>
      <c r="J164" s="3">
        <v>135</v>
      </c>
      <c r="K164" s="5">
        <v>3038</v>
      </c>
      <c r="L164" s="3">
        <v>107</v>
      </c>
      <c r="M164" s="3">
        <v>3</v>
      </c>
      <c r="N164" s="6">
        <v>0.68</v>
      </c>
      <c r="O164" s="3" t="s">
        <v>13</v>
      </c>
      <c r="P164" s="3" t="s">
        <v>21</v>
      </c>
    </row>
    <row r="165" spans="1:16" x14ac:dyDescent="0.3">
      <c r="A165" s="4">
        <v>46054</v>
      </c>
      <c r="B165" s="3" t="s">
        <v>412</v>
      </c>
      <c r="C165" s="3" t="s">
        <v>398</v>
      </c>
      <c r="D165" s="3" t="s">
        <v>400</v>
      </c>
      <c r="E165" s="3">
        <v>34</v>
      </c>
      <c r="F165" s="3">
        <v>2</v>
      </c>
      <c r="G165" s="6">
        <v>0.78</v>
      </c>
      <c r="H165" s="3">
        <v>15.4</v>
      </c>
      <c r="I165" s="3">
        <v>404</v>
      </c>
      <c r="J165" s="3">
        <v>150</v>
      </c>
      <c r="K165" s="5">
        <v>3729</v>
      </c>
      <c r="L165" s="3">
        <v>107</v>
      </c>
      <c r="M165" s="3">
        <v>3</v>
      </c>
      <c r="N165" s="6">
        <v>0.63</v>
      </c>
      <c r="O165" s="3" t="s">
        <v>26</v>
      </c>
      <c r="P165" s="3" t="s">
        <v>25</v>
      </c>
    </row>
    <row r="166" spans="1:16" x14ac:dyDescent="0.3">
      <c r="A166" s="4">
        <v>46054</v>
      </c>
      <c r="B166" s="3" t="s">
        <v>412</v>
      </c>
      <c r="C166" s="3" t="s">
        <v>401</v>
      </c>
      <c r="D166" s="3" t="s">
        <v>402</v>
      </c>
      <c r="E166" s="3">
        <v>33</v>
      </c>
      <c r="F166" s="3">
        <v>1</v>
      </c>
      <c r="G166" s="6">
        <v>0.9</v>
      </c>
      <c r="H166" s="3">
        <v>16.5</v>
      </c>
      <c r="I166" s="3">
        <v>352</v>
      </c>
      <c r="J166" s="3">
        <v>97</v>
      </c>
      <c r="K166" s="5">
        <v>2246</v>
      </c>
      <c r="L166" s="3">
        <v>96</v>
      </c>
      <c r="M166" s="3">
        <v>5</v>
      </c>
      <c r="N166" s="6">
        <v>0.74</v>
      </c>
      <c r="O166" s="3" t="s">
        <v>18</v>
      </c>
      <c r="P166" s="3" t="s">
        <v>17</v>
      </c>
    </row>
    <row r="167" spans="1:16" x14ac:dyDescent="0.3">
      <c r="A167" s="4">
        <v>46054</v>
      </c>
      <c r="B167" s="3" t="s">
        <v>412</v>
      </c>
      <c r="C167" s="3" t="s">
        <v>401</v>
      </c>
      <c r="D167" s="3" t="s">
        <v>403</v>
      </c>
      <c r="E167" s="3">
        <v>24</v>
      </c>
      <c r="F167" s="3">
        <v>3</v>
      </c>
      <c r="G167" s="6">
        <v>0.87</v>
      </c>
      <c r="H167" s="3">
        <v>17.7</v>
      </c>
      <c r="I167" s="3">
        <v>117</v>
      </c>
      <c r="J167" s="3">
        <v>145</v>
      </c>
      <c r="K167" s="5">
        <v>1550</v>
      </c>
      <c r="L167" s="3">
        <v>8</v>
      </c>
      <c r="M167" s="3">
        <v>2</v>
      </c>
      <c r="N167" s="6">
        <v>0.68</v>
      </c>
      <c r="O167" s="3" t="s">
        <v>26</v>
      </c>
      <c r="P167" s="3" t="s">
        <v>25</v>
      </c>
    </row>
    <row r="168" spans="1:16" x14ac:dyDescent="0.3">
      <c r="A168" s="4">
        <v>46054</v>
      </c>
      <c r="B168" s="3" t="s">
        <v>412</v>
      </c>
      <c r="C168" s="3" t="s">
        <v>404</v>
      </c>
      <c r="D168" s="3" t="s">
        <v>405</v>
      </c>
      <c r="E168" s="3">
        <v>33</v>
      </c>
      <c r="F168" s="3">
        <v>0</v>
      </c>
      <c r="G168" s="6">
        <v>0.82</v>
      </c>
      <c r="H168" s="3">
        <v>16.899999999999999</v>
      </c>
      <c r="I168" s="3">
        <v>346</v>
      </c>
      <c r="J168" s="3">
        <v>10</v>
      </c>
      <c r="K168" s="5">
        <v>1203</v>
      </c>
      <c r="L168" s="3">
        <v>112</v>
      </c>
      <c r="M168" s="3">
        <v>2</v>
      </c>
      <c r="N168" s="6">
        <v>0.87</v>
      </c>
      <c r="O168" s="3" t="s">
        <v>13</v>
      </c>
      <c r="P168" s="3" t="s">
        <v>12</v>
      </c>
    </row>
    <row r="169" spans="1:16" x14ac:dyDescent="0.3">
      <c r="A169" s="4">
        <v>46054</v>
      </c>
      <c r="B169" s="3" t="s">
        <v>412</v>
      </c>
      <c r="C169" s="3" t="s">
        <v>404</v>
      </c>
      <c r="D169" s="3" t="s">
        <v>406</v>
      </c>
      <c r="E169" s="3">
        <v>34</v>
      </c>
      <c r="F169" s="3">
        <v>0</v>
      </c>
      <c r="G169" s="6">
        <v>0.73</v>
      </c>
      <c r="H169" s="3">
        <v>17.3</v>
      </c>
      <c r="I169" s="3">
        <v>322</v>
      </c>
      <c r="J169" s="3">
        <v>101</v>
      </c>
      <c r="K169" s="5">
        <v>885</v>
      </c>
      <c r="L169" s="3">
        <v>77</v>
      </c>
      <c r="M169" s="3">
        <v>4</v>
      </c>
      <c r="N169" s="6">
        <v>0.66</v>
      </c>
      <c r="O169" s="3" t="s">
        <v>37</v>
      </c>
      <c r="P169" s="3" t="s">
        <v>40</v>
      </c>
    </row>
    <row r="170" spans="1:16" x14ac:dyDescent="0.3">
      <c r="A170" s="4">
        <v>46055</v>
      </c>
      <c r="B170" s="3" t="s">
        <v>397</v>
      </c>
      <c r="C170" s="3" t="s">
        <v>398</v>
      </c>
      <c r="D170" s="3" t="s">
        <v>399</v>
      </c>
      <c r="E170" s="3">
        <v>28</v>
      </c>
      <c r="F170" s="3">
        <v>0</v>
      </c>
      <c r="G170" s="6">
        <v>0.77</v>
      </c>
      <c r="H170" s="3">
        <v>15.6</v>
      </c>
      <c r="I170" s="3">
        <v>427</v>
      </c>
      <c r="J170" s="3">
        <v>115</v>
      </c>
      <c r="K170" s="5">
        <v>1494</v>
      </c>
      <c r="L170" s="3">
        <v>8</v>
      </c>
      <c r="M170" s="3">
        <v>6</v>
      </c>
      <c r="N170" s="6">
        <v>0.85</v>
      </c>
      <c r="O170" s="3" t="s">
        <v>13</v>
      </c>
      <c r="P170" s="3" t="s">
        <v>12</v>
      </c>
    </row>
    <row r="171" spans="1:16" x14ac:dyDescent="0.3">
      <c r="A171" s="4">
        <v>46055</v>
      </c>
      <c r="B171" s="3" t="s">
        <v>397</v>
      </c>
      <c r="C171" s="3" t="s">
        <v>398</v>
      </c>
      <c r="D171" s="3" t="s">
        <v>400</v>
      </c>
      <c r="E171" s="3">
        <v>31</v>
      </c>
      <c r="F171" s="3">
        <v>3</v>
      </c>
      <c r="G171" s="6">
        <v>0.86</v>
      </c>
      <c r="H171" s="3">
        <v>10.8</v>
      </c>
      <c r="I171" s="3">
        <v>256</v>
      </c>
      <c r="J171" s="3">
        <v>121</v>
      </c>
      <c r="K171" s="5">
        <v>3506</v>
      </c>
      <c r="L171" s="3">
        <v>21</v>
      </c>
      <c r="M171" s="3">
        <v>4</v>
      </c>
      <c r="N171" s="6">
        <v>0.89</v>
      </c>
      <c r="O171" s="3" t="s">
        <v>13</v>
      </c>
      <c r="P171" s="3" t="s">
        <v>21</v>
      </c>
    </row>
    <row r="172" spans="1:16" x14ac:dyDescent="0.3">
      <c r="A172" s="4">
        <v>46055</v>
      </c>
      <c r="B172" s="3" t="s">
        <v>397</v>
      </c>
      <c r="C172" s="3" t="s">
        <v>401</v>
      </c>
      <c r="D172" s="3" t="s">
        <v>402</v>
      </c>
      <c r="E172" s="3">
        <v>29</v>
      </c>
      <c r="F172" s="3">
        <v>1</v>
      </c>
      <c r="G172" s="6">
        <v>0.8</v>
      </c>
      <c r="H172" s="3">
        <v>11.5</v>
      </c>
      <c r="I172" s="3">
        <v>93</v>
      </c>
      <c r="J172" s="3">
        <v>64</v>
      </c>
      <c r="K172" s="5">
        <v>1611</v>
      </c>
      <c r="L172" s="3">
        <v>6</v>
      </c>
      <c r="M172" s="3">
        <v>6</v>
      </c>
      <c r="N172" s="6">
        <v>0.82</v>
      </c>
      <c r="O172" s="3" t="s">
        <v>13</v>
      </c>
      <c r="P172" s="3" t="s">
        <v>12</v>
      </c>
    </row>
    <row r="173" spans="1:16" x14ac:dyDescent="0.3">
      <c r="A173" s="4">
        <v>46055</v>
      </c>
      <c r="B173" s="3" t="s">
        <v>397</v>
      </c>
      <c r="C173" s="3" t="s">
        <v>401</v>
      </c>
      <c r="D173" s="3" t="s">
        <v>403</v>
      </c>
      <c r="E173" s="3">
        <v>30</v>
      </c>
      <c r="F173" s="3">
        <v>1</v>
      </c>
      <c r="G173" s="6">
        <v>0.75</v>
      </c>
      <c r="H173" s="3">
        <v>17</v>
      </c>
      <c r="I173" s="3">
        <v>247</v>
      </c>
      <c r="J173" s="3">
        <v>135</v>
      </c>
      <c r="K173" s="5">
        <v>1451</v>
      </c>
      <c r="L173" s="3">
        <v>112</v>
      </c>
      <c r="M173" s="3">
        <v>7</v>
      </c>
      <c r="N173" s="6">
        <v>0.72</v>
      </c>
      <c r="O173" s="3" t="s">
        <v>29</v>
      </c>
      <c r="P173" s="3" t="s">
        <v>66</v>
      </c>
    </row>
    <row r="174" spans="1:16" x14ac:dyDescent="0.3">
      <c r="A174" s="4">
        <v>46055</v>
      </c>
      <c r="B174" s="3" t="s">
        <v>397</v>
      </c>
      <c r="C174" s="3" t="s">
        <v>404</v>
      </c>
      <c r="D174" s="3" t="s">
        <v>405</v>
      </c>
      <c r="E174" s="3">
        <v>24</v>
      </c>
      <c r="F174" s="3">
        <v>0</v>
      </c>
      <c r="G174" s="6">
        <v>0.73</v>
      </c>
      <c r="H174" s="3">
        <v>17.399999999999999</v>
      </c>
      <c r="I174" s="3">
        <v>337</v>
      </c>
      <c r="J174" s="3">
        <v>113</v>
      </c>
      <c r="K174" s="5">
        <v>3860</v>
      </c>
      <c r="L174" s="3">
        <v>27</v>
      </c>
      <c r="M174" s="3">
        <v>5</v>
      </c>
      <c r="N174" s="6">
        <v>0.78</v>
      </c>
      <c r="O174" s="3" t="s">
        <v>18</v>
      </c>
      <c r="P174" s="3" t="s">
        <v>55</v>
      </c>
    </row>
    <row r="175" spans="1:16" x14ac:dyDescent="0.3">
      <c r="A175" s="4">
        <v>46055</v>
      </c>
      <c r="B175" s="3" t="s">
        <v>397</v>
      </c>
      <c r="C175" s="3" t="s">
        <v>404</v>
      </c>
      <c r="D175" s="3" t="s">
        <v>406</v>
      </c>
      <c r="E175" s="3">
        <v>25</v>
      </c>
      <c r="F175" s="3">
        <v>0</v>
      </c>
      <c r="G175" s="6">
        <v>0.86</v>
      </c>
      <c r="H175" s="3">
        <v>18.2</v>
      </c>
      <c r="I175" s="3">
        <v>153</v>
      </c>
      <c r="J175" s="3">
        <v>88</v>
      </c>
      <c r="K175" s="5">
        <v>580</v>
      </c>
      <c r="L175" s="3">
        <v>85</v>
      </c>
      <c r="M175" s="3">
        <v>1</v>
      </c>
      <c r="N175" s="6">
        <v>0.91</v>
      </c>
      <c r="O175" s="3" t="s">
        <v>26</v>
      </c>
      <c r="P175" s="3" t="s">
        <v>25</v>
      </c>
    </row>
    <row r="176" spans="1:16" x14ac:dyDescent="0.3">
      <c r="A176" s="4">
        <v>46056</v>
      </c>
      <c r="B176" s="3" t="s">
        <v>407</v>
      </c>
      <c r="C176" s="3" t="s">
        <v>398</v>
      </c>
      <c r="D176" s="3" t="s">
        <v>399</v>
      </c>
      <c r="E176" s="3">
        <v>34</v>
      </c>
      <c r="F176" s="3">
        <v>1</v>
      </c>
      <c r="G176" s="6">
        <v>0.82</v>
      </c>
      <c r="H176" s="3">
        <v>9.9</v>
      </c>
      <c r="I176" s="3">
        <v>198</v>
      </c>
      <c r="J176" s="3">
        <v>14</v>
      </c>
      <c r="K176" s="5">
        <v>2136</v>
      </c>
      <c r="L176" s="3">
        <v>83</v>
      </c>
      <c r="M176" s="3">
        <v>3</v>
      </c>
      <c r="N176" s="6">
        <v>0.74</v>
      </c>
      <c r="O176" s="3" t="s">
        <v>13</v>
      </c>
      <c r="P176" s="3" t="s">
        <v>21</v>
      </c>
    </row>
    <row r="177" spans="1:16" x14ac:dyDescent="0.3">
      <c r="A177" s="4">
        <v>46056</v>
      </c>
      <c r="B177" s="3" t="s">
        <v>407</v>
      </c>
      <c r="C177" s="3" t="s">
        <v>398</v>
      </c>
      <c r="D177" s="3" t="s">
        <v>400</v>
      </c>
      <c r="E177" s="3">
        <v>37</v>
      </c>
      <c r="F177" s="3">
        <v>2</v>
      </c>
      <c r="G177" s="6">
        <v>0.85</v>
      </c>
      <c r="H177" s="3">
        <v>18.399999999999999</v>
      </c>
      <c r="I177" s="3">
        <v>122</v>
      </c>
      <c r="J177" s="3">
        <v>62</v>
      </c>
      <c r="K177" s="5">
        <v>2573</v>
      </c>
      <c r="L177" s="3">
        <v>26</v>
      </c>
      <c r="M177" s="3">
        <v>1</v>
      </c>
      <c r="N177" s="6">
        <v>0.66</v>
      </c>
      <c r="O177" s="3" t="s">
        <v>18</v>
      </c>
      <c r="P177" s="3" t="s">
        <v>55</v>
      </c>
    </row>
    <row r="178" spans="1:16" x14ac:dyDescent="0.3">
      <c r="A178" s="4">
        <v>46056</v>
      </c>
      <c r="B178" s="3" t="s">
        <v>407</v>
      </c>
      <c r="C178" s="3" t="s">
        <v>401</v>
      </c>
      <c r="D178" s="3" t="s">
        <v>402</v>
      </c>
      <c r="E178" s="3">
        <v>31</v>
      </c>
      <c r="F178" s="3">
        <v>3</v>
      </c>
      <c r="G178" s="6">
        <v>0.89</v>
      </c>
      <c r="H178" s="3">
        <v>11.6</v>
      </c>
      <c r="I178" s="3">
        <v>39</v>
      </c>
      <c r="J178" s="3">
        <v>21</v>
      </c>
      <c r="K178" s="5">
        <v>2789</v>
      </c>
      <c r="L178" s="3">
        <v>18</v>
      </c>
      <c r="M178" s="3">
        <v>2</v>
      </c>
      <c r="N178" s="6">
        <v>0.84</v>
      </c>
      <c r="O178" s="3" t="s">
        <v>29</v>
      </c>
      <c r="P178" s="3" t="s">
        <v>28</v>
      </c>
    </row>
    <row r="179" spans="1:16" x14ac:dyDescent="0.3">
      <c r="A179" s="4">
        <v>46056</v>
      </c>
      <c r="B179" s="3" t="s">
        <v>407</v>
      </c>
      <c r="C179" s="3" t="s">
        <v>401</v>
      </c>
      <c r="D179" s="3" t="s">
        <v>403</v>
      </c>
      <c r="E179" s="3">
        <v>25</v>
      </c>
      <c r="F179" s="3">
        <v>0</v>
      </c>
      <c r="G179" s="6">
        <v>0.78</v>
      </c>
      <c r="H179" s="3">
        <v>8.9</v>
      </c>
      <c r="I179" s="3">
        <v>442</v>
      </c>
      <c r="J179" s="3">
        <v>113</v>
      </c>
      <c r="K179" s="5">
        <v>841</v>
      </c>
      <c r="L179" s="3">
        <v>69</v>
      </c>
      <c r="M179" s="3">
        <v>1</v>
      </c>
      <c r="N179" s="6">
        <v>0.73</v>
      </c>
      <c r="O179" s="3" t="s">
        <v>37</v>
      </c>
      <c r="P179" s="3" t="s">
        <v>36</v>
      </c>
    </row>
    <row r="180" spans="1:16" x14ac:dyDescent="0.3">
      <c r="A180" s="4">
        <v>46056</v>
      </c>
      <c r="B180" s="3" t="s">
        <v>407</v>
      </c>
      <c r="C180" s="3" t="s">
        <v>404</v>
      </c>
      <c r="D180" s="3" t="s">
        <v>405</v>
      </c>
      <c r="E180" s="3">
        <v>28</v>
      </c>
      <c r="F180" s="3">
        <v>2</v>
      </c>
      <c r="G180" s="6">
        <v>0.85</v>
      </c>
      <c r="H180" s="3">
        <v>11.8</v>
      </c>
      <c r="I180" s="3">
        <v>263</v>
      </c>
      <c r="J180" s="3">
        <v>2</v>
      </c>
      <c r="K180" s="5">
        <v>1007</v>
      </c>
      <c r="L180" s="3">
        <v>72</v>
      </c>
      <c r="M180" s="3">
        <v>7</v>
      </c>
      <c r="N180" s="6">
        <v>0.73</v>
      </c>
      <c r="O180" s="3" t="s">
        <v>26</v>
      </c>
      <c r="P180" s="3" t="s">
        <v>25</v>
      </c>
    </row>
    <row r="181" spans="1:16" x14ac:dyDescent="0.3">
      <c r="A181" s="4">
        <v>46056</v>
      </c>
      <c r="B181" s="3" t="s">
        <v>407</v>
      </c>
      <c r="C181" s="3" t="s">
        <v>404</v>
      </c>
      <c r="D181" s="3" t="s">
        <v>406</v>
      </c>
      <c r="E181" s="3">
        <v>35</v>
      </c>
      <c r="F181" s="3">
        <v>0</v>
      </c>
      <c r="G181" s="6">
        <v>0.82</v>
      </c>
      <c r="H181" s="3">
        <v>14.2</v>
      </c>
      <c r="I181" s="3">
        <v>242</v>
      </c>
      <c r="J181" s="3">
        <v>121</v>
      </c>
      <c r="K181" s="5">
        <v>3470</v>
      </c>
      <c r="L181" s="3">
        <v>44</v>
      </c>
      <c r="M181" s="3">
        <v>7</v>
      </c>
      <c r="N181" s="6">
        <v>0.71</v>
      </c>
      <c r="O181" s="3" t="s">
        <v>13</v>
      </c>
      <c r="P181" s="3" t="s">
        <v>21</v>
      </c>
    </row>
    <row r="182" spans="1:16" x14ac:dyDescent="0.3">
      <c r="A182" s="4">
        <v>46057</v>
      </c>
      <c r="B182" s="3" t="s">
        <v>408</v>
      </c>
      <c r="C182" s="3" t="s">
        <v>398</v>
      </c>
      <c r="D182" s="3" t="s">
        <v>399</v>
      </c>
      <c r="E182" s="3">
        <v>21</v>
      </c>
      <c r="F182" s="3">
        <v>0</v>
      </c>
      <c r="G182" s="6">
        <v>0.9</v>
      </c>
      <c r="H182" s="3">
        <v>15.9</v>
      </c>
      <c r="I182" s="3">
        <v>64</v>
      </c>
      <c r="J182" s="3">
        <v>130</v>
      </c>
      <c r="K182" s="5">
        <v>2965</v>
      </c>
      <c r="L182" s="3">
        <v>62</v>
      </c>
      <c r="M182" s="3">
        <v>1</v>
      </c>
      <c r="N182" s="6">
        <v>0.74</v>
      </c>
      <c r="O182" s="3" t="s">
        <v>18</v>
      </c>
      <c r="P182" s="3" t="s">
        <v>17</v>
      </c>
    </row>
    <row r="183" spans="1:16" x14ac:dyDescent="0.3">
      <c r="A183" s="4">
        <v>46057</v>
      </c>
      <c r="B183" s="3" t="s">
        <v>408</v>
      </c>
      <c r="C183" s="3" t="s">
        <v>398</v>
      </c>
      <c r="D183" s="3" t="s">
        <v>400</v>
      </c>
      <c r="E183" s="3">
        <v>22</v>
      </c>
      <c r="F183" s="3">
        <v>3</v>
      </c>
      <c r="G183" s="6">
        <v>0.75</v>
      </c>
      <c r="H183" s="3">
        <v>13.9</v>
      </c>
      <c r="I183" s="3">
        <v>211</v>
      </c>
      <c r="J183" s="3">
        <v>26</v>
      </c>
      <c r="K183" s="5">
        <v>3679</v>
      </c>
      <c r="L183" s="3">
        <v>5</v>
      </c>
      <c r="M183" s="3">
        <v>0</v>
      </c>
      <c r="N183" s="6">
        <v>0.68</v>
      </c>
      <c r="O183" s="3" t="s">
        <v>37</v>
      </c>
      <c r="P183" s="3" t="s">
        <v>40</v>
      </c>
    </row>
    <row r="184" spans="1:16" x14ac:dyDescent="0.3">
      <c r="A184" s="4">
        <v>46057</v>
      </c>
      <c r="B184" s="3" t="s">
        <v>408</v>
      </c>
      <c r="C184" s="3" t="s">
        <v>401</v>
      </c>
      <c r="D184" s="3" t="s">
        <v>402</v>
      </c>
      <c r="E184" s="3">
        <v>29</v>
      </c>
      <c r="F184" s="3">
        <v>1</v>
      </c>
      <c r="G184" s="6">
        <v>0.82</v>
      </c>
      <c r="H184" s="3">
        <v>13.5</v>
      </c>
      <c r="I184" s="3">
        <v>341</v>
      </c>
      <c r="J184" s="3">
        <v>137</v>
      </c>
      <c r="K184" s="5">
        <v>1693</v>
      </c>
      <c r="L184" s="3">
        <v>14</v>
      </c>
      <c r="M184" s="3">
        <v>6</v>
      </c>
      <c r="N184" s="6">
        <v>0.7</v>
      </c>
      <c r="O184" s="3" t="s">
        <v>18</v>
      </c>
      <c r="P184" s="3" t="s">
        <v>55</v>
      </c>
    </row>
    <row r="185" spans="1:16" x14ac:dyDescent="0.3">
      <c r="A185" s="4">
        <v>46057</v>
      </c>
      <c r="B185" s="3" t="s">
        <v>408</v>
      </c>
      <c r="C185" s="3" t="s">
        <v>401</v>
      </c>
      <c r="D185" s="3" t="s">
        <v>403</v>
      </c>
      <c r="E185" s="3">
        <v>23</v>
      </c>
      <c r="F185" s="3">
        <v>0</v>
      </c>
      <c r="G185" s="6">
        <v>0.8</v>
      </c>
      <c r="H185" s="3">
        <v>18.100000000000001</v>
      </c>
      <c r="I185" s="3">
        <v>446</v>
      </c>
      <c r="J185" s="3">
        <v>87</v>
      </c>
      <c r="K185" s="5">
        <v>4140</v>
      </c>
      <c r="L185" s="3">
        <v>109</v>
      </c>
      <c r="M185" s="3">
        <v>4</v>
      </c>
      <c r="N185" s="6">
        <v>0.69</v>
      </c>
      <c r="O185" s="3" t="s">
        <v>18</v>
      </c>
      <c r="P185" s="3" t="s">
        <v>17</v>
      </c>
    </row>
    <row r="186" spans="1:16" x14ac:dyDescent="0.3">
      <c r="A186" s="4">
        <v>46057</v>
      </c>
      <c r="B186" s="3" t="s">
        <v>408</v>
      </c>
      <c r="C186" s="3" t="s">
        <v>404</v>
      </c>
      <c r="D186" s="3" t="s">
        <v>405</v>
      </c>
      <c r="E186" s="3">
        <v>28</v>
      </c>
      <c r="F186" s="3">
        <v>2</v>
      </c>
      <c r="G186" s="6">
        <v>0.79</v>
      </c>
      <c r="H186" s="3">
        <v>14.3</v>
      </c>
      <c r="I186" s="3">
        <v>106</v>
      </c>
      <c r="J186" s="3">
        <v>150</v>
      </c>
      <c r="K186" s="5">
        <v>742</v>
      </c>
      <c r="L186" s="3">
        <v>63</v>
      </c>
      <c r="M186" s="3">
        <v>7</v>
      </c>
      <c r="N186" s="6">
        <v>0.71</v>
      </c>
      <c r="O186" s="3" t="s">
        <v>13</v>
      </c>
      <c r="P186" s="3" t="s">
        <v>12</v>
      </c>
    </row>
    <row r="187" spans="1:16" x14ac:dyDescent="0.3">
      <c r="A187" s="4">
        <v>46057</v>
      </c>
      <c r="B187" s="3" t="s">
        <v>408</v>
      </c>
      <c r="C187" s="3" t="s">
        <v>404</v>
      </c>
      <c r="D187" s="3" t="s">
        <v>406</v>
      </c>
      <c r="E187" s="3">
        <v>29</v>
      </c>
      <c r="F187" s="3">
        <v>1</v>
      </c>
      <c r="G187" s="6">
        <v>0.74</v>
      </c>
      <c r="H187" s="3">
        <v>17.2</v>
      </c>
      <c r="I187" s="3">
        <v>339</v>
      </c>
      <c r="J187" s="3">
        <v>31</v>
      </c>
      <c r="K187" s="5">
        <v>1908</v>
      </c>
      <c r="L187" s="3">
        <v>109</v>
      </c>
      <c r="M187" s="3">
        <v>1</v>
      </c>
      <c r="N187" s="6">
        <v>0.67</v>
      </c>
      <c r="O187" s="3" t="s">
        <v>13</v>
      </c>
      <c r="P187" s="3" t="s">
        <v>12</v>
      </c>
    </row>
    <row r="188" spans="1:16" x14ac:dyDescent="0.3">
      <c r="A188" s="4">
        <v>46058</v>
      </c>
      <c r="B188" s="3" t="s">
        <v>409</v>
      </c>
      <c r="C188" s="3" t="s">
        <v>398</v>
      </c>
      <c r="D188" s="3" t="s">
        <v>399</v>
      </c>
      <c r="E188" s="3">
        <v>32</v>
      </c>
      <c r="F188" s="3">
        <v>0</v>
      </c>
      <c r="G188" s="6">
        <v>0.8</v>
      </c>
      <c r="H188" s="3">
        <v>10.4</v>
      </c>
      <c r="I188" s="3">
        <v>406</v>
      </c>
      <c r="J188" s="3">
        <v>41</v>
      </c>
      <c r="K188" s="5">
        <v>2970</v>
      </c>
      <c r="L188" s="3">
        <v>3</v>
      </c>
      <c r="M188" s="3">
        <v>0</v>
      </c>
      <c r="N188" s="6">
        <v>0.8</v>
      </c>
      <c r="O188" s="3" t="s">
        <v>29</v>
      </c>
      <c r="P188" s="3" t="s">
        <v>66</v>
      </c>
    </row>
    <row r="189" spans="1:16" x14ac:dyDescent="0.3">
      <c r="A189" s="4">
        <v>46058</v>
      </c>
      <c r="B189" s="3" t="s">
        <v>409</v>
      </c>
      <c r="C189" s="3" t="s">
        <v>398</v>
      </c>
      <c r="D189" s="3" t="s">
        <v>400</v>
      </c>
      <c r="E189" s="3">
        <v>26</v>
      </c>
      <c r="F189" s="3">
        <v>0</v>
      </c>
      <c r="G189" s="6">
        <v>0.82</v>
      </c>
      <c r="H189" s="3">
        <v>18.3</v>
      </c>
      <c r="I189" s="3">
        <v>437</v>
      </c>
      <c r="J189" s="3">
        <v>57</v>
      </c>
      <c r="K189" s="5">
        <v>3662</v>
      </c>
      <c r="L189" s="3">
        <v>99</v>
      </c>
      <c r="M189" s="3">
        <v>2</v>
      </c>
      <c r="N189" s="6">
        <v>0.65</v>
      </c>
      <c r="O189" s="3" t="s">
        <v>13</v>
      </c>
      <c r="P189" s="3" t="s">
        <v>21</v>
      </c>
    </row>
    <row r="190" spans="1:16" x14ac:dyDescent="0.3">
      <c r="A190" s="4">
        <v>46058</v>
      </c>
      <c r="B190" s="3" t="s">
        <v>409</v>
      </c>
      <c r="C190" s="3" t="s">
        <v>401</v>
      </c>
      <c r="D190" s="3" t="s">
        <v>402</v>
      </c>
      <c r="E190" s="3">
        <v>28</v>
      </c>
      <c r="F190" s="3">
        <v>1</v>
      </c>
      <c r="G190" s="6">
        <v>0.85</v>
      </c>
      <c r="H190" s="3">
        <v>16.5</v>
      </c>
      <c r="I190" s="3">
        <v>50</v>
      </c>
      <c r="J190" s="3">
        <v>51</v>
      </c>
      <c r="K190" s="5">
        <v>1769</v>
      </c>
      <c r="L190" s="3">
        <v>38</v>
      </c>
      <c r="M190" s="3">
        <v>3</v>
      </c>
      <c r="N190" s="6">
        <v>0.75</v>
      </c>
      <c r="O190" s="3" t="s">
        <v>29</v>
      </c>
      <c r="P190" s="3" t="s">
        <v>28</v>
      </c>
    </row>
    <row r="191" spans="1:16" x14ac:dyDescent="0.3">
      <c r="A191" s="4">
        <v>46058</v>
      </c>
      <c r="B191" s="3" t="s">
        <v>409</v>
      </c>
      <c r="C191" s="3" t="s">
        <v>401</v>
      </c>
      <c r="D191" s="3" t="s">
        <v>403</v>
      </c>
      <c r="E191" s="3">
        <v>21</v>
      </c>
      <c r="F191" s="3">
        <v>0</v>
      </c>
      <c r="G191" s="6">
        <v>0.75</v>
      </c>
      <c r="H191" s="3">
        <v>13.2</v>
      </c>
      <c r="I191" s="3">
        <v>155</v>
      </c>
      <c r="J191" s="3">
        <v>132</v>
      </c>
      <c r="K191" s="5">
        <v>3869</v>
      </c>
      <c r="L191" s="3">
        <v>62</v>
      </c>
      <c r="M191" s="3">
        <v>0</v>
      </c>
      <c r="N191" s="6">
        <v>0.71</v>
      </c>
      <c r="O191" s="3" t="s">
        <v>37</v>
      </c>
      <c r="P191" s="3" t="s">
        <v>40</v>
      </c>
    </row>
    <row r="192" spans="1:16" x14ac:dyDescent="0.3">
      <c r="A192" s="4">
        <v>46058</v>
      </c>
      <c r="B192" s="3" t="s">
        <v>409</v>
      </c>
      <c r="C192" s="3" t="s">
        <v>404</v>
      </c>
      <c r="D192" s="3" t="s">
        <v>405</v>
      </c>
      <c r="E192" s="3">
        <v>22</v>
      </c>
      <c r="F192" s="3">
        <v>2</v>
      </c>
      <c r="G192" s="6">
        <v>0.86</v>
      </c>
      <c r="H192" s="3">
        <v>15</v>
      </c>
      <c r="I192" s="3">
        <v>254</v>
      </c>
      <c r="J192" s="3">
        <v>18</v>
      </c>
      <c r="K192" s="5">
        <v>2157</v>
      </c>
      <c r="L192" s="3">
        <v>35</v>
      </c>
      <c r="M192" s="3">
        <v>2</v>
      </c>
      <c r="N192" s="6">
        <v>0.74</v>
      </c>
      <c r="O192" s="3" t="s">
        <v>29</v>
      </c>
      <c r="P192" s="3" t="s">
        <v>28</v>
      </c>
    </row>
    <row r="193" spans="1:16" x14ac:dyDescent="0.3">
      <c r="A193" s="4">
        <v>46058</v>
      </c>
      <c r="B193" s="3" t="s">
        <v>409</v>
      </c>
      <c r="C193" s="3" t="s">
        <v>404</v>
      </c>
      <c r="D193" s="3" t="s">
        <v>406</v>
      </c>
      <c r="E193" s="3">
        <v>29</v>
      </c>
      <c r="F193" s="3">
        <v>0</v>
      </c>
      <c r="G193" s="6">
        <v>0.75</v>
      </c>
      <c r="H193" s="3">
        <v>12</v>
      </c>
      <c r="I193" s="3">
        <v>286</v>
      </c>
      <c r="J193" s="3">
        <v>32</v>
      </c>
      <c r="K193" s="5">
        <v>2352</v>
      </c>
      <c r="L193" s="3">
        <v>58</v>
      </c>
      <c r="M193" s="3">
        <v>1</v>
      </c>
      <c r="N193" s="6">
        <v>0.7</v>
      </c>
      <c r="O193" s="3" t="s">
        <v>37</v>
      </c>
      <c r="P193" s="3" t="s">
        <v>36</v>
      </c>
    </row>
    <row r="194" spans="1:16" x14ac:dyDescent="0.3">
      <c r="A194" s="4">
        <v>46059</v>
      </c>
      <c r="B194" s="3" t="s">
        <v>410</v>
      </c>
      <c r="C194" s="3" t="s">
        <v>398</v>
      </c>
      <c r="D194" s="3" t="s">
        <v>399</v>
      </c>
      <c r="E194" s="3">
        <v>34</v>
      </c>
      <c r="F194" s="3">
        <v>3</v>
      </c>
      <c r="G194" s="6">
        <v>0.8</v>
      </c>
      <c r="H194" s="3">
        <v>12.1</v>
      </c>
      <c r="I194" s="3">
        <v>238</v>
      </c>
      <c r="J194" s="3">
        <v>130</v>
      </c>
      <c r="K194" s="5">
        <v>3303</v>
      </c>
      <c r="L194" s="3">
        <v>19</v>
      </c>
      <c r="M194" s="3">
        <v>7</v>
      </c>
      <c r="N194" s="6">
        <v>0.79</v>
      </c>
      <c r="O194" s="3" t="s">
        <v>26</v>
      </c>
      <c r="P194" s="3" t="s">
        <v>25</v>
      </c>
    </row>
    <row r="195" spans="1:16" x14ac:dyDescent="0.3">
      <c r="A195" s="4">
        <v>46059</v>
      </c>
      <c r="B195" s="3" t="s">
        <v>410</v>
      </c>
      <c r="C195" s="3" t="s">
        <v>398</v>
      </c>
      <c r="D195" s="3" t="s">
        <v>400</v>
      </c>
      <c r="E195" s="3">
        <v>28</v>
      </c>
      <c r="F195" s="3">
        <v>1</v>
      </c>
      <c r="G195" s="6">
        <v>0.72</v>
      </c>
      <c r="H195" s="3">
        <v>15</v>
      </c>
      <c r="I195" s="3">
        <v>239</v>
      </c>
      <c r="J195" s="3">
        <v>85</v>
      </c>
      <c r="K195" s="5">
        <v>1343</v>
      </c>
      <c r="L195" s="3">
        <v>14</v>
      </c>
      <c r="M195" s="3">
        <v>5</v>
      </c>
      <c r="N195" s="6">
        <v>0.69</v>
      </c>
      <c r="O195" s="3" t="s">
        <v>37</v>
      </c>
      <c r="P195" s="3" t="s">
        <v>40</v>
      </c>
    </row>
    <row r="196" spans="1:16" x14ac:dyDescent="0.3">
      <c r="A196" s="4">
        <v>46059</v>
      </c>
      <c r="B196" s="3" t="s">
        <v>410</v>
      </c>
      <c r="C196" s="3" t="s">
        <v>401</v>
      </c>
      <c r="D196" s="3" t="s">
        <v>402</v>
      </c>
      <c r="E196" s="3">
        <v>26</v>
      </c>
      <c r="F196" s="3">
        <v>4</v>
      </c>
      <c r="G196" s="6">
        <v>0.77</v>
      </c>
      <c r="H196" s="3">
        <v>11.1</v>
      </c>
      <c r="I196" s="3">
        <v>250</v>
      </c>
      <c r="J196" s="3">
        <v>125</v>
      </c>
      <c r="K196" s="5">
        <v>163</v>
      </c>
      <c r="L196" s="3">
        <v>84</v>
      </c>
      <c r="M196" s="3">
        <v>6</v>
      </c>
      <c r="N196" s="6">
        <v>0.77</v>
      </c>
      <c r="O196" s="3" t="s">
        <v>29</v>
      </c>
      <c r="P196" s="3" t="s">
        <v>66</v>
      </c>
    </row>
    <row r="197" spans="1:16" x14ac:dyDescent="0.3">
      <c r="A197" s="4">
        <v>46059</v>
      </c>
      <c r="B197" s="3" t="s">
        <v>410</v>
      </c>
      <c r="C197" s="3" t="s">
        <v>401</v>
      </c>
      <c r="D197" s="3" t="s">
        <v>403</v>
      </c>
      <c r="E197" s="3">
        <v>29</v>
      </c>
      <c r="F197" s="3">
        <v>0</v>
      </c>
      <c r="G197" s="6">
        <v>0.89</v>
      </c>
      <c r="H197" s="3">
        <v>9.6999999999999993</v>
      </c>
      <c r="I197" s="3">
        <v>98</v>
      </c>
      <c r="J197" s="3">
        <v>66</v>
      </c>
      <c r="K197" s="5">
        <v>3230</v>
      </c>
      <c r="L197" s="3">
        <v>89</v>
      </c>
      <c r="M197" s="3">
        <v>7</v>
      </c>
      <c r="N197" s="6">
        <v>0.84</v>
      </c>
      <c r="O197" s="3" t="s">
        <v>29</v>
      </c>
      <c r="P197" s="3" t="s">
        <v>66</v>
      </c>
    </row>
    <row r="198" spans="1:16" x14ac:dyDescent="0.3">
      <c r="A198" s="4">
        <v>46059</v>
      </c>
      <c r="B198" s="3" t="s">
        <v>410</v>
      </c>
      <c r="C198" s="3" t="s">
        <v>404</v>
      </c>
      <c r="D198" s="3" t="s">
        <v>405</v>
      </c>
      <c r="E198" s="3">
        <v>35</v>
      </c>
      <c r="F198" s="3">
        <v>1</v>
      </c>
      <c r="G198" s="6">
        <v>0.83</v>
      </c>
      <c r="H198" s="3">
        <v>10.7</v>
      </c>
      <c r="I198" s="3">
        <v>329</v>
      </c>
      <c r="J198" s="3">
        <v>84</v>
      </c>
      <c r="K198" s="5">
        <v>2724</v>
      </c>
      <c r="L198" s="3">
        <v>62</v>
      </c>
      <c r="M198" s="3">
        <v>5</v>
      </c>
      <c r="N198" s="6">
        <v>0.67</v>
      </c>
      <c r="O198" s="3" t="s">
        <v>18</v>
      </c>
      <c r="P198" s="3" t="s">
        <v>17</v>
      </c>
    </row>
    <row r="199" spans="1:16" x14ac:dyDescent="0.3">
      <c r="A199" s="4">
        <v>46059</v>
      </c>
      <c r="B199" s="3" t="s">
        <v>410</v>
      </c>
      <c r="C199" s="3" t="s">
        <v>404</v>
      </c>
      <c r="D199" s="3" t="s">
        <v>406</v>
      </c>
      <c r="E199" s="3">
        <v>24</v>
      </c>
      <c r="F199" s="3">
        <v>2</v>
      </c>
      <c r="G199" s="6">
        <v>0.78</v>
      </c>
      <c r="H199" s="3">
        <v>8.1999999999999993</v>
      </c>
      <c r="I199" s="3">
        <v>148</v>
      </c>
      <c r="J199" s="3">
        <v>108</v>
      </c>
      <c r="K199" s="5">
        <v>4222</v>
      </c>
      <c r="L199" s="3">
        <v>82</v>
      </c>
      <c r="M199" s="3">
        <v>0</v>
      </c>
      <c r="N199" s="6">
        <v>0.73</v>
      </c>
      <c r="O199" s="3" t="s">
        <v>18</v>
      </c>
      <c r="P199" s="3" t="s">
        <v>55</v>
      </c>
    </row>
    <row r="200" spans="1:16" x14ac:dyDescent="0.3">
      <c r="A200" s="4">
        <v>46060</v>
      </c>
      <c r="B200" s="3" t="s">
        <v>411</v>
      </c>
      <c r="C200" s="3" t="s">
        <v>398</v>
      </c>
      <c r="D200" s="3" t="s">
        <v>399</v>
      </c>
      <c r="E200" s="3">
        <v>28</v>
      </c>
      <c r="F200" s="3">
        <v>1</v>
      </c>
      <c r="G200" s="6">
        <v>0.84</v>
      </c>
      <c r="H200" s="3">
        <v>9.8000000000000007</v>
      </c>
      <c r="I200" s="3">
        <v>433</v>
      </c>
      <c r="J200" s="3">
        <v>9</v>
      </c>
      <c r="K200" s="5">
        <v>1428</v>
      </c>
      <c r="L200" s="3">
        <v>59</v>
      </c>
      <c r="M200" s="3">
        <v>7</v>
      </c>
      <c r="N200" s="6">
        <v>0.77</v>
      </c>
      <c r="O200" s="3" t="s">
        <v>26</v>
      </c>
      <c r="P200" s="3" t="s">
        <v>25</v>
      </c>
    </row>
    <row r="201" spans="1:16" x14ac:dyDescent="0.3">
      <c r="A201" s="4">
        <v>46060</v>
      </c>
      <c r="B201" s="3" t="s">
        <v>411</v>
      </c>
      <c r="C201" s="3" t="s">
        <v>398</v>
      </c>
      <c r="D201" s="3" t="s">
        <v>400</v>
      </c>
      <c r="E201" s="3">
        <v>26</v>
      </c>
      <c r="F201" s="3">
        <v>1</v>
      </c>
      <c r="G201" s="6">
        <v>0.72</v>
      </c>
      <c r="H201" s="3">
        <v>8.4</v>
      </c>
      <c r="I201" s="3">
        <v>226</v>
      </c>
      <c r="J201" s="3">
        <v>4</v>
      </c>
      <c r="K201" s="5">
        <v>3800</v>
      </c>
      <c r="L201" s="3">
        <v>13</v>
      </c>
      <c r="M201" s="3">
        <v>2</v>
      </c>
      <c r="N201" s="6">
        <v>0.75</v>
      </c>
      <c r="O201" s="3" t="s">
        <v>13</v>
      </c>
      <c r="P201" s="3" t="s">
        <v>12</v>
      </c>
    </row>
    <row r="202" spans="1:16" x14ac:dyDescent="0.3">
      <c r="A202" s="4">
        <v>46060</v>
      </c>
      <c r="B202" s="3" t="s">
        <v>411</v>
      </c>
      <c r="C202" s="3" t="s">
        <v>401</v>
      </c>
      <c r="D202" s="3" t="s">
        <v>402</v>
      </c>
      <c r="E202" s="3">
        <v>33</v>
      </c>
      <c r="F202" s="3">
        <v>0</v>
      </c>
      <c r="G202" s="6">
        <v>0.76</v>
      </c>
      <c r="H202" s="3">
        <v>16.8</v>
      </c>
      <c r="I202" s="3">
        <v>36</v>
      </c>
      <c r="J202" s="3">
        <v>139</v>
      </c>
      <c r="K202" s="5">
        <v>4388</v>
      </c>
      <c r="L202" s="3">
        <v>110</v>
      </c>
      <c r="M202" s="3">
        <v>3</v>
      </c>
      <c r="N202" s="6">
        <v>0.59</v>
      </c>
      <c r="O202" s="3" t="s">
        <v>18</v>
      </c>
      <c r="P202" s="3" t="s">
        <v>17</v>
      </c>
    </row>
    <row r="203" spans="1:16" x14ac:dyDescent="0.3">
      <c r="A203" s="4">
        <v>46060</v>
      </c>
      <c r="B203" s="3" t="s">
        <v>411</v>
      </c>
      <c r="C203" s="3" t="s">
        <v>401</v>
      </c>
      <c r="D203" s="3" t="s">
        <v>403</v>
      </c>
      <c r="E203" s="3">
        <v>31</v>
      </c>
      <c r="F203" s="3">
        <v>2</v>
      </c>
      <c r="G203" s="6">
        <v>0.75</v>
      </c>
      <c r="H203" s="3">
        <v>9</v>
      </c>
      <c r="I203" s="3">
        <v>57</v>
      </c>
      <c r="J203" s="3">
        <v>108</v>
      </c>
      <c r="K203" s="5">
        <v>1858</v>
      </c>
      <c r="L203" s="3">
        <v>38</v>
      </c>
      <c r="M203" s="3">
        <v>1</v>
      </c>
      <c r="N203" s="6">
        <v>0.8</v>
      </c>
      <c r="O203" s="3" t="s">
        <v>26</v>
      </c>
      <c r="P203" s="3" t="s">
        <v>25</v>
      </c>
    </row>
    <row r="204" spans="1:16" x14ac:dyDescent="0.3">
      <c r="A204" s="4">
        <v>46060</v>
      </c>
      <c r="B204" s="3" t="s">
        <v>411</v>
      </c>
      <c r="C204" s="3" t="s">
        <v>404</v>
      </c>
      <c r="D204" s="3" t="s">
        <v>405</v>
      </c>
      <c r="E204" s="3">
        <v>29</v>
      </c>
      <c r="F204" s="3">
        <v>0</v>
      </c>
      <c r="G204" s="6">
        <v>0.8</v>
      </c>
      <c r="H204" s="3">
        <v>17.5</v>
      </c>
      <c r="I204" s="3">
        <v>243</v>
      </c>
      <c r="J204" s="3">
        <v>17</v>
      </c>
      <c r="K204" s="5">
        <v>2653</v>
      </c>
      <c r="L204" s="3">
        <v>13</v>
      </c>
      <c r="M204" s="3">
        <v>3</v>
      </c>
      <c r="N204" s="6">
        <v>0.87</v>
      </c>
      <c r="O204" s="3" t="s">
        <v>13</v>
      </c>
      <c r="P204" s="3" t="s">
        <v>12</v>
      </c>
    </row>
    <row r="205" spans="1:16" x14ac:dyDescent="0.3">
      <c r="A205" s="4">
        <v>46060</v>
      </c>
      <c r="B205" s="3" t="s">
        <v>411</v>
      </c>
      <c r="C205" s="3" t="s">
        <v>404</v>
      </c>
      <c r="D205" s="3" t="s">
        <v>406</v>
      </c>
      <c r="E205" s="3">
        <v>29</v>
      </c>
      <c r="F205" s="3">
        <v>0</v>
      </c>
      <c r="G205" s="6">
        <v>0.86</v>
      </c>
      <c r="H205" s="3">
        <v>12.9</v>
      </c>
      <c r="I205" s="3">
        <v>332</v>
      </c>
      <c r="J205" s="3">
        <v>3</v>
      </c>
      <c r="K205" s="5">
        <v>72</v>
      </c>
      <c r="L205" s="3">
        <v>15</v>
      </c>
      <c r="M205" s="3">
        <v>6</v>
      </c>
      <c r="N205" s="6">
        <v>0.8</v>
      </c>
      <c r="O205" s="3" t="s">
        <v>13</v>
      </c>
      <c r="P205" s="3" t="s">
        <v>12</v>
      </c>
    </row>
    <row r="206" spans="1:16" x14ac:dyDescent="0.3">
      <c r="A206" s="4">
        <v>46061</v>
      </c>
      <c r="B206" s="3" t="s">
        <v>412</v>
      </c>
      <c r="C206" s="3" t="s">
        <v>398</v>
      </c>
      <c r="D206" s="3" t="s">
        <v>399</v>
      </c>
      <c r="E206" s="3">
        <v>20</v>
      </c>
      <c r="F206" s="3">
        <v>0</v>
      </c>
      <c r="G206" s="6">
        <v>0.82</v>
      </c>
      <c r="H206" s="3">
        <v>13.7</v>
      </c>
      <c r="I206" s="3">
        <v>376</v>
      </c>
      <c r="J206" s="3">
        <v>54</v>
      </c>
      <c r="K206" s="5">
        <v>2498</v>
      </c>
      <c r="L206" s="3">
        <v>48</v>
      </c>
      <c r="M206" s="3">
        <v>3</v>
      </c>
      <c r="N206" s="6">
        <v>0.85</v>
      </c>
      <c r="O206" s="3" t="s">
        <v>18</v>
      </c>
      <c r="P206" s="3" t="s">
        <v>17</v>
      </c>
    </row>
    <row r="207" spans="1:16" x14ac:dyDescent="0.3">
      <c r="A207" s="4">
        <v>46061</v>
      </c>
      <c r="B207" s="3" t="s">
        <v>412</v>
      </c>
      <c r="C207" s="3" t="s">
        <v>398</v>
      </c>
      <c r="D207" s="3" t="s">
        <v>400</v>
      </c>
      <c r="E207" s="3">
        <v>23</v>
      </c>
      <c r="F207" s="3">
        <v>2</v>
      </c>
      <c r="G207" s="6">
        <v>0.87</v>
      </c>
      <c r="H207" s="3">
        <v>12.1</v>
      </c>
      <c r="I207" s="3">
        <v>112</v>
      </c>
      <c r="J207" s="3">
        <v>138</v>
      </c>
      <c r="K207" s="5">
        <v>2385</v>
      </c>
      <c r="L207" s="3">
        <v>8</v>
      </c>
      <c r="M207" s="3">
        <v>2</v>
      </c>
      <c r="N207" s="6">
        <v>0.8</v>
      </c>
      <c r="O207" s="3" t="s">
        <v>29</v>
      </c>
      <c r="P207" s="3" t="s">
        <v>28</v>
      </c>
    </row>
    <row r="208" spans="1:16" x14ac:dyDescent="0.3">
      <c r="A208" s="4">
        <v>46061</v>
      </c>
      <c r="B208" s="3" t="s">
        <v>412</v>
      </c>
      <c r="C208" s="3" t="s">
        <v>401</v>
      </c>
      <c r="D208" s="3" t="s">
        <v>402</v>
      </c>
      <c r="E208" s="3">
        <v>22</v>
      </c>
      <c r="F208" s="3">
        <v>0</v>
      </c>
      <c r="G208" s="6">
        <v>0.88</v>
      </c>
      <c r="H208" s="3">
        <v>13.3</v>
      </c>
      <c r="I208" s="3">
        <v>141</v>
      </c>
      <c r="J208" s="3">
        <v>120</v>
      </c>
      <c r="K208" s="5">
        <v>2851</v>
      </c>
      <c r="L208" s="3">
        <v>12</v>
      </c>
      <c r="M208" s="3">
        <v>0</v>
      </c>
      <c r="N208" s="6">
        <v>0.92</v>
      </c>
      <c r="O208" s="3" t="s">
        <v>26</v>
      </c>
      <c r="P208" s="3" t="s">
        <v>25</v>
      </c>
    </row>
    <row r="209" spans="1:16" x14ac:dyDescent="0.3">
      <c r="A209" s="4">
        <v>46061</v>
      </c>
      <c r="B209" s="3" t="s">
        <v>412</v>
      </c>
      <c r="C209" s="3" t="s">
        <v>401</v>
      </c>
      <c r="D209" s="3" t="s">
        <v>403</v>
      </c>
      <c r="E209" s="3">
        <v>20</v>
      </c>
      <c r="F209" s="3">
        <v>2</v>
      </c>
      <c r="G209" s="6">
        <v>0.86</v>
      </c>
      <c r="H209" s="3">
        <v>14.7</v>
      </c>
      <c r="I209" s="3">
        <v>333</v>
      </c>
      <c r="J209" s="3">
        <v>124</v>
      </c>
      <c r="K209" s="5">
        <v>1612</v>
      </c>
      <c r="L209" s="3">
        <v>79</v>
      </c>
      <c r="M209" s="3">
        <v>2</v>
      </c>
      <c r="N209" s="6">
        <v>0.86</v>
      </c>
      <c r="O209" s="3" t="s">
        <v>29</v>
      </c>
      <c r="P209" s="3" t="s">
        <v>28</v>
      </c>
    </row>
    <row r="210" spans="1:16" x14ac:dyDescent="0.3">
      <c r="A210" s="4">
        <v>46061</v>
      </c>
      <c r="B210" s="3" t="s">
        <v>412</v>
      </c>
      <c r="C210" s="3" t="s">
        <v>404</v>
      </c>
      <c r="D210" s="3" t="s">
        <v>405</v>
      </c>
      <c r="E210" s="3">
        <v>33</v>
      </c>
      <c r="F210" s="3">
        <v>3</v>
      </c>
      <c r="G210" s="6">
        <v>0.75</v>
      </c>
      <c r="H210" s="3">
        <v>8</v>
      </c>
      <c r="I210" s="3">
        <v>334</v>
      </c>
      <c r="J210" s="3">
        <v>74</v>
      </c>
      <c r="K210" s="5">
        <v>3691</v>
      </c>
      <c r="L210" s="3">
        <v>19</v>
      </c>
      <c r="M210" s="3">
        <v>7</v>
      </c>
      <c r="N210" s="6">
        <v>0.64</v>
      </c>
      <c r="O210" s="3" t="s">
        <v>29</v>
      </c>
      <c r="P210" s="3" t="s">
        <v>28</v>
      </c>
    </row>
    <row r="211" spans="1:16" x14ac:dyDescent="0.3">
      <c r="A211" s="4">
        <v>46061</v>
      </c>
      <c r="B211" s="3" t="s">
        <v>412</v>
      </c>
      <c r="C211" s="3" t="s">
        <v>404</v>
      </c>
      <c r="D211" s="3" t="s">
        <v>406</v>
      </c>
      <c r="E211" s="3">
        <v>38</v>
      </c>
      <c r="F211" s="3">
        <v>2</v>
      </c>
      <c r="G211" s="6">
        <v>0.88</v>
      </c>
      <c r="H211" s="3">
        <v>9.5</v>
      </c>
      <c r="I211" s="3">
        <v>141</v>
      </c>
      <c r="J211" s="3">
        <v>97</v>
      </c>
      <c r="K211" s="5">
        <v>1878</v>
      </c>
      <c r="L211" s="3">
        <v>18</v>
      </c>
      <c r="M211" s="3">
        <v>3</v>
      </c>
      <c r="N211" s="6">
        <v>0.94</v>
      </c>
      <c r="O211" s="3" t="s">
        <v>37</v>
      </c>
      <c r="P211" s="3" t="s">
        <v>40</v>
      </c>
    </row>
    <row r="212" spans="1:16" x14ac:dyDescent="0.3">
      <c r="A212" s="4">
        <v>46062</v>
      </c>
      <c r="B212" s="3" t="s">
        <v>397</v>
      </c>
      <c r="C212" s="3" t="s">
        <v>398</v>
      </c>
      <c r="D212" s="3" t="s">
        <v>399</v>
      </c>
      <c r="E212" s="3">
        <v>26</v>
      </c>
      <c r="F212" s="3">
        <v>1</v>
      </c>
      <c r="G212" s="6">
        <v>0.81</v>
      </c>
      <c r="H212" s="3">
        <v>8.9</v>
      </c>
      <c r="I212" s="3">
        <v>333</v>
      </c>
      <c r="J212" s="3">
        <v>45</v>
      </c>
      <c r="K212" s="5">
        <v>441</v>
      </c>
      <c r="L212" s="3">
        <v>61</v>
      </c>
      <c r="M212" s="3">
        <v>1</v>
      </c>
      <c r="N212" s="6">
        <v>0.65</v>
      </c>
      <c r="O212" s="3" t="s">
        <v>26</v>
      </c>
      <c r="P212" s="3" t="s">
        <v>25</v>
      </c>
    </row>
    <row r="213" spans="1:16" x14ac:dyDescent="0.3">
      <c r="A213" s="4">
        <v>46062</v>
      </c>
      <c r="B213" s="3" t="s">
        <v>397</v>
      </c>
      <c r="C213" s="3" t="s">
        <v>398</v>
      </c>
      <c r="D213" s="3" t="s">
        <v>400</v>
      </c>
      <c r="E213" s="3">
        <v>36</v>
      </c>
      <c r="F213" s="3">
        <v>0</v>
      </c>
      <c r="G213" s="6">
        <v>0.8</v>
      </c>
      <c r="H213" s="3">
        <v>8.4</v>
      </c>
      <c r="I213" s="3">
        <v>269</v>
      </c>
      <c r="J213" s="3">
        <v>77</v>
      </c>
      <c r="K213" s="5">
        <v>1650</v>
      </c>
      <c r="L213" s="3">
        <v>20</v>
      </c>
      <c r="M213" s="3">
        <v>5</v>
      </c>
      <c r="N213" s="6">
        <v>0.8</v>
      </c>
      <c r="O213" s="3" t="s">
        <v>18</v>
      </c>
      <c r="P213" s="3" t="s">
        <v>55</v>
      </c>
    </row>
    <row r="214" spans="1:16" x14ac:dyDescent="0.3">
      <c r="A214" s="4">
        <v>46062</v>
      </c>
      <c r="B214" s="3" t="s">
        <v>397</v>
      </c>
      <c r="C214" s="3" t="s">
        <v>401</v>
      </c>
      <c r="D214" s="3" t="s">
        <v>402</v>
      </c>
      <c r="E214" s="3">
        <v>26</v>
      </c>
      <c r="F214" s="3">
        <v>3</v>
      </c>
      <c r="G214" s="6">
        <v>0.9</v>
      </c>
      <c r="H214" s="3">
        <v>10</v>
      </c>
      <c r="I214" s="3">
        <v>430</v>
      </c>
      <c r="J214" s="3">
        <v>144</v>
      </c>
      <c r="K214" s="5">
        <v>704</v>
      </c>
      <c r="L214" s="3">
        <v>117</v>
      </c>
      <c r="M214" s="3">
        <v>6</v>
      </c>
      <c r="N214" s="6">
        <v>0.86</v>
      </c>
      <c r="O214" s="3" t="s">
        <v>29</v>
      </c>
      <c r="P214" s="3" t="s">
        <v>66</v>
      </c>
    </row>
    <row r="215" spans="1:16" x14ac:dyDescent="0.3">
      <c r="A215" s="4">
        <v>46062</v>
      </c>
      <c r="B215" s="3" t="s">
        <v>397</v>
      </c>
      <c r="C215" s="3" t="s">
        <v>401</v>
      </c>
      <c r="D215" s="3" t="s">
        <v>403</v>
      </c>
      <c r="E215" s="3">
        <v>38</v>
      </c>
      <c r="F215" s="3">
        <v>3</v>
      </c>
      <c r="G215" s="6">
        <v>0.83</v>
      </c>
      <c r="H215" s="3">
        <v>15.3</v>
      </c>
      <c r="I215" s="3">
        <v>344</v>
      </c>
      <c r="J215" s="3">
        <v>126</v>
      </c>
      <c r="K215" s="5">
        <v>569</v>
      </c>
      <c r="L215" s="3">
        <v>96</v>
      </c>
      <c r="M215" s="3">
        <v>1</v>
      </c>
      <c r="N215" s="6">
        <v>0.75</v>
      </c>
      <c r="O215" s="3" t="s">
        <v>26</v>
      </c>
      <c r="P215" s="3" t="s">
        <v>33</v>
      </c>
    </row>
    <row r="216" spans="1:16" x14ac:dyDescent="0.3">
      <c r="A216" s="4">
        <v>46062</v>
      </c>
      <c r="B216" s="3" t="s">
        <v>397</v>
      </c>
      <c r="C216" s="3" t="s">
        <v>404</v>
      </c>
      <c r="D216" s="3" t="s">
        <v>405</v>
      </c>
      <c r="E216" s="3">
        <v>27</v>
      </c>
      <c r="F216" s="3">
        <v>1</v>
      </c>
      <c r="G216" s="6">
        <v>0.78</v>
      </c>
      <c r="H216" s="3">
        <v>13.7</v>
      </c>
      <c r="I216" s="3">
        <v>104</v>
      </c>
      <c r="J216" s="3">
        <v>136</v>
      </c>
      <c r="K216" s="5">
        <v>2644</v>
      </c>
      <c r="L216" s="3">
        <v>62</v>
      </c>
      <c r="M216" s="3">
        <v>2</v>
      </c>
      <c r="N216" s="6">
        <v>0.6</v>
      </c>
      <c r="O216" s="3" t="s">
        <v>29</v>
      </c>
      <c r="P216" s="3" t="s">
        <v>28</v>
      </c>
    </row>
    <row r="217" spans="1:16" x14ac:dyDescent="0.3">
      <c r="A217" s="4">
        <v>46062</v>
      </c>
      <c r="B217" s="3" t="s">
        <v>397</v>
      </c>
      <c r="C217" s="3" t="s">
        <v>404</v>
      </c>
      <c r="D217" s="3" t="s">
        <v>406</v>
      </c>
      <c r="E217" s="3">
        <v>38</v>
      </c>
      <c r="F217" s="3">
        <v>0</v>
      </c>
      <c r="G217" s="6">
        <v>0.83</v>
      </c>
      <c r="H217" s="3">
        <v>8.6999999999999993</v>
      </c>
      <c r="I217" s="3">
        <v>153</v>
      </c>
      <c r="J217" s="3">
        <v>150</v>
      </c>
      <c r="K217" s="5">
        <v>2213</v>
      </c>
      <c r="L217" s="3">
        <v>118</v>
      </c>
      <c r="M217" s="3">
        <v>4</v>
      </c>
      <c r="N217" s="6">
        <v>0.84</v>
      </c>
      <c r="O217" s="3" t="s">
        <v>29</v>
      </c>
      <c r="P217" s="3" t="s">
        <v>66</v>
      </c>
    </row>
    <row r="218" spans="1:16" x14ac:dyDescent="0.3">
      <c r="A218" s="4">
        <v>46063</v>
      </c>
      <c r="B218" s="3" t="s">
        <v>407</v>
      </c>
      <c r="C218" s="3" t="s">
        <v>398</v>
      </c>
      <c r="D218" s="3" t="s">
        <v>399</v>
      </c>
      <c r="E218" s="3">
        <v>30</v>
      </c>
      <c r="F218" s="3">
        <v>1</v>
      </c>
      <c r="G218" s="6">
        <v>0.81</v>
      </c>
      <c r="H218" s="3">
        <v>10.9</v>
      </c>
      <c r="I218" s="3">
        <v>38</v>
      </c>
      <c r="J218" s="3">
        <v>8</v>
      </c>
      <c r="K218" s="5">
        <v>3590</v>
      </c>
      <c r="L218" s="3">
        <v>109</v>
      </c>
      <c r="M218" s="3">
        <v>5</v>
      </c>
      <c r="N218" s="6">
        <v>0.75</v>
      </c>
      <c r="O218" s="3" t="s">
        <v>37</v>
      </c>
      <c r="P218" s="3" t="s">
        <v>40</v>
      </c>
    </row>
    <row r="219" spans="1:16" x14ac:dyDescent="0.3">
      <c r="A219" s="4">
        <v>46063</v>
      </c>
      <c r="B219" s="3" t="s">
        <v>407</v>
      </c>
      <c r="C219" s="3" t="s">
        <v>398</v>
      </c>
      <c r="D219" s="3" t="s">
        <v>400</v>
      </c>
      <c r="E219" s="3">
        <v>33</v>
      </c>
      <c r="F219" s="3">
        <v>0</v>
      </c>
      <c r="G219" s="6">
        <v>0.82</v>
      </c>
      <c r="H219" s="3">
        <v>9.1</v>
      </c>
      <c r="I219" s="3">
        <v>46</v>
      </c>
      <c r="J219" s="3">
        <v>48</v>
      </c>
      <c r="K219" s="5">
        <v>136</v>
      </c>
      <c r="L219" s="3">
        <v>100</v>
      </c>
      <c r="M219" s="3">
        <v>4</v>
      </c>
      <c r="N219" s="6">
        <v>0.83</v>
      </c>
      <c r="O219" s="3" t="s">
        <v>37</v>
      </c>
      <c r="P219" s="3" t="s">
        <v>40</v>
      </c>
    </row>
    <row r="220" spans="1:16" x14ac:dyDescent="0.3">
      <c r="A220" s="4">
        <v>46063</v>
      </c>
      <c r="B220" s="3" t="s">
        <v>407</v>
      </c>
      <c r="C220" s="3" t="s">
        <v>401</v>
      </c>
      <c r="D220" s="3" t="s">
        <v>402</v>
      </c>
      <c r="E220" s="3">
        <v>35</v>
      </c>
      <c r="F220" s="3">
        <v>2</v>
      </c>
      <c r="G220" s="6">
        <v>0.88</v>
      </c>
      <c r="H220" s="3">
        <v>9</v>
      </c>
      <c r="I220" s="3">
        <v>195</v>
      </c>
      <c r="J220" s="3">
        <v>145</v>
      </c>
      <c r="K220" s="5">
        <v>3979</v>
      </c>
      <c r="L220" s="3">
        <v>54</v>
      </c>
      <c r="M220" s="3">
        <v>3</v>
      </c>
      <c r="N220" s="6">
        <v>0.8</v>
      </c>
      <c r="O220" s="3" t="s">
        <v>37</v>
      </c>
      <c r="P220" s="3" t="s">
        <v>36</v>
      </c>
    </row>
    <row r="221" spans="1:16" x14ac:dyDescent="0.3">
      <c r="A221" s="4">
        <v>46063</v>
      </c>
      <c r="B221" s="3" t="s">
        <v>407</v>
      </c>
      <c r="C221" s="3" t="s">
        <v>401</v>
      </c>
      <c r="D221" s="3" t="s">
        <v>403</v>
      </c>
      <c r="E221" s="3">
        <v>35</v>
      </c>
      <c r="F221" s="3">
        <v>2</v>
      </c>
      <c r="G221" s="6">
        <v>0.81</v>
      </c>
      <c r="H221" s="3">
        <v>14.1</v>
      </c>
      <c r="I221" s="3">
        <v>112</v>
      </c>
      <c r="J221" s="3">
        <v>94</v>
      </c>
      <c r="K221" s="5">
        <v>168</v>
      </c>
      <c r="L221" s="3">
        <v>117</v>
      </c>
      <c r="M221" s="3">
        <v>3</v>
      </c>
      <c r="N221" s="6">
        <v>0.69</v>
      </c>
      <c r="O221" s="3" t="s">
        <v>37</v>
      </c>
      <c r="P221" s="3" t="s">
        <v>36</v>
      </c>
    </row>
    <row r="222" spans="1:16" x14ac:dyDescent="0.3">
      <c r="A222" s="4">
        <v>46063</v>
      </c>
      <c r="B222" s="3" t="s">
        <v>407</v>
      </c>
      <c r="C222" s="3" t="s">
        <v>404</v>
      </c>
      <c r="D222" s="3" t="s">
        <v>405</v>
      </c>
      <c r="E222" s="3">
        <v>24</v>
      </c>
      <c r="F222" s="3">
        <v>0</v>
      </c>
      <c r="G222" s="6">
        <v>0.87</v>
      </c>
      <c r="H222" s="3">
        <v>12.7</v>
      </c>
      <c r="I222" s="3">
        <v>418</v>
      </c>
      <c r="J222" s="3">
        <v>131</v>
      </c>
      <c r="K222" s="5">
        <v>4001</v>
      </c>
      <c r="L222" s="3">
        <v>36</v>
      </c>
      <c r="M222" s="3">
        <v>0</v>
      </c>
      <c r="N222" s="6">
        <v>0.95</v>
      </c>
      <c r="O222" s="3" t="s">
        <v>13</v>
      </c>
      <c r="P222" s="3" t="s">
        <v>21</v>
      </c>
    </row>
    <row r="223" spans="1:16" x14ac:dyDescent="0.3">
      <c r="A223" s="4">
        <v>46063</v>
      </c>
      <c r="B223" s="3" t="s">
        <v>407</v>
      </c>
      <c r="C223" s="3" t="s">
        <v>404</v>
      </c>
      <c r="D223" s="3" t="s">
        <v>406</v>
      </c>
      <c r="E223" s="3">
        <v>23</v>
      </c>
      <c r="F223" s="3">
        <v>0</v>
      </c>
      <c r="G223" s="6">
        <v>0.82</v>
      </c>
      <c r="H223" s="3">
        <v>14.1</v>
      </c>
      <c r="I223" s="3">
        <v>277</v>
      </c>
      <c r="J223" s="3">
        <v>97</v>
      </c>
      <c r="K223" s="5">
        <v>3308</v>
      </c>
      <c r="L223" s="3">
        <v>73</v>
      </c>
      <c r="M223" s="3">
        <v>1</v>
      </c>
      <c r="N223" s="6">
        <v>0.74</v>
      </c>
      <c r="O223" s="3" t="s">
        <v>26</v>
      </c>
      <c r="P223" s="3" t="s">
        <v>33</v>
      </c>
    </row>
    <row r="224" spans="1:16" x14ac:dyDescent="0.3">
      <c r="A224" s="4">
        <v>46064</v>
      </c>
      <c r="B224" s="3" t="s">
        <v>408</v>
      </c>
      <c r="C224" s="3" t="s">
        <v>398</v>
      </c>
      <c r="D224" s="3" t="s">
        <v>399</v>
      </c>
      <c r="E224" s="3">
        <v>32</v>
      </c>
      <c r="F224" s="3">
        <v>0</v>
      </c>
      <c r="G224" s="6">
        <v>0.78</v>
      </c>
      <c r="H224" s="3">
        <v>11.2</v>
      </c>
      <c r="I224" s="3">
        <v>224</v>
      </c>
      <c r="J224" s="3">
        <v>6</v>
      </c>
      <c r="K224" s="5">
        <v>2250</v>
      </c>
      <c r="L224" s="3">
        <v>86</v>
      </c>
      <c r="M224" s="3">
        <v>5</v>
      </c>
      <c r="N224" s="6">
        <v>0.6</v>
      </c>
      <c r="O224" s="3" t="s">
        <v>37</v>
      </c>
      <c r="P224" s="3" t="s">
        <v>36</v>
      </c>
    </row>
    <row r="225" spans="1:16" x14ac:dyDescent="0.3">
      <c r="A225" s="4">
        <v>46064</v>
      </c>
      <c r="B225" s="3" t="s">
        <v>408</v>
      </c>
      <c r="C225" s="3" t="s">
        <v>398</v>
      </c>
      <c r="D225" s="3" t="s">
        <v>400</v>
      </c>
      <c r="E225" s="3">
        <v>31</v>
      </c>
      <c r="F225" s="3">
        <v>0</v>
      </c>
      <c r="G225" s="6">
        <v>0.83</v>
      </c>
      <c r="H225" s="3">
        <v>17.899999999999999</v>
      </c>
      <c r="I225" s="3">
        <v>248</v>
      </c>
      <c r="J225" s="3">
        <v>134</v>
      </c>
      <c r="K225" s="5">
        <v>569</v>
      </c>
      <c r="L225" s="3">
        <v>68</v>
      </c>
      <c r="M225" s="3">
        <v>0</v>
      </c>
      <c r="N225" s="6">
        <v>0.66</v>
      </c>
      <c r="O225" s="3" t="s">
        <v>37</v>
      </c>
      <c r="P225" s="3" t="s">
        <v>40</v>
      </c>
    </row>
    <row r="226" spans="1:16" x14ac:dyDescent="0.3">
      <c r="A226" s="4">
        <v>46064</v>
      </c>
      <c r="B226" s="3" t="s">
        <v>408</v>
      </c>
      <c r="C226" s="3" t="s">
        <v>401</v>
      </c>
      <c r="D226" s="3" t="s">
        <v>402</v>
      </c>
      <c r="E226" s="3">
        <v>22</v>
      </c>
      <c r="F226" s="3">
        <v>1</v>
      </c>
      <c r="G226" s="6">
        <v>0.82</v>
      </c>
      <c r="H226" s="3">
        <v>11.6</v>
      </c>
      <c r="I226" s="3">
        <v>345</v>
      </c>
      <c r="J226" s="3">
        <v>125</v>
      </c>
      <c r="K226" s="5">
        <v>1509</v>
      </c>
      <c r="L226" s="3">
        <v>120</v>
      </c>
      <c r="M226" s="3">
        <v>4</v>
      </c>
      <c r="N226" s="6">
        <v>0.62</v>
      </c>
      <c r="O226" s="3" t="s">
        <v>37</v>
      </c>
      <c r="P226" s="3" t="s">
        <v>40</v>
      </c>
    </row>
    <row r="227" spans="1:16" x14ac:dyDescent="0.3">
      <c r="A227" s="4">
        <v>46064</v>
      </c>
      <c r="B227" s="3" t="s">
        <v>408</v>
      </c>
      <c r="C227" s="3" t="s">
        <v>401</v>
      </c>
      <c r="D227" s="3" t="s">
        <v>403</v>
      </c>
      <c r="E227" s="3">
        <v>23</v>
      </c>
      <c r="F227" s="3">
        <v>2</v>
      </c>
      <c r="G227" s="6">
        <v>0.85</v>
      </c>
      <c r="H227" s="3">
        <v>12</v>
      </c>
      <c r="I227" s="3">
        <v>150</v>
      </c>
      <c r="J227" s="3">
        <v>100</v>
      </c>
      <c r="K227" s="5">
        <v>2369</v>
      </c>
      <c r="L227" s="3">
        <v>120</v>
      </c>
      <c r="M227" s="3">
        <v>5</v>
      </c>
      <c r="N227" s="6">
        <v>0.86</v>
      </c>
      <c r="O227" s="3" t="s">
        <v>29</v>
      </c>
      <c r="P227" s="3" t="s">
        <v>66</v>
      </c>
    </row>
    <row r="228" spans="1:16" x14ac:dyDescent="0.3">
      <c r="A228" s="4">
        <v>46064</v>
      </c>
      <c r="B228" s="3" t="s">
        <v>408</v>
      </c>
      <c r="C228" s="3" t="s">
        <v>404</v>
      </c>
      <c r="D228" s="3" t="s">
        <v>405</v>
      </c>
      <c r="E228" s="3">
        <v>37</v>
      </c>
      <c r="F228" s="3">
        <v>2</v>
      </c>
      <c r="G228" s="6">
        <v>0.86</v>
      </c>
      <c r="H228" s="3">
        <v>18.3</v>
      </c>
      <c r="I228" s="3">
        <v>398</v>
      </c>
      <c r="J228" s="3">
        <v>83</v>
      </c>
      <c r="K228" s="5">
        <v>2044</v>
      </c>
      <c r="L228" s="3">
        <v>7</v>
      </c>
      <c r="M228" s="3">
        <v>0</v>
      </c>
      <c r="N228" s="6">
        <v>0.85</v>
      </c>
      <c r="O228" s="3" t="s">
        <v>13</v>
      </c>
      <c r="P228" s="3" t="s">
        <v>21</v>
      </c>
    </row>
    <row r="229" spans="1:16" x14ac:dyDescent="0.3">
      <c r="A229" s="4">
        <v>46064</v>
      </c>
      <c r="B229" s="3" t="s">
        <v>408</v>
      </c>
      <c r="C229" s="3" t="s">
        <v>404</v>
      </c>
      <c r="D229" s="3" t="s">
        <v>406</v>
      </c>
      <c r="E229" s="3">
        <v>22</v>
      </c>
      <c r="F229" s="3">
        <v>0</v>
      </c>
      <c r="G229" s="6">
        <v>0.85</v>
      </c>
      <c r="H229" s="3">
        <v>15.9</v>
      </c>
      <c r="I229" s="3">
        <v>318</v>
      </c>
      <c r="J229" s="3">
        <v>53</v>
      </c>
      <c r="K229" s="5">
        <v>4237</v>
      </c>
      <c r="L229" s="3">
        <v>58</v>
      </c>
      <c r="M229" s="3">
        <v>4</v>
      </c>
      <c r="N229" s="6">
        <v>0.92</v>
      </c>
      <c r="O229" s="3" t="s">
        <v>37</v>
      </c>
      <c r="P229" s="3" t="s">
        <v>36</v>
      </c>
    </row>
    <row r="230" spans="1:16" x14ac:dyDescent="0.3">
      <c r="A230" s="4">
        <v>46065</v>
      </c>
      <c r="B230" s="3" t="s">
        <v>409</v>
      </c>
      <c r="C230" s="3" t="s">
        <v>398</v>
      </c>
      <c r="D230" s="3" t="s">
        <v>399</v>
      </c>
      <c r="E230" s="3">
        <v>32</v>
      </c>
      <c r="F230" s="3">
        <v>0</v>
      </c>
      <c r="G230" s="6">
        <v>0.77</v>
      </c>
      <c r="H230" s="3">
        <v>16.600000000000001</v>
      </c>
      <c r="I230" s="3">
        <v>31</v>
      </c>
      <c r="J230" s="3">
        <v>139</v>
      </c>
      <c r="K230" s="5">
        <v>2977</v>
      </c>
      <c r="L230" s="3">
        <v>107</v>
      </c>
      <c r="M230" s="3">
        <v>2</v>
      </c>
      <c r="N230" s="6">
        <v>0.59</v>
      </c>
      <c r="O230" s="3" t="s">
        <v>26</v>
      </c>
      <c r="P230" s="3" t="s">
        <v>33</v>
      </c>
    </row>
    <row r="231" spans="1:16" x14ac:dyDescent="0.3">
      <c r="A231" s="4">
        <v>46065</v>
      </c>
      <c r="B231" s="3" t="s">
        <v>409</v>
      </c>
      <c r="C231" s="3" t="s">
        <v>398</v>
      </c>
      <c r="D231" s="3" t="s">
        <v>400</v>
      </c>
      <c r="E231" s="3">
        <v>25</v>
      </c>
      <c r="F231" s="3">
        <v>2</v>
      </c>
      <c r="G231" s="6">
        <v>0.73</v>
      </c>
      <c r="H231" s="3">
        <v>17.399999999999999</v>
      </c>
      <c r="I231" s="3">
        <v>258</v>
      </c>
      <c r="J231" s="3">
        <v>50</v>
      </c>
      <c r="K231" s="5">
        <v>2559</v>
      </c>
      <c r="L231" s="3">
        <v>45</v>
      </c>
      <c r="M231" s="3">
        <v>0</v>
      </c>
      <c r="N231" s="6">
        <v>0.56000000000000005</v>
      </c>
      <c r="O231" s="3" t="s">
        <v>29</v>
      </c>
      <c r="P231" s="3" t="s">
        <v>66</v>
      </c>
    </row>
    <row r="232" spans="1:16" x14ac:dyDescent="0.3">
      <c r="A232" s="4">
        <v>46065</v>
      </c>
      <c r="B232" s="3" t="s">
        <v>409</v>
      </c>
      <c r="C232" s="3" t="s">
        <v>401</v>
      </c>
      <c r="D232" s="3" t="s">
        <v>402</v>
      </c>
      <c r="E232" s="3">
        <v>23</v>
      </c>
      <c r="F232" s="3">
        <v>2</v>
      </c>
      <c r="G232" s="6">
        <v>0.85</v>
      </c>
      <c r="H232" s="3">
        <v>16.399999999999999</v>
      </c>
      <c r="I232" s="3">
        <v>31</v>
      </c>
      <c r="J232" s="3">
        <v>29</v>
      </c>
      <c r="K232" s="5">
        <v>3130</v>
      </c>
      <c r="L232" s="3">
        <v>23</v>
      </c>
      <c r="M232" s="3">
        <v>1</v>
      </c>
      <c r="N232" s="6">
        <v>0.86</v>
      </c>
      <c r="O232" s="3" t="s">
        <v>26</v>
      </c>
      <c r="P232" s="3" t="s">
        <v>33</v>
      </c>
    </row>
    <row r="233" spans="1:16" x14ac:dyDescent="0.3">
      <c r="A233" s="4">
        <v>46065</v>
      </c>
      <c r="B233" s="3" t="s">
        <v>409</v>
      </c>
      <c r="C233" s="3" t="s">
        <v>401</v>
      </c>
      <c r="D233" s="3" t="s">
        <v>403</v>
      </c>
      <c r="E233" s="3">
        <v>28</v>
      </c>
      <c r="F233" s="3">
        <v>0</v>
      </c>
      <c r="G233" s="6">
        <v>0.86</v>
      </c>
      <c r="H233" s="3">
        <v>16.7</v>
      </c>
      <c r="I233" s="3">
        <v>397</v>
      </c>
      <c r="J233" s="3">
        <v>98</v>
      </c>
      <c r="K233" s="5">
        <v>3613</v>
      </c>
      <c r="L233" s="3">
        <v>53</v>
      </c>
      <c r="M233" s="3">
        <v>3</v>
      </c>
      <c r="N233" s="6">
        <v>0.89</v>
      </c>
      <c r="O233" s="3" t="s">
        <v>29</v>
      </c>
      <c r="P233" s="3" t="s">
        <v>66</v>
      </c>
    </row>
    <row r="234" spans="1:16" x14ac:dyDescent="0.3">
      <c r="A234" s="4">
        <v>46065</v>
      </c>
      <c r="B234" s="3" t="s">
        <v>409</v>
      </c>
      <c r="C234" s="3" t="s">
        <v>404</v>
      </c>
      <c r="D234" s="3" t="s">
        <v>405</v>
      </c>
      <c r="E234" s="3">
        <v>25</v>
      </c>
      <c r="F234" s="3">
        <v>1</v>
      </c>
      <c r="G234" s="6">
        <v>0.88</v>
      </c>
      <c r="H234" s="3">
        <v>10.9</v>
      </c>
      <c r="I234" s="3">
        <v>376</v>
      </c>
      <c r="J234" s="3">
        <v>120</v>
      </c>
      <c r="K234" s="5">
        <v>3967</v>
      </c>
      <c r="L234" s="3">
        <v>12</v>
      </c>
      <c r="M234" s="3">
        <v>6</v>
      </c>
      <c r="N234" s="6">
        <v>0.76</v>
      </c>
      <c r="O234" s="3" t="s">
        <v>37</v>
      </c>
      <c r="P234" s="3" t="s">
        <v>36</v>
      </c>
    </row>
    <row r="235" spans="1:16" x14ac:dyDescent="0.3">
      <c r="A235" s="4">
        <v>46065</v>
      </c>
      <c r="B235" s="3" t="s">
        <v>409</v>
      </c>
      <c r="C235" s="3" t="s">
        <v>404</v>
      </c>
      <c r="D235" s="3" t="s">
        <v>406</v>
      </c>
      <c r="E235" s="3">
        <v>23</v>
      </c>
      <c r="F235" s="3">
        <v>0</v>
      </c>
      <c r="G235" s="6">
        <v>0.75</v>
      </c>
      <c r="H235" s="3">
        <v>7.7</v>
      </c>
      <c r="I235" s="3">
        <v>67</v>
      </c>
      <c r="J235" s="3">
        <v>23</v>
      </c>
      <c r="K235" s="5">
        <v>2267</v>
      </c>
      <c r="L235" s="3">
        <v>3</v>
      </c>
      <c r="M235" s="3">
        <v>5</v>
      </c>
      <c r="N235" s="6">
        <v>0.67</v>
      </c>
      <c r="O235" s="3" t="s">
        <v>26</v>
      </c>
      <c r="P235" s="3" t="s">
        <v>25</v>
      </c>
    </row>
    <row r="236" spans="1:16" x14ac:dyDescent="0.3">
      <c r="A236" s="4">
        <v>46066</v>
      </c>
      <c r="B236" s="3" t="s">
        <v>410</v>
      </c>
      <c r="C236" s="3" t="s">
        <v>398</v>
      </c>
      <c r="D236" s="3" t="s">
        <v>399</v>
      </c>
      <c r="E236" s="3">
        <v>29</v>
      </c>
      <c r="F236" s="3">
        <v>1</v>
      </c>
      <c r="G236" s="6">
        <v>0.87</v>
      </c>
      <c r="H236" s="3">
        <v>10.5</v>
      </c>
      <c r="I236" s="3">
        <v>292</v>
      </c>
      <c r="J236" s="3">
        <v>49</v>
      </c>
      <c r="K236" s="5">
        <v>3538</v>
      </c>
      <c r="L236" s="3">
        <v>89</v>
      </c>
      <c r="M236" s="3">
        <v>1</v>
      </c>
      <c r="N236" s="6">
        <v>0.77</v>
      </c>
      <c r="O236" s="3" t="s">
        <v>29</v>
      </c>
      <c r="P236" s="3" t="s">
        <v>28</v>
      </c>
    </row>
    <row r="237" spans="1:16" x14ac:dyDescent="0.3">
      <c r="A237" s="4">
        <v>46066</v>
      </c>
      <c r="B237" s="3" t="s">
        <v>410</v>
      </c>
      <c r="C237" s="3" t="s">
        <v>398</v>
      </c>
      <c r="D237" s="3" t="s">
        <v>400</v>
      </c>
      <c r="E237" s="3">
        <v>28</v>
      </c>
      <c r="F237" s="3">
        <v>0</v>
      </c>
      <c r="G237" s="6">
        <v>0.76</v>
      </c>
      <c r="H237" s="3">
        <v>12.9</v>
      </c>
      <c r="I237" s="3">
        <v>127</v>
      </c>
      <c r="J237" s="3">
        <v>10</v>
      </c>
      <c r="K237" s="5">
        <v>2793</v>
      </c>
      <c r="L237" s="3">
        <v>70</v>
      </c>
      <c r="M237" s="3">
        <v>3</v>
      </c>
      <c r="N237" s="6">
        <v>0.62</v>
      </c>
      <c r="O237" s="3" t="s">
        <v>29</v>
      </c>
      <c r="P237" s="3" t="s">
        <v>28</v>
      </c>
    </row>
    <row r="238" spans="1:16" x14ac:dyDescent="0.3">
      <c r="A238" s="4">
        <v>46066</v>
      </c>
      <c r="B238" s="3" t="s">
        <v>410</v>
      </c>
      <c r="C238" s="3" t="s">
        <v>401</v>
      </c>
      <c r="D238" s="3" t="s">
        <v>402</v>
      </c>
      <c r="E238" s="3">
        <v>36</v>
      </c>
      <c r="F238" s="3">
        <v>0</v>
      </c>
      <c r="G238" s="6">
        <v>0.79</v>
      </c>
      <c r="H238" s="3">
        <v>7.8</v>
      </c>
      <c r="I238" s="3">
        <v>248</v>
      </c>
      <c r="J238" s="3">
        <v>64</v>
      </c>
      <c r="K238" s="5">
        <v>2727</v>
      </c>
      <c r="L238" s="3">
        <v>26</v>
      </c>
      <c r="M238" s="3">
        <v>3</v>
      </c>
      <c r="N238" s="6">
        <v>0.81</v>
      </c>
      <c r="O238" s="3" t="s">
        <v>13</v>
      </c>
      <c r="P238" s="3" t="s">
        <v>12</v>
      </c>
    </row>
    <row r="239" spans="1:16" x14ac:dyDescent="0.3">
      <c r="A239" s="4">
        <v>46066</v>
      </c>
      <c r="B239" s="3" t="s">
        <v>410</v>
      </c>
      <c r="C239" s="3" t="s">
        <v>401</v>
      </c>
      <c r="D239" s="3" t="s">
        <v>403</v>
      </c>
      <c r="E239" s="3">
        <v>25</v>
      </c>
      <c r="F239" s="3">
        <v>0</v>
      </c>
      <c r="G239" s="6">
        <v>0.86</v>
      </c>
      <c r="H239" s="3">
        <v>17.2</v>
      </c>
      <c r="I239" s="3">
        <v>364</v>
      </c>
      <c r="J239" s="3">
        <v>110</v>
      </c>
      <c r="K239" s="5">
        <v>4114</v>
      </c>
      <c r="L239" s="3">
        <v>31</v>
      </c>
      <c r="M239" s="3">
        <v>2</v>
      </c>
      <c r="N239" s="6">
        <v>0.78</v>
      </c>
      <c r="O239" s="3" t="s">
        <v>26</v>
      </c>
      <c r="P239" s="3" t="s">
        <v>33</v>
      </c>
    </row>
    <row r="240" spans="1:16" x14ac:dyDescent="0.3">
      <c r="A240" s="4">
        <v>46066</v>
      </c>
      <c r="B240" s="3" t="s">
        <v>410</v>
      </c>
      <c r="C240" s="3" t="s">
        <v>404</v>
      </c>
      <c r="D240" s="3" t="s">
        <v>405</v>
      </c>
      <c r="E240" s="3">
        <v>27</v>
      </c>
      <c r="F240" s="3">
        <v>0</v>
      </c>
      <c r="G240" s="6">
        <v>0.77</v>
      </c>
      <c r="H240" s="3">
        <v>15.9</v>
      </c>
      <c r="I240" s="3">
        <v>270</v>
      </c>
      <c r="J240" s="3">
        <v>62</v>
      </c>
      <c r="K240" s="5">
        <v>520</v>
      </c>
      <c r="L240" s="3">
        <v>118</v>
      </c>
      <c r="M240" s="3">
        <v>6</v>
      </c>
      <c r="N240" s="6">
        <v>0.59</v>
      </c>
      <c r="O240" s="3" t="s">
        <v>18</v>
      </c>
      <c r="P240" s="3" t="s">
        <v>55</v>
      </c>
    </row>
    <row r="241" spans="1:16" x14ac:dyDescent="0.3">
      <c r="A241" s="4">
        <v>46066</v>
      </c>
      <c r="B241" s="3" t="s">
        <v>410</v>
      </c>
      <c r="C241" s="3" t="s">
        <v>404</v>
      </c>
      <c r="D241" s="3" t="s">
        <v>406</v>
      </c>
      <c r="E241" s="3">
        <v>36</v>
      </c>
      <c r="F241" s="3">
        <v>3</v>
      </c>
      <c r="G241" s="6">
        <v>0.84</v>
      </c>
      <c r="H241" s="3">
        <v>17.2</v>
      </c>
      <c r="I241" s="3">
        <v>94</v>
      </c>
      <c r="J241" s="3">
        <v>37</v>
      </c>
      <c r="K241" s="5">
        <v>1072</v>
      </c>
      <c r="L241" s="3">
        <v>15</v>
      </c>
      <c r="M241" s="3">
        <v>0</v>
      </c>
      <c r="N241" s="6">
        <v>0.86</v>
      </c>
      <c r="O241" s="3" t="s">
        <v>37</v>
      </c>
      <c r="P241" s="3" t="s">
        <v>40</v>
      </c>
    </row>
    <row r="242" spans="1:16" x14ac:dyDescent="0.3">
      <c r="A242" s="4">
        <v>46067</v>
      </c>
      <c r="B242" s="3" t="s">
        <v>411</v>
      </c>
      <c r="C242" s="3" t="s">
        <v>398</v>
      </c>
      <c r="D242" s="3" t="s">
        <v>399</v>
      </c>
      <c r="E242" s="3">
        <v>38</v>
      </c>
      <c r="F242" s="3">
        <v>0</v>
      </c>
      <c r="G242" s="6">
        <v>0.88</v>
      </c>
      <c r="H242" s="3">
        <v>14.8</v>
      </c>
      <c r="I242" s="3">
        <v>128</v>
      </c>
      <c r="J242" s="3">
        <v>126</v>
      </c>
      <c r="K242" s="5">
        <v>2088</v>
      </c>
      <c r="L242" s="3">
        <v>62</v>
      </c>
      <c r="M242" s="3">
        <v>6</v>
      </c>
      <c r="N242" s="6">
        <v>0.74</v>
      </c>
      <c r="O242" s="3" t="s">
        <v>29</v>
      </c>
      <c r="P242" s="3" t="s">
        <v>66</v>
      </c>
    </row>
    <row r="243" spans="1:16" x14ac:dyDescent="0.3">
      <c r="A243" s="4">
        <v>46067</v>
      </c>
      <c r="B243" s="3" t="s">
        <v>411</v>
      </c>
      <c r="C243" s="3" t="s">
        <v>398</v>
      </c>
      <c r="D243" s="3" t="s">
        <v>400</v>
      </c>
      <c r="E243" s="3">
        <v>20</v>
      </c>
      <c r="F243" s="3">
        <v>2</v>
      </c>
      <c r="G243" s="6">
        <v>0.74</v>
      </c>
      <c r="H243" s="3">
        <v>12.5</v>
      </c>
      <c r="I243" s="3">
        <v>106</v>
      </c>
      <c r="J243" s="3">
        <v>41</v>
      </c>
      <c r="K243" s="5">
        <v>2794</v>
      </c>
      <c r="L243" s="3">
        <v>26</v>
      </c>
      <c r="M243" s="3">
        <v>2</v>
      </c>
      <c r="N243" s="6">
        <v>0.62</v>
      </c>
      <c r="O243" s="3" t="s">
        <v>37</v>
      </c>
      <c r="P243" s="3" t="s">
        <v>36</v>
      </c>
    </row>
    <row r="244" spans="1:16" x14ac:dyDescent="0.3">
      <c r="A244" s="4">
        <v>46067</v>
      </c>
      <c r="B244" s="3" t="s">
        <v>411</v>
      </c>
      <c r="C244" s="3" t="s">
        <v>401</v>
      </c>
      <c r="D244" s="3" t="s">
        <v>402</v>
      </c>
      <c r="E244" s="3">
        <v>29</v>
      </c>
      <c r="F244" s="3">
        <v>0</v>
      </c>
      <c r="G244" s="6">
        <v>0.79</v>
      </c>
      <c r="H244" s="3">
        <v>12.9</v>
      </c>
      <c r="I244" s="3">
        <v>314</v>
      </c>
      <c r="J244" s="3">
        <v>17</v>
      </c>
      <c r="K244" s="5">
        <v>1216</v>
      </c>
      <c r="L244" s="3">
        <v>75</v>
      </c>
      <c r="M244" s="3">
        <v>1</v>
      </c>
      <c r="N244" s="6">
        <v>0.74</v>
      </c>
      <c r="O244" s="3" t="s">
        <v>26</v>
      </c>
      <c r="P244" s="3" t="s">
        <v>25</v>
      </c>
    </row>
    <row r="245" spans="1:16" x14ac:dyDescent="0.3">
      <c r="A245" s="4">
        <v>46067</v>
      </c>
      <c r="B245" s="3" t="s">
        <v>411</v>
      </c>
      <c r="C245" s="3" t="s">
        <v>401</v>
      </c>
      <c r="D245" s="3" t="s">
        <v>403</v>
      </c>
      <c r="E245" s="3">
        <v>34</v>
      </c>
      <c r="F245" s="3">
        <v>1</v>
      </c>
      <c r="G245" s="6">
        <v>0.83</v>
      </c>
      <c r="H245" s="3">
        <v>8.9</v>
      </c>
      <c r="I245" s="3">
        <v>247</v>
      </c>
      <c r="J245" s="3">
        <v>149</v>
      </c>
      <c r="K245" s="5">
        <v>2604</v>
      </c>
      <c r="L245" s="3">
        <v>7</v>
      </c>
      <c r="M245" s="3">
        <v>8</v>
      </c>
      <c r="N245" s="6">
        <v>0.76</v>
      </c>
      <c r="O245" s="3" t="s">
        <v>13</v>
      </c>
      <c r="P245" s="3" t="s">
        <v>21</v>
      </c>
    </row>
    <row r="246" spans="1:16" x14ac:dyDescent="0.3">
      <c r="A246" s="4">
        <v>46067</v>
      </c>
      <c r="B246" s="3" t="s">
        <v>411</v>
      </c>
      <c r="C246" s="3" t="s">
        <v>404</v>
      </c>
      <c r="D246" s="3" t="s">
        <v>405</v>
      </c>
      <c r="E246" s="3">
        <v>23</v>
      </c>
      <c r="F246" s="3">
        <v>1</v>
      </c>
      <c r="G246" s="6">
        <v>0.81</v>
      </c>
      <c r="H246" s="3">
        <v>18.3</v>
      </c>
      <c r="I246" s="3">
        <v>103</v>
      </c>
      <c r="J246" s="3">
        <v>137</v>
      </c>
      <c r="K246" s="5">
        <v>308</v>
      </c>
      <c r="L246" s="3">
        <v>109</v>
      </c>
      <c r="M246" s="3">
        <v>4</v>
      </c>
      <c r="N246" s="6">
        <v>0.74</v>
      </c>
      <c r="O246" s="3" t="s">
        <v>13</v>
      </c>
      <c r="P246" s="3" t="s">
        <v>12</v>
      </c>
    </row>
    <row r="247" spans="1:16" x14ac:dyDescent="0.3">
      <c r="A247" s="4">
        <v>46067</v>
      </c>
      <c r="B247" s="3" t="s">
        <v>411</v>
      </c>
      <c r="C247" s="3" t="s">
        <v>404</v>
      </c>
      <c r="D247" s="3" t="s">
        <v>406</v>
      </c>
      <c r="E247" s="3">
        <v>28</v>
      </c>
      <c r="F247" s="3">
        <v>2</v>
      </c>
      <c r="G247" s="6">
        <v>0.79</v>
      </c>
      <c r="H247" s="3">
        <v>9.3000000000000007</v>
      </c>
      <c r="I247" s="3">
        <v>428</v>
      </c>
      <c r="J247" s="3">
        <v>39</v>
      </c>
      <c r="K247" s="5">
        <v>2851</v>
      </c>
      <c r="L247" s="3">
        <v>103</v>
      </c>
      <c r="M247" s="3">
        <v>7</v>
      </c>
      <c r="N247" s="6">
        <v>0.6</v>
      </c>
      <c r="O247" s="3" t="s">
        <v>37</v>
      </c>
      <c r="P247" s="3" t="s">
        <v>36</v>
      </c>
    </row>
    <row r="248" spans="1:16" x14ac:dyDescent="0.3">
      <c r="A248" s="4">
        <v>46068</v>
      </c>
      <c r="B248" s="3" t="s">
        <v>412</v>
      </c>
      <c r="C248" s="3" t="s">
        <v>398</v>
      </c>
      <c r="D248" s="3" t="s">
        <v>399</v>
      </c>
      <c r="E248" s="3">
        <v>31</v>
      </c>
      <c r="F248" s="3">
        <v>2</v>
      </c>
      <c r="G248" s="6">
        <v>0.79</v>
      </c>
      <c r="H248" s="3">
        <v>10</v>
      </c>
      <c r="I248" s="3">
        <v>243</v>
      </c>
      <c r="J248" s="3">
        <v>102</v>
      </c>
      <c r="K248" s="5">
        <v>815</v>
      </c>
      <c r="L248" s="3">
        <v>25</v>
      </c>
      <c r="M248" s="3">
        <v>3</v>
      </c>
      <c r="N248" s="6">
        <v>0.83</v>
      </c>
      <c r="O248" s="3" t="s">
        <v>18</v>
      </c>
      <c r="P248" s="3" t="s">
        <v>17</v>
      </c>
    </row>
    <row r="249" spans="1:16" x14ac:dyDescent="0.3">
      <c r="A249" s="4">
        <v>46068</v>
      </c>
      <c r="B249" s="3" t="s">
        <v>412</v>
      </c>
      <c r="C249" s="3" t="s">
        <v>398</v>
      </c>
      <c r="D249" s="3" t="s">
        <v>400</v>
      </c>
      <c r="E249" s="3">
        <v>21</v>
      </c>
      <c r="F249" s="3">
        <v>0</v>
      </c>
      <c r="G249" s="6">
        <v>0.73</v>
      </c>
      <c r="H249" s="3">
        <v>8.8000000000000007</v>
      </c>
      <c r="I249" s="3">
        <v>80</v>
      </c>
      <c r="J249" s="3">
        <v>123</v>
      </c>
      <c r="K249" s="5">
        <v>887</v>
      </c>
      <c r="L249" s="3">
        <v>63</v>
      </c>
      <c r="M249" s="3">
        <v>0</v>
      </c>
      <c r="N249" s="6">
        <v>0.74</v>
      </c>
      <c r="O249" s="3" t="s">
        <v>26</v>
      </c>
      <c r="P249" s="3" t="s">
        <v>25</v>
      </c>
    </row>
    <row r="250" spans="1:16" x14ac:dyDescent="0.3">
      <c r="A250" s="4">
        <v>46068</v>
      </c>
      <c r="B250" s="3" t="s">
        <v>412</v>
      </c>
      <c r="C250" s="3" t="s">
        <v>401</v>
      </c>
      <c r="D250" s="3" t="s">
        <v>402</v>
      </c>
      <c r="E250" s="3">
        <v>37</v>
      </c>
      <c r="F250" s="3">
        <v>2</v>
      </c>
      <c r="G250" s="6">
        <v>0.75</v>
      </c>
      <c r="H250" s="3">
        <v>14.8</v>
      </c>
      <c r="I250" s="3">
        <v>146</v>
      </c>
      <c r="J250" s="3">
        <v>65</v>
      </c>
      <c r="K250" s="5">
        <v>3357</v>
      </c>
      <c r="L250" s="3">
        <v>113</v>
      </c>
      <c r="M250" s="3">
        <v>1</v>
      </c>
      <c r="N250" s="6">
        <v>0.73</v>
      </c>
      <c r="O250" s="3" t="s">
        <v>18</v>
      </c>
      <c r="P250" s="3" t="s">
        <v>55</v>
      </c>
    </row>
    <row r="251" spans="1:16" x14ac:dyDescent="0.3">
      <c r="A251" s="4">
        <v>46068</v>
      </c>
      <c r="B251" s="3" t="s">
        <v>412</v>
      </c>
      <c r="C251" s="3" t="s">
        <v>401</v>
      </c>
      <c r="D251" s="3" t="s">
        <v>403</v>
      </c>
      <c r="E251" s="3">
        <v>24</v>
      </c>
      <c r="F251" s="3">
        <v>1</v>
      </c>
      <c r="G251" s="6">
        <v>0.9</v>
      </c>
      <c r="H251" s="3">
        <v>7.7</v>
      </c>
      <c r="I251" s="3">
        <v>251</v>
      </c>
      <c r="J251" s="3">
        <v>145</v>
      </c>
      <c r="K251" s="5">
        <v>3436</v>
      </c>
      <c r="L251" s="3">
        <v>95</v>
      </c>
      <c r="M251" s="3">
        <v>4</v>
      </c>
      <c r="N251" s="6">
        <v>0.77</v>
      </c>
      <c r="O251" s="3" t="s">
        <v>29</v>
      </c>
      <c r="P251" s="3" t="s">
        <v>28</v>
      </c>
    </row>
    <row r="252" spans="1:16" x14ac:dyDescent="0.3">
      <c r="A252" s="4">
        <v>46068</v>
      </c>
      <c r="B252" s="3" t="s">
        <v>412</v>
      </c>
      <c r="C252" s="3" t="s">
        <v>404</v>
      </c>
      <c r="D252" s="3" t="s">
        <v>405</v>
      </c>
      <c r="E252" s="3">
        <v>20</v>
      </c>
      <c r="F252" s="3">
        <v>2</v>
      </c>
      <c r="G252" s="6">
        <v>0.74</v>
      </c>
      <c r="H252" s="3">
        <v>11.9</v>
      </c>
      <c r="I252" s="3">
        <v>436</v>
      </c>
      <c r="J252" s="3">
        <v>38</v>
      </c>
      <c r="K252" s="5">
        <v>527</v>
      </c>
      <c r="L252" s="3">
        <v>68</v>
      </c>
      <c r="M252" s="3">
        <v>3</v>
      </c>
      <c r="N252" s="6">
        <v>0.57999999999999996</v>
      </c>
      <c r="O252" s="3" t="s">
        <v>18</v>
      </c>
      <c r="P252" s="3" t="s">
        <v>55</v>
      </c>
    </row>
    <row r="253" spans="1:16" x14ac:dyDescent="0.3">
      <c r="A253" s="4">
        <v>46068</v>
      </c>
      <c r="B253" s="3" t="s">
        <v>412</v>
      </c>
      <c r="C253" s="3" t="s">
        <v>404</v>
      </c>
      <c r="D253" s="3" t="s">
        <v>406</v>
      </c>
      <c r="E253" s="3">
        <v>30</v>
      </c>
      <c r="F253" s="3">
        <v>2</v>
      </c>
      <c r="G253" s="6">
        <v>0.82</v>
      </c>
      <c r="H253" s="3">
        <v>17.2</v>
      </c>
      <c r="I253" s="3">
        <v>231</v>
      </c>
      <c r="J253" s="3">
        <v>148</v>
      </c>
      <c r="K253" s="5">
        <v>3643</v>
      </c>
      <c r="L253" s="3">
        <v>114</v>
      </c>
      <c r="M253" s="3">
        <v>7</v>
      </c>
      <c r="N253" s="6">
        <v>0.72</v>
      </c>
      <c r="O253" s="3" t="s">
        <v>18</v>
      </c>
      <c r="P253" s="3" t="s">
        <v>17</v>
      </c>
    </row>
    <row r="254" spans="1:16" x14ac:dyDescent="0.3">
      <c r="A254" s="4">
        <v>46069</v>
      </c>
      <c r="B254" s="3" t="s">
        <v>397</v>
      </c>
      <c r="C254" s="3" t="s">
        <v>398</v>
      </c>
      <c r="D254" s="3" t="s">
        <v>399</v>
      </c>
      <c r="E254" s="3">
        <v>31</v>
      </c>
      <c r="F254" s="3">
        <v>1</v>
      </c>
      <c r="G254" s="6">
        <v>0.86</v>
      </c>
      <c r="H254" s="3">
        <v>10.6</v>
      </c>
      <c r="I254" s="3">
        <v>212</v>
      </c>
      <c r="J254" s="3">
        <v>138</v>
      </c>
      <c r="K254" s="5">
        <v>4308</v>
      </c>
      <c r="L254" s="3">
        <v>30</v>
      </c>
      <c r="M254" s="3">
        <v>3</v>
      </c>
      <c r="N254" s="6">
        <v>0.74</v>
      </c>
      <c r="O254" s="3" t="s">
        <v>26</v>
      </c>
      <c r="P254" s="3" t="s">
        <v>33</v>
      </c>
    </row>
    <row r="255" spans="1:16" x14ac:dyDescent="0.3">
      <c r="A255" s="4">
        <v>46069</v>
      </c>
      <c r="B255" s="3" t="s">
        <v>397</v>
      </c>
      <c r="C255" s="3" t="s">
        <v>398</v>
      </c>
      <c r="D255" s="3" t="s">
        <v>400</v>
      </c>
      <c r="E255" s="3">
        <v>37</v>
      </c>
      <c r="F255" s="3">
        <v>0</v>
      </c>
      <c r="G255" s="6">
        <v>0.84</v>
      </c>
      <c r="H255" s="3">
        <v>12.6</v>
      </c>
      <c r="I255" s="3">
        <v>73</v>
      </c>
      <c r="J255" s="3">
        <v>100</v>
      </c>
      <c r="K255" s="5">
        <v>85</v>
      </c>
      <c r="L255" s="3">
        <v>104</v>
      </c>
      <c r="M255" s="3">
        <v>6</v>
      </c>
      <c r="N255" s="6">
        <v>0.69</v>
      </c>
      <c r="O255" s="3" t="s">
        <v>37</v>
      </c>
      <c r="P255" s="3" t="s">
        <v>40</v>
      </c>
    </row>
    <row r="256" spans="1:16" x14ac:dyDescent="0.3">
      <c r="A256" s="4">
        <v>46069</v>
      </c>
      <c r="B256" s="3" t="s">
        <v>397</v>
      </c>
      <c r="C256" s="3" t="s">
        <v>401</v>
      </c>
      <c r="D256" s="3" t="s">
        <v>402</v>
      </c>
      <c r="E256" s="3">
        <v>25</v>
      </c>
      <c r="F256" s="3">
        <v>1</v>
      </c>
      <c r="G256" s="6">
        <v>0.87</v>
      </c>
      <c r="H256" s="3">
        <v>10.3</v>
      </c>
      <c r="I256" s="3">
        <v>263</v>
      </c>
      <c r="J256" s="3">
        <v>80</v>
      </c>
      <c r="K256" s="5">
        <v>1389</v>
      </c>
      <c r="L256" s="3">
        <v>54</v>
      </c>
      <c r="M256" s="3">
        <v>4</v>
      </c>
      <c r="N256" s="6">
        <v>0.71</v>
      </c>
      <c r="O256" s="3" t="s">
        <v>18</v>
      </c>
      <c r="P256" s="3" t="s">
        <v>17</v>
      </c>
    </row>
    <row r="257" spans="1:16" x14ac:dyDescent="0.3">
      <c r="A257" s="4">
        <v>46069</v>
      </c>
      <c r="B257" s="3" t="s">
        <v>397</v>
      </c>
      <c r="C257" s="3" t="s">
        <v>401</v>
      </c>
      <c r="D257" s="3" t="s">
        <v>403</v>
      </c>
      <c r="E257" s="3">
        <v>30</v>
      </c>
      <c r="F257" s="3">
        <v>0</v>
      </c>
      <c r="G257" s="6">
        <v>0.74</v>
      </c>
      <c r="H257" s="3">
        <v>10.9</v>
      </c>
      <c r="I257" s="3">
        <v>262</v>
      </c>
      <c r="J257" s="3">
        <v>111</v>
      </c>
      <c r="K257" s="5">
        <v>2397</v>
      </c>
      <c r="L257" s="3">
        <v>73</v>
      </c>
      <c r="M257" s="3">
        <v>0</v>
      </c>
      <c r="N257" s="6">
        <v>0.66</v>
      </c>
      <c r="O257" s="3" t="s">
        <v>13</v>
      </c>
      <c r="P257" s="3" t="s">
        <v>21</v>
      </c>
    </row>
    <row r="258" spans="1:16" x14ac:dyDescent="0.3">
      <c r="A258" s="4">
        <v>46069</v>
      </c>
      <c r="B258" s="3" t="s">
        <v>397</v>
      </c>
      <c r="C258" s="3" t="s">
        <v>404</v>
      </c>
      <c r="D258" s="3" t="s">
        <v>405</v>
      </c>
      <c r="E258" s="3">
        <v>27</v>
      </c>
      <c r="F258" s="3">
        <v>0</v>
      </c>
      <c r="G258" s="6">
        <v>0.82</v>
      </c>
      <c r="H258" s="3">
        <v>14.5</v>
      </c>
      <c r="I258" s="3">
        <v>42</v>
      </c>
      <c r="J258" s="3">
        <v>149</v>
      </c>
      <c r="K258" s="5">
        <v>3822</v>
      </c>
      <c r="L258" s="3">
        <v>43</v>
      </c>
      <c r="M258" s="3">
        <v>0</v>
      </c>
      <c r="N258" s="6">
        <v>0.73</v>
      </c>
      <c r="O258" s="3" t="s">
        <v>37</v>
      </c>
      <c r="P258" s="3" t="s">
        <v>40</v>
      </c>
    </row>
    <row r="259" spans="1:16" x14ac:dyDescent="0.3">
      <c r="A259" s="4">
        <v>46069</v>
      </c>
      <c r="B259" s="3" t="s">
        <v>397</v>
      </c>
      <c r="C259" s="3" t="s">
        <v>404</v>
      </c>
      <c r="D259" s="3" t="s">
        <v>406</v>
      </c>
      <c r="E259" s="3">
        <v>33</v>
      </c>
      <c r="F259" s="3">
        <v>1</v>
      </c>
      <c r="G259" s="6">
        <v>0.85</v>
      </c>
      <c r="H259" s="3">
        <v>9.3000000000000007</v>
      </c>
      <c r="I259" s="3">
        <v>364</v>
      </c>
      <c r="J259" s="3">
        <v>1</v>
      </c>
      <c r="K259" s="5">
        <v>3772</v>
      </c>
      <c r="L259" s="3">
        <v>4</v>
      </c>
      <c r="M259" s="3">
        <v>6</v>
      </c>
      <c r="N259" s="6">
        <v>0.79</v>
      </c>
      <c r="O259" s="3" t="s">
        <v>13</v>
      </c>
      <c r="P259" s="3" t="s">
        <v>21</v>
      </c>
    </row>
    <row r="260" spans="1:16" x14ac:dyDescent="0.3">
      <c r="A260" s="4">
        <v>46070</v>
      </c>
      <c r="B260" s="3" t="s">
        <v>407</v>
      </c>
      <c r="C260" s="3" t="s">
        <v>398</v>
      </c>
      <c r="D260" s="3" t="s">
        <v>399</v>
      </c>
      <c r="E260" s="3">
        <v>36</v>
      </c>
      <c r="F260" s="3">
        <v>1</v>
      </c>
      <c r="G260" s="6">
        <v>0.74</v>
      </c>
      <c r="H260" s="3">
        <v>15.9</v>
      </c>
      <c r="I260" s="3">
        <v>145</v>
      </c>
      <c r="J260" s="3">
        <v>99</v>
      </c>
      <c r="K260" s="5">
        <v>2098</v>
      </c>
      <c r="L260" s="3">
        <v>37</v>
      </c>
      <c r="M260" s="3">
        <v>2</v>
      </c>
      <c r="N260" s="6">
        <v>0.67</v>
      </c>
      <c r="O260" s="3" t="s">
        <v>26</v>
      </c>
      <c r="P260" s="3" t="s">
        <v>33</v>
      </c>
    </row>
    <row r="261" spans="1:16" x14ac:dyDescent="0.3">
      <c r="A261" s="4">
        <v>46070</v>
      </c>
      <c r="B261" s="3" t="s">
        <v>407</v>
      </c>
      <c r="C261" s="3" t="s">
        <v>398</v>
      </c>
      <c r="D261" s="3" t="s">
        <v>400</v>
      </c>
      <c r="E261" s="3">
        <v>22</v>
      </c>
      <c r="F261" s="3">
        <v>1</v>
      </c>
      <c r="G261" s="6">
        <v>0.89</v>
      </c>
      <c r="H261" s="3">
        <v>8.3000000000000007</v>
      </c>
      <c r="I261" s="3">
        <v>272</v>
      </c>
      <c r="J261" s="3">
        <v>97</v>
      </c>
      <c r="K261" s="5">
        <v>1769</v>
      </c>
      <c r="L261" s="3">
        <v>98</v>
      </c>
      <c r="M261" s="3">
        <v>5</v>
      </c>
      <c r="N261" s="6">
        <v>0.78</v>
      </c>
      <c r="O261" s="3" t="s">
        <v>13</v>
      </c>
      <c r="P261" s="3" t="s">
        <v>12</v>
      </c>
    </row>
    <row r="262" spans="1:16" x14ac:dyDescent="0.3">
      <c r="A262" s="4">
        <v>46070</v>
      </c>
      <c r="B262" s="3" t="s">
        <v>407</v>
      </c>
      <c r="C262" s="3" t="s">
        <v>401</v>
      </c>
      <c r="D262" s="3" t="s">
        <v>402</v>
      </c>
      <c r="E262" s="3">
        <v>35</v>
      </c>
      <c r="F262" s="3">
        <v>1</v>
      </c>
      <c r="G262" s="6">
        <v>0.9</v>
      </c>
      <c r="H262" s="3">
        <v>13.2</v>
      </c>
      <c r="I262" s="3">
        <v>142</v>
      </c>
      <c r="J262" s="3">
        <v>59</v>
      </c>
      <c r="K262" s="5">
        <v>3204</v>
      </c>
      <c r="L262" s="3">
        <v>63</v>
      </c>
      <c r="M262" s="3">
        <v>1</v>
      </c>
      <c r="N262" s="6">
        <v>0.88</v>
      </c>
      <c r="O262" s="3" t="s">
        <v>18</v>
      </c>
      <c r="P262" s="3" t="s">
        <v>17</v>
      </c>
    </row>
    <row r="263" spans="1:16" x14ac:dyDescent="0.3">
      <c r="A263" s="4">
        <v>46070</v>
      </c>
      <c r="B263" s="3" t="s">
        <v>407</v>
      </c>
      <c r="C263" s="3" t="s">
        <v>401</v>
      </c>
      <c r="D263" s="3" t="s">
        <v>403</v>
      </c>
      <c r="E263" s="3">
        <v>23</v>
      </c>
      <c r="F263" s="3">
        <v>0</v>
      </c>
      <c r="G263" s="6">
        <v>0.85</v>
      </c>
      <c r="H263" s="3">
        <v>15.5</v>
      </c>
      <c r="I263" s="3">
        <v>303</v>
      </c>
      <c r="J263" s="3">
        <v>49</v>
      </c>
      <c r="K263" s="5">
        <v>69</v>
      </c>
      <c r="L263" s="3">
        <v>14</v>
      </c>
      <c r="M263" s="3">
        <v>4</v>
      </c>
      <c r="N263" s="6">
        <v>0.87</v>
      </c>
      <c r="O263" s="3" t="s">
        <v>18</v>
      </c>
      <c r="P263" s="3" t="s">
        <v>55</v>
      </c>
    </row>
    <row r="264" spans="1:16" x14ac:dyDescent="0.3">
      <c r="A264" s="4">
        <v>46070</v>
      </c>
      <c r="B264" s="3" t="s">
        <v>407</v>
      </c>
      <c r="C264" s="3" t="s">
        <v>404</v>
      </c>
      <c r="D264" s="3" t="s">
        <v>405</v>
      </c>
      <c r="E264" s="3">
        <v>37</v>
      </c>
      <c r="F264" s="3">
        <v>2</v>
      </c>
      <c r="G264" s="6">
        <v>0.87</v>
      </c>
      <c r="H264" s="3">
        <v>13.8</v>
      </c>
      <c r="I264" s="3">
        <v>58</v>
      </c>
      <c r="J264" s="3">
        <v>79</v>
      </c>
      <c r="K264" s="5">
        <v>2543</v>
      </c>
      <c r="L264" s="3">
        <v>40</v>
      </c>
      <c r="M264" s="3">
        <v>4</v>
      </c>
      <c r="N264" s="6">
        <v>0.81</v>
      </c>
      <c r="O264" s="3" t="s">
        <v>37</v>
      </c>
      <c r="P264" s="3" t="s">
        <v>40</v>
      </c>
    </row>
    <row r="265" spans="1:16" x14ac:dyDescent="0.3">
      <c r="A265" s="4">
        <v>46070</v>
      </c>
      <c r="B265" s="3" t="s">
        <v>407</v>
      </c>
      <c r="C265" s="3" t="s">
        <v>404</v>
      </c>
      <c r="D265" s="3" t="s">
        <v>406</v>
      </c>
      <c r="E265" s="3">
        <v>29</v>
      </c>
      <c r="F265" s="3">
        <v>1</v>
      </c>
      <c r="G265" s="6">
        <v>0.8</v>
      </c>
      <c r="H265" s="3">
        <v>16</v>
      </c>
      <c r="I265" s="3">
        <v>34</v>
      </c>
      <c r="J265" s="3">
        <v>60</v>
      </c>
      <c r="K265" s="5">
        <v>1560</v>
      </c>
      <c r="L265" s="3">
        <v>33</v>
      </c>
      <c r="M265" s="3">
        <v>4</v>
      </c>
      <c r="N265" s="6">
        <v>0.66</v>
      </c>
      <c r="O265" s="3" t="s">
        <v>29</v>
      </c>
      <c r="P265" s="3" t="s">
        <v>66</v>
      </c>
    </row>
    <row r="266" spans="1:16" x14ac:dyDescent="0.3">
      <c r="A266" s="4">
        <v>46071</v>
      </c>
      <c r="B266" s="3" t="s">
        <v>408</v>
      </c>
      <c r="C266" s="3" t="s">
        <v>398</v>
      </c>
      <c r="D266" s="3" t="s">
        <v>399</v>
      </c>
      <c r="E266" s="3">
        <v>26</v>
      </c>
      <c r="F266" s="3">
        <v>1</v>
      </c>
      <c r="G266" s="6">
        <v>0.74</v>
      </c>
      <c r="H266" s="3">
        <v>12.1</v>
      </c>
      <c r="I266" s="3">
        <v>344</v>
      </c>
      <c r="J266" s="3">
        <v>22</v>
      </c>
      <c r="K266" s="5">
        <v>4389</v>
      </c>
      <c r="L266" s="3">
        <v>118</v>
      </c>
      <c r="M266" s="3">
        <v>1</v>
      </c>
      <c r="N266" s="6">
        <v>0.76</v>
      </c>
      <c r="O266" s="3" t="s">
        <v>26</v>
      </c>
      <c r="P266" s="3" t="s">
        <v>33</v>
      </c>
    </row>
    <row r="267" spans="1:16" x14ac:dyDescent="0.3">
      <c r="A267" s="4">
        <v>46071</v>
      </c>
      <c r="B267" s="3" t="s">
        <v>408</v>
      </c>
      <c r="C267" s="3" t="s">
        <v>398</v>
      </c>
      <c r="D267" s="3" t="s">
        <v>400</v>
      </c>
      <c r="E267" s="3">
        <v>35</v>
      </c>
      <c r="F267" s="3">
        <v>2</v>
      </c>
      <c r="G267" s="6">
        <v>0.82</v>
      </c>
      <c r="H267" s="3">
        <v>15.3</v>
      </c>
      <c r="I267" s="3">
        <v>118</v>
      </c>
      <c r="J267" s="3">
        <v>36</v>
      </c>
      <c r="K267" s="5">
        <v>1916</v>
      </c>
      <c r="L267" s="3">
        <v>69</v>
      </c>
      <c r="M267" s="3">
        <v>8</v>
      </c>
      <c r="N267" s="6">
        <v>0.64</v>
      </c>
      <c r="O267" s="3" t="s">
        <v>37</v>
      </c>
      <c r="P267" s="3" t="s">
        <v>40</v>
      </c>
    </row>
    <row r="268" spans="1:16" x14ac:dyDescent="0.3">
      <c r="A268" s="4">
        <v>46071</v>
      </c>
      <c r="B268" s="3" t="s">
        <v>408</v>
      </c>
      <c r="C268" s="3" t="s">
        <v>401</v>
      </c>
      <c r="D268" s="3" t="s">
        <v>402</v>
      </c>
      <c r="E268" s="3">
        <v>23</v>
      </c>
      <c r="F268" s="3">
        <v>0</v>
      </c>
      <c r="G268" s="6">
        <v>0.73</v>
      </c>
      <c r="H268" s="3">
        <v>13.3</v>
      </c>
      <c r="I268" s="3">
        <v>422</v>
      </c>
      <c r="J268" s="3">
        <v>142</v>
      </c>
      <c r="K268" s="5">
        <v>248</v>
      </c>
      <c r="L268" s="3">
        <v>3</v>
      </c>
      <c r="M268" s="3">
        <v>3</v>
      </c>
      <c r="N268" s="6">
        <v>0.76</v>
      </c>
      <c r="O268" s="3" t="s">
        <v>37</v>
      </c>
      <c r="P268" s="3" t="s">
        <v>36</v>
      </c>
    </row>
    <row r="269" spans="1:16" x14ac:dyDescent="0.3">
      <c r="A269" s="4">
        <v>46071</v>
      </c>
      <c r="B269" s="3" t="s">
        <v>408</v>
      </c>
      <c r="C269" s="3" t="s">
        <v>401</v>
      </c>
      <c r="D269" s="3" t="s">
        <v>403</v>
      </c>
      <c r="E269" s="3">
        <v>20</v>
      </c>
      <c r="F269" s="3">
        <v>0</v>
      </c>
      <c r="G269" s="6">
        <v>0.87</v>
      </c>
      <c r="H269" s="3">
        <v>11.9</v>
      </c>
      <c r="I269" s="3">
        <v>162</v>
      </c>
      <c r="J269" s="3">
        <v>95</v>
      </c>
      <c r="K269" s="5">
        <v>2497</v>
      </c>
      <c r="L269" s="3">
        <v>22</v>
      </c>
      <c r="M269" s="3">
        <v>0</v>
      </c>
      <c r="N269" s="6">
        <v>0.91</v>
      </c>
      <c r="O269" s="3" t="s">
        <v>29</v>
      </c>
      <c r="P269" s="3" t="s">
        <v>66</v>
      </c>
    </row>
    <row r="270" spans="1:16" x14ac:dyDescent="0.3">
      <c r="A270" s="4">
        <v>46071</v>
      </c>
      <c r="B270" s="3" t="s">
        <v>408</v>
      </c>
      <c r="C270" s="3" t="s">
        <v>404</v>
      </c>
      <c r="D270" s="3" t="s">
        <v>405</v>
      </c>
      <c r="E270" s="3">
        <v>28</v>
      </c>
      <c r="F270" s="3">
        <v>2</v>
      </c>
      <c r="G270" s="6">
        <v>0.78</v>
      </c>
      <c r="H270" s="3">
        <v>10.1</v>
      </c>
      <c r="I270" s="3">
        <v>69</v>
      </c>
      <c r="J270" s="3">
        <v>98</v>
      </c>
      <c r="K270" s="5">
        <v>159</v>
      </c>
      <c r="L270" s="3">
        <v>87</v>
      </c>
      <c r="M270" s="3">
        <v>7</v>
      </c>
      <c r="N270" s="6">
        <v>0.56999999999999995</v>
      </c>
      <c r="O270" s="3" t="s">
        <v>29</v>
      </c>
      <c r="P270" s="3" t="s">
        <v>66</v>
      </c>
    </row>
    <row r="271" spans="1:16" x14ac:dyDescent="0.3">
      <c r="A271" s="4">
        <v>46071</v>
      </c>
      <c r="B271" s="3" t="s">
        <v>408</v>
      </c>
      <c r="C271" s="3" t="s">
        <v>404</v>
      </c>
      <c r="D271" s="3" t="s">
        <v>406</v>
      </c>
      <c r="E271" s="3">
        <v>32</v>
      </c>
      <c r="F271" s="3">
        <v>0</v>
      </c>
      <c r="G271" s="6">
        <v>0.73</v>
      </c>
      <c r="H271" s="3">
        <v>12.3</v>
      </c>
      <c r="I271" s="3">
        <v>367</v>
      </c>
      <c r="J271" s="3">
        <v>82</v>
      </c>
      <c r="K271" s="5">
        <v>1347</v>
      </c>
      <c r="L271" s="3">
        <v>34</v>
      </c>
      <c r="M271" s="3">
        <v>0</v>
      </c>
      <c r="N271" s="6">
        <v>0.63</v>
      </c>
      <c r="O271" s="3" t="s">
        <v>18</v>
      </c>
      <c r="P271" s="3" t="s">
        <v>17</v>
      </c>
    </row>
    <row r="272" spans="1:16" x14ac:dyDescent="0.3">
      <c r="A272" s="4">
        <v>46072</v>
      </c>
      <c r="B272" s="3" t="s">
        <v>409</v>
      </c>
      <c r="C272" s="3" t="s">
        <v>398</v>
      </c>
      <c r="D272" s="3" t="s">
        <v>399</v>
      </c>
      <c r="E272" s="3">
        <v>20</v>
      </c>
      <c r="F272" s="3">
        <v>0</v>
      </c>
      <c r="G272" s="6">
        <v>0.85</v>
      </c>
      <c r="H272" s="3">
        <v>16.7</v>
      </c>
      <c r="I272" s="3">
        <v>116</v>
      </c>
      <c r="J272" s="3">
        <v>2</v>
      </c>
      <c r="K272" s="5">
        <v>942</v>
      </c>
      <c r="L272" s="3">
        <v>95</v>
      </c>
      <c r="M272" s="3">
        <v>4</v>
      </c>
      <c r="N272" s="6">
        <v>0.88</v>
      </c>
      <c r="O272" s="3" t="s">
        <v>18</v>
      </c>
      <c r="P272" s="3" t="s">
        <v>55</v>
      </c>
    </row>
    <row r="273" spans="1:16" x14ac:dyDescent="0.3">
      <c r="A273" s="4">
        <v>46072</v>
      </c>
      <c r="B273" s="3" t="s">
        <v>409</v>
      </c>
      <c r="C273" s="3" t="s">
        <v>398</v>
      </c>
      <c r="D273" s="3" t="s">
        <v>400</v>
      </c>
      <c r="E273" s="3">
        <v>21</v>
      </c>
      <c r="F273" s="3">
        <v>3</v>
      </c>
      <c r="G273" s="6">
        <v>0.74</v>
      </c>
      <c r="H273" s="3">
        <v>14.2</v>
      </c>
      <c r="I273" s="3">
        <v>31</v>
      </c>
      <c r="J273" s="3">
        <v>68</v>
      </c>
      <c r="K273" s="5">
        <v>706</v>
      </c>
      <c r="L273" s="3">
        <v>48</v>
      </c>
      <c r="M273" s="3">
        <v>3</v>
      </c>
      <c r="N273" s="6">
        <v>0.76</v>
      </c>
      <c r="O273" s="3" t="s">
        <v>29</v>
      </c>
      <c r="P273" s="3" t="s">
        <v>66</v>
      </c>
    </row>
    <row r="274" spans="1:16" x14ac:dyDescent="0.3">
      <c r="A274" s="4">
        <v>46072</v>
      </c>
      <c r="B274" s="3" t="s">
        <v>409</v>
      </c>
      <c r="C274" s="3" t="s">
        <v>401</v>
      </c>
      <c r="D274" s="3" t="s">
        <v>402</v>
      </c>
      <c r="E274" s="3">
        <v>30</v>
      </c>
      <c r="F274" s="3">
        <v>1</v>
      </c>
      <c r="G274" s="6">
        <v>0.81</v>
      </c>
      <c r="H274" s="3">
        <v>10.1</v>
      </c>
      <c r="I274" s="3">
        <v>302</v>
      </c>
      <c r="J274" s="3">
        <v>115</v>
      </c>
      <c r="K274" s="5">
        <v>3243</v>
      </c>
      <c r="L274" s="3">
        <v>14</v>
      </c>
      <c r="M274" s="3">
        <v>5</v>
      </c>
      <c r="N274" s="6">
        <v>0.66</v>
      </c>
      <c r="O274" s="3" t="s">
        <v>13</v>
      </c>
      <c r="P274" s="3" t="s">
        <v>12</v>
      </c>
    </row>
    <row r="275" spans="1:16" x14ac:dyDescent="0.3">
      <c r="A275" s="4">
        <v>46072</v>
      </c>
      <c r="B275" s="3" t="s">
        <v>409</v>
      </c>
      <c r="C275" s="3" t="s">
        <v>401</v>
      </c>
      <c r="D275" s="3" t="s">
        <v>403</v>
      </c>
      <c r="E275" s="3">
        <v>27</v>
      </c>
      <c r="F275" s="3">
        <v>0</v>
      </c>
      <c r="G275" s="6">
        <v>0.89</v>
      </c>
      <c r="H275" s="3">
        <v>12.7</v>
      </c>
      <c r="I275" s="3">
        <v>427</v>
      </c>
      <c r="J275" s="3">
        <v>29</v>
      </c>
      <c r="K275" s="5">
        <v>498</v>
      </c>
      <c r="L275" s="3">
        <v>117</v>
      </c>
      <c r="M275" s="3">
        <v>1</v>
      </c>
      <c r="N275" s="6">
        <v>0.87</v>
      </c>
      <c r="O275" s="3" t="s">
        <v>37</v>
      </c>
      <c r="P275" s="3" t="s">
        <v>36</v>
      </c>
    </row>
    <row r="276" spans="1:16" x14ac:dyDescent="0.3">
      <c r="A276" s="4">
        <v>46072</v>
      </c>
      <c r="B276" s="3" t="s">
        <v>409</v>
      </c>
      <c r="C276" s="3" t="s">
        <v>404</v>
      </c>
      <c r="D276" s="3" t="s">
        <v>405</v>
      </c>
      <c r="E276" s="3">
        <v>38</v>
      </c>
      <c r="F276" s="3">
        <v>4</v>
      </c>
      <c r="G276" s="6">
        <v>0.85</v>
      </c>
      <c r="H276" s="3">
        <v>13</v>
      </c>
      <c r="I276" s="3">
        <v>59</v>
      </c>
      <c r="J276" s="3">
        <v>102</v>
      </c>
      <c r="K276" s="5">
        <v>749</v>
      </c>
      <c r="L276" s="3">
        <v>35</v>
      </c>
      <c r="M276" s="3">
        <v>0</v>
      </c>
      <c r="N276" s="6">
        <v>0.88</v>
      </c>
      <c r="O276" s="3" t="s">
        <v>26</v>
      </c>
      <c r="P276" s="3" t="s">
        <v>25</v>
      </c>
    </row>
    <row r="277" spans="1:16" x14ac:dyDescent="0.3">
      <c r="A277" s="4">
        <v>46072</v>
      </c>
      <c r="B277" s="3" t="s">
        <v>409</v>
      </c>
      <c r="C277" s="3" t="s">
        <v>404</v>
      </c>
      <c r="D277" s="3" t="s">
        <v>406</v>
      </c>
      <c r="E277" s="3">
        <v>24</v>
      </c>
      <c r="F277" s="3">
        <v>0</v>
      </c>
      <c r="G277" s="6">
        <v>0.82</v>
      </c>
      <c r="H277" s="3">
        <v>12.1</v>
      </c>
      <c r="I277" s="3">
        <v>194</v>
      </c>
      <c r="J277" s="3">
        <v>136</v>
      </c>
      <c r="K277" s="5">
        <v>920</v>
      </c>
      <c r="L277" s="3">
        <v>102</v>
      </c>
      <c r="M277" s="3">
        <v>1</v>
      </c>
      <c r="N277" s="6">
        <v>0.67</v>
      </c>
      <c r="O277" s="3" t="s">
        <v>13</v>
      </c>
      <c r="P277" s="3" t="s">
        <v>12</v>
      </c>
    </row>
    <row r="278" spans="1:16" x14ac:dyDescent="0.3">
      <c r="A278" s="4">
        <v>46073</v>
      </c>
      <c r="B278" s="3" t="s">
        <v>410</v>
      </c>
      <c r="C278" s="3" t="s">
        <v>398</v>
      </c>
      <c r="D278" s="3" t="s">
        <v>399</v>
      </c>
      <c r="E278" s="3">
        <v>37</v>
      </c>
      <c r="F278" s="3">
        <v>2</v>
      </c>
      <c r="G278" s="6">
        <v>0.73</v>
      </c>
      <c r="H278" s="3">
        <v>12</v>
      </c>
      <c r="I278" s="3">
        <v>181</v>
      </c>
      <c r="J278" s="3">
        <v>15</v>
      </c>
      <c r="K278" s="5">
        <v>1461</v>
      </c>
      <c r="L278" s="3">
        <v>68</v>
      </c>
      <c r="M278" s="3">
        <v>4</v>
      </c>
      <c r="N278" s="6">
        <v>0.55000000000000004</v>
      </c>
      <c r="O278" s="3" t="s">
        <v>37</v>
      </c>
      <c r="P278" s="3" t="s">
        <v>36</v>
      </c>
    </row>
    <row r="279" spans="1:16" x14ac:dyDescent="0.3">
      <c r="A279" s="4">
        <v>46073</v>
      </c>
      <c r="B279" s="3" t="s">
        <v>410</v>
      </c>
      <c r="C279" s="3" t="s">
        <v>398</v>
      </c>
      <c r="D279" s="3" t="s">
        <v>400</v>
      </c>
      <c r="E279" s="3">
        <v>26</v>
      </c>
      <c r="F279" s="3">
        <v>0</v>
      </c>
      <c r="G279" s="6">
        <v>0.74</v>
      </c>
      <c r="H279" s="3">
        <v>9.3000000000000007</v>
      </c>
      <c r="I279" s="3">
        <v>130</v>
      </c>
      <c r="J279" s="3">
        <v>38</v>
      </c>
      <c r="K279" s="5">
        <v>167</v>
      </c>
      <c r="L279" s="3">
        <v>95</v>
      </c>
      <c r="M279" s="3">
        <v>4</v>
      </c>
      <c r="N279" s="6">
        <v>0.75</v>
      </c>
      <c r="O279" s="3" t="s">
        <v>37</v>
      </c>
      <c r="P279" s="3" t="s">
        <v>36</v>
      </c>
    </row>
    <row r="280" spans="1:16" x14ac:dyDescent="0.3">
      <c r="A280" s="4">
        <v>46073</v>
      </c>
      <c r="B280" s="3" t="s">
        <v>410</v>
      </c>
      <c r="C280" s="3" t="s">
        <v>401</v>
      </c>
      <c r="D280" s="3" t="s">
        <v>402</v>
      </c>
      <c r="E280" s="3">
        <v>21</v>
      </c>
      <c r="F280" s="3">
        <v>1</v>
      </c>
      <c r="G280" s="6">
        <v>0.9</v>
      </c>
      <c r="H280" s="3">
        <v>16.8</v>
      </c>
      <c r="I280" s="3">
        <v>351</v>
      </c>
      <c r="J280" s="3">
        <v>137</v>
      </c>
      <c r="K280" s="5">
        <v>2487</v>
      </c>
      <c r="L280" s="3">
        <v>52</v>
      </c>
      <c r="M280" s="3">
        <v>0</v>
      </c>
      <c r="N280" s="6">
        <v>0.88</v>
      </c>
      <c r="O280" s="3" t="s">
        <v>18</v>
      </c>
      <c r="P280" s="3" t="s">
        <v>17</v>
      </c>
    </row>
    <row r="281" spans="1:16" x14ac:dyDescent="0.3">
      <c r="A281" s="4">
        <v>46073</v>
      </c>
      <c r="B281" s="3" t="s">
        <v>410</v>
      </c>
      <c r="C281" s="3" t="s">
        <v>401</v>
      </c>
      <c r="D281" s="3" t="s">
        <v>403</v>
      </c>
      <c r="E281" s="3">
        <v>37</v>
      </c>
      <c r="F281" s="3">
        <v>1</v>
      </c>
      <c r="G281" s="6">
        <v>0.75</v>
      </c>
      <c r="H281" s="3">
        <v>11.7</v>
      </c>
      <c r="I281" s="3">
        <v>99</v>
      </c>
      <c r="J281" s="3">
        <v>141</v>
      </c>
      <c r="K281" s="5">
        <v>1250</v>
      </c>
      <c r="L281" s="3">
        <v>20</v>
      </c>
      <c r="M281" s="3">
        <v>0</v>
      </c>
      <c r="N281" s="6">
        <v>0.8</v>
      </c>
      <c r="O281" s="3" t="s">
        <v>37</v>
      </c>
      <c r="P281" s="3" t="s">
        <v>36</v>
      </c>
    </row>
    <row r="282" spans="1:16" x14ac:dyDescent="0.3">
      <c r="A282" s="4">
        <v>46073</v>
      </c>
      <c r="B282" s="3" t="s">
        <v>410</v>
      </c>
      <c r="C282" s="3" t="s">
        <v>404</v>
      </c>
      <c r="D282" s="3" t="s">
        <v>405</v>
      </c>
      <c r="E282" s="3">
        <v>21</v>
      </c>
      <c r="F282" s="3">
        <v>0</v>
      </c>
      <c r="G282" s="6">
        <v>0.77</v>
      </c>
      <c r="H282" s="3">
        <v>9.9</v>
      </c>
      <c r="I282" s="3">
        <v>425</v>
      </c>
      <c r="J282" s="3">
        <v>121</v>
      </c>
      <c r="K282" s="5">
        <v>2626</v>
      </c>
      <c r="L282" s="3">
        <v>15</v>
      </c>
      <c r="M282" s="3">
        <v>3</v>
      </c>
      <c r="N282" s="6">
        <v>0.82</v>
      </c>
      <c r="O282" s="3" t="s">
        <v>37</v>
      </c>
      <c r="P282" s="3" t="s">
        <v>40</v>
      </c>
    </row>
    <row r="283" spans="1:16" x14ac:dyDescent="0.3">
      <c r="A283" s="4">
        <v>46073</v>
      </c>
      <c r="B283" s="3" t="s">
        <v>410</v>
      </c>
      <c r="C283" s="3" t="s">
        <v>404</v>
      </c>
      <c r="D283" s="3" t="s">
        <v>406</v>
      </c>
      <c r="E283" s="3">
        <v>25</v>
      </c>
      <c r="F283" s="3">
        <v>1</v>
      </c>
      <c r="G283" s="6">
        <v>0.82</v>
      </c>
      <c r="H283" s="3">
        <v>15</v>
      </c>
      <c r="I283" s="3">
        <v>203</v>
      </c>
      <c r="J283" s="3">
        <v>123</v>
      </c>
      <c r="K283" s="5">
        <v>3138</v>
      </c>
      <c r="L283" s="3">
        <v>0</v>
      </c>
      <c r="M283" s="3">
        <v>3</v>
      </c>
      <c r="N283" s="6">
        <v>0.85</v>
      </c>
      <c r="O283" s="3" t="s">
        <v>18</v>
      </c>
      <c r="P283" s="3" t="s">
        <v>55</v>
      </c>
    </row>
    <row r="284" spans="1:16" x14ac:dyDescent="0.3">
      <c r="A284" s="4">
        <v>46074</v>
      </c>
      <c r="B284" s="3" t="s">
        <v>411</v>
      </c>
      <c r="C284" s="3" t="s">
        <v>398</v>
      </c>
      <c r="D284" s="3" t="s">
        <v>399</v>
      </c>
      <c r="E284" s="3">
        <v>33</v>
      </c>
      <c r="F284" s="3">
        <v>0</v>
      </c>
      <c r="G284" s="6">
        <v>0.9</v>
      </c>
      <c r="H284" s="3">
        <v>14.5</v>
      </c>
      <c r="I284" s="3">
        <v>76</v>
      </c>
      <c r="J284" s="3">
        <v>119</v>
      </c>
      <c r="K284" s="5">
        <v>601</v>
      </c>
      <c r="L284" s="3">
        <v>24</v>
      </c>
      <c r="M284" s="3">
        <v>2</v>
      </c>
      <c r="N284" s="6">
        <v>0.75</v>
      </c>
      <c r="O284" s="3" t="s">
        <v>26</v>
      </c>
      <c r="P284" s="3" t="s">
        <v>25</v>
      </c>
    </row>
    <row r="285" spans="1:16" x14ac:dyDescent="0.3">
      <c r="A285" s="4">
        <v>46074</v>
      </c>
      <c r="B285" s="3" t="s">
        <v>411</v>
      </c>
      <c r="C285" s="3" t="s">
        <v>398</v>
      </c>
      <c r="D285" s="3" t="s">
        <v>400</v>
      </c>
      <c r="E285" s="3">
        <v>20</v>
      </c>
      <c r="F285" s="3">
        <v>2</v>
      </c>
      <c r="G285" s="6">
        <v>0.76</v>
      </c>
      <c r="H285" s="3">
        <v>14.1</v>
      </c>
      <c r="I285" s="3">
        <v>281</v>
      </c>
      <c r="J285" s="3">
        <v>42</v>
      </c>
      <c r="K285" s="5">
        <v>610</v>
      </c>
      <c r="L285" s="3">
        <v>20</v>
      </c>
      <c r="M285" s="3">
        <v>1</v>
      </c>
      <c r="N285" s="6">
        <v>0.75</v>
      </c>
      <c r="O285" s="3" t="s">
        <v>37</v>
      </c>
      <c r="P285" s="3" t="s">
        <v>36</v>
      </c>
    </row>
    <row r="286" spans="1:16" x14ac:dyDescent="0.3">
      <c r="A286" s="4">
        <v>46074</v>
      </c>
      <c r="B286" s="3" t="s">
        <v>411</v>
      </c>
      <c r="C286" s="3" t="s">
        <v>401</v>
      </c>
      <c r="D286" s="3" t="s">
        <v>402</v>
      </c>
      <c r="E286" s="3">
        <v>38</v>
      </c>
      <c r="F286" s="3">
        <v>0</v>
      </c>
      <c r="G286" s="6">
        <v>0.75</v>
      </c>
      <c r="H286" s="3">
        <v>16.7</v>
      </c>
      <c r="I286" s="3">
        <v>362</v>
      </c>
      <c r="J286" s="3">
        <v>30</v>
      </c>
      <c r="K286" s="5">
        <v>4444</v>
      </c>
      <c r="L286" s="3">
        <v>17</v>
      </c>
      <c r="M286" s="3">
        <v>9</v>
      </c>
      <c r="N286" s="6">
        <v>0.68</v>
      </c>
      <c r="O286" s="3" t="s">
        <v>18</v>
      </c>
      <c r="P286" s="3" t="s">
        <v>55</v>
      </c>
    </row>
    <row r="287" spans="1:16" x14ac:dyDescent="0.3">
      <c r="A287" s="4">
        <v>46074</v>
      </c>
      <c r="B287" s="3" t="s">
        <v>411</v>
      </c>
      <c r="C287" s="3" t="s">
        <v>401</v>
      </c>
      <c r="D287" s="3" t="s">
        <v>403</v>
      </c>
      <c r="E287" s="3">
        <v>38</v>
      </c>
      <c r="F287" s="3">
        <v>0</v>
      </c>
      <c r="G287" s="6">
        <v>0.89</v>
      </c>
      <c r="H287" s="3">
        <v>14</v>
      </c>
      <c r="I287" s="3">
        <v>192</v>
      </c>
      <c r="J287" s="3">
        <v>78</v>
      </c>
      <c r="K287" s="5">
        <v>4158</v>
      </c>
      <c r="L287" s="3">
        <v>53</v>
      </c>
      <c r="M287" s="3">
        <v>0</v>
      </c>
      <c r="N287" s="6">
        <v>0.85</v>
      </c>
      <c r="O287" s="3" t="s">
        <v>18</v>
      </c>
      <c r="P287" s="3" t="s">
        <v>55</v>
      </c>
    </row>
    <row r="288" spans="1:16" x14ac:dyDescent="0.3">
      <c r="A288" s="4">
        <v>46074</v>
      </c>
      <c r="B288" s="3" t="s">
        <v>411</v>
      </c>
      <c r="C288" s="3" t="s">
        <v>404</v>
      </c>
      <c r="D288" s="3" t="s">
        <v>405</v>
      </c>
      <c r="E288" s="3">
        <v>38</v>
      </c>
      <c r="F288" s="3">
        <v>2</v>
      </c>
      <c r="G288" s="6">
        <v>0.82</v>
      </c>
      <c r="H288" s="3">
        <v>10.3</v>
      </c>
      <c r="I288" s="3">
        <v>340</v>
      </c>
      <c r="J288" s="3">
        <v>27</v>
      </c>
      <c r="K288" s="5">
        <v>1288</v>
      </c>
      <c r="L288" s="3">
        <v>39</v>
      </c>
      <c r="M288" s="3">
        <v>9</v>
      </c>
      <c r="N288" s="6">
        <v>0.83</v>
      </c>
      <c r="O288" s="3" t="s">
        <v>37</v>
      </c>
      <c r="P288" s="3" t="s">
        <v>40</v>
      </c>
    </row>
    <row r="289" spans="1:16" x14ac:dyDescent="0.3">
      <c r="A289" s="4">
        <v>46074</v>
      </c>
      <c r="B289" s="3" t="s">
        <v>411</v>
      </c>
      <c r="C289" s="3" t="s">
        <v>404</v>
      </c>
      <c r="D289" s="3" t="s">
        <v>406</v>
      </c>
      <c r="E289" s="3">
        <v>37</v>
      </c>
      <c r="F289" s="3">
        <v>2</v>
      </c>
      <c r="G289" s="6">
        <v>0.74</v>
      </c>
      <c r="H289" s="3">
        <v>10.5</v>
      </c>
      <c r="I289" s="3">
        <v>314</v>
      </c>
      <c r="J289" s="3">
        <v>88</v>
      </c>
      <c r="K289" s="5">
        <v>1079</v>
      </c>
      <c r="L289" s="3">
        <v>100</v>
      </c>
      <c r="M289" s="3">
        <v>9</v>
      </c>
      <c r="N289" s="6">
        <v>0.67</v>
      </c>
      <c r="O289" s="3" t="s">
        <v>37</v>
      </c>
      <c r="P289" s="3" t="s">
        <v>40</v>
      </c>
    </row>
    <row r="290" spans="1:16" x14ac:dyDescent="0.3">
      <c r="A290" s="4">
        <v>46075</v>
      </c>
      <c r="B290" s="3" t="s">
        <v>412</v>
      </c>
      <c r="C290" s="3" t="s">
        <v>398</v>
      </c>
      <c r="D290" s="3" t="s">
        <v>399</v>
      </c>
      <c r="E290" s="3">
        <v>32</v>
      </c>
      <c r="F290" s="3">
        <v>3</v>
      </c>
      <c r="G290" s="6">
        <v>0.89</v>
      </c>
      <c r="H290" s="3">
        <v>10.6</v>
      </c>
      <c r="I290" s="3">
        <v>173</v>
      </c>
      <c r="J290" s="3">
        <v>146</v>
      </c>
      <c r="K290" s="5">
        <v>3009</v>
      </c>
      <c r="L290" s="3">
        <v>49</v>
      </c>
      <c r="M290" s="3">
        <v>0</v>
      </c>
      <c r="N290" s="6">
        <v>0.92</v>
      </c>
      <c r="O290" s="3" t="s">
        <v>37</v>
      </c>
      <c r="P290" s="3" t="s">
        <v>36</v>
      </c>
    </row>
    <row r="291" spans="1:16" x14ac:dyDescent="0.3">
      <c r="A291" s="4">
        <v>46075</v>
      </c>
      <c r="B291" s="3" t="s">
        <v>412</v>
      </c>
      <c r="C291" s="3" t="s">
        <v>398</v>
      </c>
      <c r="D291" s="3" t="s">
        <v>400</v>
      </c>
      <c r="E291" s="3">
        <v>36</v>
      </c>
      <c r="F291" s="3">
        <v>0</v>
      </c>
      <c r="G291" s="6">
        <v>0.8</v>
      </c>
      <c r="H291" s="3">
        <v>9.5</v>
      </c>
      <c r="I291" s="3">
        <v>391</v>
      </c>
      <c r="J291" s="3">
        <v>72</v>
      </c>
      <c r="K291" s="5">
        <v>2111</v>
      </c>
      <c r="L291" s="3">
        <v>34</v>
      </c>
      <c r="M291" s="3">
        <v>9</v>
      </c>
      <c r="N291" s="6">
        <v>0.66</v>
      </c>
      <c r="O291" s="3" t="s">
        <v>37</v>
      </c>
      <c r="P291" s="3" t="s">
        <v>40</v>
      </c>
    </row>
    <row r="292" spans="1:16" x14ac:dyDescent="0.3">
      <c r="A292" s="4">
        <v>46075</v>
      </c>
      <c r="B292" s="3" t="s">
        <v>412</v>
      </c>
      <c r="C292" s="3" t="s">
        <v>401</v>
      </c>
      <c r="D292" s="3" t="s">
        <v>402</v>
      </c>
      <c r="E292" s="3">
        <v>27</v>
      </c>
      <c r="F292" s="3">
        <v>0</v>
      </c>
      <c r="G292" s="6">
        <v>0.77</v>
      </c>
      <c r="H292" s="3">
        <v>16.7</v>
      </c>
      <c r="I292" s="3">
        <v>186</v>
      </c>
      <c r="J292" s="3">
        <v>137</v>
      </c>
      <c r="K292" s="5">
        <v>145</v>
      </c>
      <c r="L292" s="3">
        <v>78</v>
      </c>
      <c r="M292" s="3">
        <v>4</v>
      </c>
      <c r="N292" s="6">
        <v>0.82</v>
      </c>
      <c r="O292" s="3" t="s">
        <v>26</v>
      </c>
      <c r="P292" s="3" t="s">
        <v>33</v>
      </c>
    </row>
    <row r="293" spans="1:16" x14ac:dyDescent="0.3">
      <c r="A293" s="4">
        <v>46075</v>
      </c>
      <c r="B293" s="3" t="s">
        <v>412</v>
      </c>
      <c r="C293" s="3" t="s">
        <v>401</v>
      </c>
      <c r="D293" s="3" t="s">
        <v>403</v>
      </c>
      <c r="E293" s="3">
        <v>38</v>
      </c>
      <c r="F293" s="3">
        <v>1</v>
      </c>
      <c r="G293" s="6">
        <v>0.79</v>
      </c>
      <c r="H293" s="3">
        <v>12.7</v>
      </c>
      <c r="I293" s="3">
        <v>441</v>
      </c>
      <c r="J293" s="3">
        <v>19</v>
      </c>
      <c r="K293" s="5">
        <v>1416</v>
      </c>
      <c r="L293" s="3">
        <v>75</v>
      </c>
      <c r="M293" s="3">
        <v>1</v>
      </c>
      <c r="N293" s="6">
        <v>0.61</v>
      </c>
      <c r="O293" s="3" t="s">
        <v>13</v>
      </c>
      <c r="P293" s="3" t="s">
        <v>21</v>
      </c>
    </row>
    <row r="294" spans="1:16" x14ac:dyDescent="0.3">
      <c r="A294" s="4">
        <v>46075</v>
      </c>
      <c r="B294" s="3" t="s">
        <v>412</v>
      </c>
      <c r="C294" s="3" t="s">
        <v>404</v>
      </c>
      <c r="D294" s="3" t="s">
        <v>405</v>
      </c>
      <c r="E294" s="3">
        <v>23</v>
      </c>
      <c r="F294" s="3">
        <v>3</v>
      </c>
      <c r="G294" s="6">
        <v>0.82</v>
      </c>
      <c r="H294" s="3">
        <v>12.7</v>
      </c>
      <c r="I294" s="3">
        <v>246</v>
      </c>
      <c r="J294" s="3">
        <v>0</v>
      </c>
      <c r="K294" s="5">
        <v>1079</v>
      </c>
      <c r="L294" s="3">
        <v>57</v>
      </c>
      <c r="M294" s="3">
        <v>5</v>
      </c>
      <c r="N294" s="6">
        <v>0.73</v>
      </c>
      <c r="O294" s="3" t="s">
        <v>37</v>
      </c>
      <c r="P294" s="3" t="s">
        <v>40</v>
      </c>
    </row>
    <row r="295" spans="1:16" x14ac:dyDescent="0.3">
      <c r="A295" s="4">
        <v>46075</v>
      </c>
      <c r="B295" s="3" t="s">
        <v>412</v>
      </c>
      <c r="C295" s="3" t="s">
        <v>404</v>
      </c>
      <c r="D295" s="3" t="s">
        <v>406</v>
      </c>
      <c r="E295" s="3">
        <v>37</v>
      </c>
      <c r="F295" s="3">
        <v>3</v>
      </c>
      <c r="G295" s="6">
        <v>0.79</v>
      </c>
      <c r="H295" s="3">
        <v>16.7</v>
      </c>
      <c r="I295" s="3">
        <v>30</v>
      </c>
      <c r="J295" s="3">
        <v>82</v>
      </c>
      <c r="K295" s="5">
        <v>454</v>
      </c>
      <c r="L295" s="3">
        <v>32</v>
      </c>
      <c r="M295" s="3">
        <v>8</v>
      </c>
      <c r="N295" s="6">
        <v>0.76</v>
      </c>
      <c r="O295" s="3" t="s">
        <v>18</v>
      </c>
      <c r="P295" s="3" t="s">
        <v>55</v>
      </c>
    </row>
    <row r="296" spans="1:16" x14ac:dyDescent="0.3">
      <c r="A296" s="4">
        <v>46076</v>
      </c>
      <c r="B296" s="3" t="s">
        <v>397</v>
      </c>
      <c r="C296" s="3" t="s">
        <v>398</v>
      </c>
      <c r="D296" s="3" t="s">
        <v>399</v>
      </c>
      <c r="E296" s="3">
        <v>31</v>
      </c>
      <c r="F296" s="3">
        <v>1</v>
      </c>
      <c r="G296" s="6">
        <v>0.86</v>
      </c>
      <c r="H296" s="3">
        <v>17.600000000000001</v>
      </c>
      <c r="I296" s="3">
        <v>320</v>
      </c>
      <c r="J296" s="3">
        <v>38</v>
      </c>
      <c r="K296" s="5">
        <v>1760</v>
      </c>
      <c r="L296" s="3">
        <v>7</v>
      </c>
      <c r="M296" s="3">
        <v>2</v>
      </c>
      <c r="N296" s="6">
        <v>0.78</v>
      </c>
      <c r="O296" s="3" t="s">
        <v>18</v>
      </c>
      <c r="P296" s="3" t="s">
        <v>17</v>
      </c>
    </row>
    <row r="297" spans="1:16" x14ac:dyDescent="0.3">
      <c r="A297" s="4">
        <v>46076</v>
      </c>
      <c r="B297" s="3" t="s">
        <v>397</v>
      </c>
      <c r="C297" s="3" t="s">
        <v>398</v>
      </c>
      <c r="D297" s="3" t="s">
        <v>400</v>
      </c>
      <c r="E297" s="3">
        <v>34</v>
      </c>
      <c r="F297" s="3">
        <v>1</v>
      </c>
      <c r="G297" s="6">
        <v>0.84</v>
      </c>
      <c r="H297" s="3">
        <v>8.9</v>
      </c>
      <c r="I297" s="3">
        <v>229</v>
      </c>
      <c r="J297" s="3">
        <v>114</v>
      </c>
      <c r="K297" s="5">
        <v>1261</v>
      </c>
      <c r="L297" s="3">
        <v>80</v>
      </c>
      <c r="M297" s="3">
        <v>8</v>
      </c>
      <c r="N297" s="6">
        <v>0.65</v>
      </c>
      <c r="O297" s="3" t="s">
        <v>29</v>
      </c>
      <c r="P297" s="3" t="s">
        <v>28</v>
      </c>
    </row>
    <row r="298" spans="1:16" x14ac:dyDescent="0.3">
      <c r="A298" s="4">
        <v>46076</v>
      </c>
      <c r="B298" s="3" t="s">
        <v>397</v>
      </c>
      <c r="C298" s="3" t="s">
        <v>401</v>
      </c>
      <c r="D298" s="3" t="s">
        <v>402</v>
      </c>
      <c r="E298" s="3">
        <v>22</v>
      </c>
      <c r="F298" s="3">
        <v>0</v>
      </c>
      <c r="G298" s="6">
        <v>0.88</v>
      </c>
      <c r="H298" s="3">
        <v>13.2</v>
      </c>
      <c r="I298" s="3">
        <v>197</v>
      </c>
      <c r="J298" s="3">
        <v>57</v>
      </c>
      <c r="K298" s="5">
        <v>913</v>
      </c>
      <c r="L298" s="3">
        <v>18</v>
      </c>
      <c r="M298" s="3">
        <v>3</v>
      </c>
      <c r="N298" s="6">
        <v>0.82</v>
      </c>
      <c r="O298" s="3" t="s">
        <v>37</v>
      </c>
      <c r="P298" s="3" t="s">
        <v>36</v>
      </c>
    </row>
    <row r="299" spans="1:16" x14ac:dyDescent="0.3">
      <c r="A299" s="4">
        <v>46076</v>
      </c>
      <c r="B299" s="3" t="s">
        <v>397</v>
      </c>
      <c r="C299" s="3" t="s">
        <v>401</v>
      </c>
      <c r="D299" s="3" t="s">
        <v>403</v>
      </c>
      <c r="E299" s="3">
        <v>38</v>
      </c>
      <c r="F299" s="3">
        <v>0</v>
      </c>
      <c r="G299" s="6">
        <v>0.88</v>
      </c>
      <c r="H299" s="3">
        <v>15.9</v>
      </c>
      <c r="I299" s="3">
        <v>224</v>
      </c>
      <c r="J299" s="3">
        <v>61</v>
      </c>
      <c r="K299" s="5">
        <v>3714</v>
      </c>
      <c r="L299" s="3">
        <v>115</v>
      </c>
      <c r="M299" s="3">
        <v>9</v>
      </c>
      <c r="N299" s="6">
        <v>0.74</v>
      </c>
      <c r="O299" s="3" t="s">
        <v>18</v>
      </c>
      <c r="P299" s="3" t="s">
        <v>55</v>
      </c>
    </row>
    <row r="300" spans="1:16" x14ac:dyDescent="0.3">
      <c r="A300" s="4">
        <v>46076</v>
      </c>
      <c r="B300" s="3" t="s">
        <v>397</v>
      </c>
      <c r="C300" s="3" t="s">
        <v>404</v>
      </c>
      <c r="D300" s="3" t="s">
        <v>405</v>
      </c>
      <c r="E300" s="3">
        <v>28</v>
      </c>
      <c r="F300" s="3">
        <v>0</v>
      </c>
      <c r="G300" s="6">
        <v>0.87</v>
      </c>
      <c r="H300" s="3">
        <v>16.399999999999999</v>
      </c>
      <c r="I300" s="3">
        <v>100</v>
      </c>
      <c r="J300" s="3">
        <v>107</v>
      </c>
      <c r="K300" s="5">
        <v>1322</v>
      </c>
      <c r="L300" s="3">
        <v>87</v>
      </c>
      <c r="M300" s="3">
        <v>3</v>
      </c>
      <c r="N300" s="6">
        <v>0.71</v>
      </c>
      <c r="O300" s="3" t="s">
        <v>37</v>
      </c>
      <c r="P300" s="3" t="s">
        <v>40</v>
      </c>
    </row>
    <row r="301" spans="1:16" x14ac:dyDescent="0.3">
      <c r="A301" s="4">
        <v>46076</v>
      </c>
      <c r="B301" s="3" t="s">
        <v>397</v>
      </c>
      <c r="C301" s="3" t="s">
        <v>404</v>
      </c>
      <c r="D301" s="3" t="s">
        <v>406</v>
      </c>
      <c r="E301" s="3">
        <v>37</v>
      </c>
      <c r="F301" s="3">
        <v>1</v>
      </c>
      <c r="G301" s="6">
        <v>0.86</v>
      </c>
      <c r="H301" s="3">
        <v>11.2</v>
      </c>
      <c r="I301" s="3">
        <v>248</v>
      </c>
      <c r="J301" s="3">
        <v>125</v>
      </c>
      <c r="K301" s="5">
        <v>4379</v>
      </c>
      <c r="L301" s="3">
        <v>55</v>
      </c>
      <c r="M301" s="3">
        <v>5</v>
      </c>
      <c r="N301" s="6">
        <v>0.81</v>
      </c>
      <c r="O301" s="3" t="s">
        <v>37</v>
      </c>
      <c r="P301" s="3" t="s">
        <v>36</v>
      </c>
    </row>
    <row r="302" spans="1:16" x14ac:dyDescent="0.3">
      <c r="A302" s="4">
        <v>46077</v>
      </c>
      <c r="B302" s="3" t="s">
        <v>407</v>
      </c>
      <c r="C302" s="3" t="s">
        <v>398</v>
      </c>
      <c r="D302" s="3" t="s">
        <v>399</v>
      </c>
      <c r="E302" s="3">
        <v>23</v>
      </c>
      <c r="F302" s="3">
        <v>0</v>
      </c>
      <c r="G302" s="6">
        <v>0.84</v>
      </c>
      <c r="H302" s="3">
        <v>17.100000000000001</v>
      </c>
      <c r="I302" s="3">
        <v>442</v>
      </c>
      <c r="J302" s="3">
        <v>110</v>
      </c>
      <c r="K302" s="5">
        <v>2845</v>
      </c>
      <c r="L302" s="3">
        <v>105</v>
      </c>
      <c r="M302" s="3">
        <v>3</v>
      </c>
      <c r="N302" s="6">
        <v>0.84</v>
      </c>
      <c r="O302" s="3" t="s">
        <v>26</v>
      </c>
      <c r="P302" s="3" t="s">
        <v>33</v>
      </c>
    </row>
    <row r="303" spans="1:16" x14ac:dyDescent="0.3">
      <c r="A303" s="4">
        <v>46077</v>
      </c>
      <c r="B303" s="3" t="s">
        <v>407</v>
      </c>
      <c r="C303" s="3" t="s">
        <v>398</v>
      </c>
      <c r="D303" s="3" t="s">
        <v>400</v>
      </c>
      <c r="E303" s="3">
        <v>35</v>
      </c>
      <c r="F303" s="3">
        <v>0</v>
      </c>
      <c r="G303" s="6">
        <v>0.75</v>
      </c>
      <c r="H303" s="3">
        <v>15.2</v>
      </c>
      <c r="I303" s="3">
        <v>120</v>
      </c>
      <c r="J303" s="3">
        <v>100</v>
      </c>
      <c r="K303" s="5">
        <v>1642</v>
      </c>
      <c r="L303" s="3">
        <v>53</v>
      </c>
      <c r="M303" s="3">
        <v>2</v>
      </c>
      <c r="N303" s="6">
        <v>0.68</v>
      </c>
      <c r="O303" s="3" t="s">
        <v>26</v>
      </c>
      <c r="P303" s="3" t="s">
        <v>33</v>
      </c>
    </row>
    <row r="304" spans="1:16" x14ac:dyDescent="0.3">
      <c r="A304" s="4">
        <v>46077</v>
      </c>
      <c r="B304" s="3" t="s">
        <v>407</v>
      </c>
      <c r="C304" s="3" t="s">
        <v>401</v>
      </c>
      <c r="D304" s="3" t="s">
        <v>402</v>
      </c>
      <c r="E304" s="3">
        <v>32</v>
      </c>
      <c r="F304" s="3">
        <v>0</v>
      </c>
      <c r="G304" s="6">
        <v>0.82</v>
      </c>
      <c r="H304" s="3">
        <v>9.6</v>
      </c>
      <c r="I304" s="3">
        <v>80</v>
      </c>
      <c r="J304" s="3">
        <v>112</v>
      </c>
      <c r="K304" s="5">
        <v>1912</v>
      </c>
      <c r="L304" s="3">
        <v>117</v>
      </c>
      <c r="M304" s="3">
        <v>3</v>
      </c>
      <c r="N304" s="6">
        <v>0.69</v>
      </c>
      <c r="O304" s="3" t="s">
        <v>29</v>
      </c>
      <c r="P304" s="3" t="s">
        <v>28</v>
      </c>
    </row>
    <row r="305" spans="1:16" x14ac:dyDescent="0.3">
      <c r="A305" s="4">
        <v>46077</v>
      </c>
      <c r="B305" s="3" t="s">
        <v>407</v>
      </c>
      <c r="C305" s="3" t="s">
        <v>401</v>
      </c>
      <c r="D305" s="3" t="s">
        <v>403</v>
      </c>
      <c r="E305" s="3">
        <v>32</v>
      </c>
      <c r="F305" s="3">
        <v>2</v>
      </c>
      <c r="G305" s="6">
        <v>0.78</v>
      </c>
      <c r="H305" s="3">
        <v>15.1</v>
      </c>
      <c r="I305" s="3">
        <v>388</v>
      </c>
      <c r="J305" s="3">
        <v>93</v>
      </c>
      <c r="K305" s="5">
        <v>2544</v>
      </c>
      <c r="L305" s="3">
        <v>41</v>
      </c>
      <c r="M305" s="3">
        <v>5</v>
      </c>
      <c r="N305" s="6">
        <v>0.81</v>
      </c>
      <c r="O305" s="3" t="s">
        <v>26</v>
      </c>
      <c r="P305" s="3" t="s">
        <v>33</v>
      </c>
    </row>
    <row r="306" spans="1:16" x14ac:dyDescent="0.3">
      <c r="A306" s="4">
        <v>46077</v>
      </c>
      <c r="B306" s="3" t="s">
        <v>407</v>
      </c>
      <c r="C306" s="3" t="s">
        <v>404</v>
      </c>
      <c r="D306" s="3" t="s">
        <v>405</v>
      </c>
      <c r="E306" s="3">
        <v>36</v>
      </c>
      <c r="F306" s="3">
        <v>0</v>
      </c>
      <c r="G306" s="6">
        <v>0.86</v>
      </c>
      <c r="H306" s="3">
        <v>15.6</v>
      </c>
      <c r="I306" s="3">
        <v>259</v>
      </c>
      <c r="J306" s="3">
        <v>66</v>
      </c>
      <c r="K306" s="5">
        <v>4080</v>
      </c>
      <c r="L306" s="3">
        <v>48</v>
      </c>
      <c r="M306" s="3">
        <v>1</v>
      </c>
      <c r="N306" s="6">
        <v>0.89</v>
      </c>
      <c r="O306" s="3" t="s">
        <v>37</v>
      </c>
      <c r="P306" s="3" t="s">
        <v>40</v>
      </c>
    </row>
    <row r="307" spans="1:16" x14ac:dyDescent="0.3">
      <c r="A307" s="4">
        <v>46077</v>
      </c>
      <c r="B307" s="3" t="s">
        <v>407</v>
      </c>
      <c r="C307" s="3" t="s">
        <v>404</v>
      </c>
      <c r="D307" s="3" t="s">
        <v>406</v>
      </c>
      <c r="E307" s="3">
        <v>35</v>
      </c>
      <c r="F307" s="3">
        <v>1</v>
      </c>
      <c r="G307" s="6">
        <v>0.85</v>
      </c>
      <c r="H307" s="3">
        <v>17.399999999999999</v>
      </c>
      <c r="I307" s="3">
        <v>204</v>
      </c>
      <c r="J307" s="3">
        <v>22</v>
      </c>
      <c r="K307" s="5">
        <v>354</v>
      </c>
      <c r="L307" s="3">
        <v>15</v>
      </c>
      <c r="M307" s="3">
        <v>3</v>
      </c>
      <c r="N307" s="6">
        <v>0.79</v>
      </c>
      <c r="O307" s="3" t="s">
        <v>18</v>
      </c>
      <c r="P307" s="3" t="s">
        <v>17</v>
      </c>
    </row>
    <row r="308" spans="1:16" x14ac:dyDescent="0.3">
      <c r="A308" s="4">
        <v>46078</v>
      </c>
      <c r="B308" s="3" t="s">
        <v>408</v>
      </c>
      <c r="C308" s="3" t="s">
        <v>398</v>
      </c>
      <c r="D308" s="3" t="s">
        <v>399</v>
      </c>
      <c r="E308" s="3">
        <v>31</v>
      </c>
      <c r="F308" s="3">
        <v>0</v>
      </c>
      <c r="G308" s="6">
        <v>0.82</v>
      </c>
      <c r="H308" s="3">
        <v>11.1</v>
      </c>
      <c r="I308" s="3">
        <v>36</v>
      </c>
      <c r="J308" s="3">
        <v>66</v>
      </c>
      <c r="K308" s="5">
        <v>2343</v>
      </c>
      <c r="L308" s="3">
        <v>57</v>
      </c>
      <c r="M308" s="3">
        <v>4</v>
      </c>
      <c r="N308" s="6">
        <v>0.78</v>
      </c>
      <c r="O308" s="3" t="s">
        <v>26</v>
      </c>
      <c r="P308" s="3" t="s">
        <v>33</v>
      </c>
    </row>
    <row r="309" spans="1:16" x14ac:dyDescent="0.3">
      <c r="A309" s="4">
        <v>46078</v>
      </c>
      <c r="B309" s="3" t="s">
        <v>408</v>
      </c>
      <c r="C309" s="3" t="s">
        <v>398</v>
      </c>
      <c r="D309" s="3" t="s">
        <v>400</v>
      </c>
      <c r="E309" s="3">
        <v>38</v>
      </c>
      <c r="F309" s="3">
        <v>3</v>
      </c>
      <c r="G309" s="6">
        <v>0.73</v>
      </c>
      <c r="H309" s="3">
        <v>18.100000000000001</v>
      </c>
      <c r="I309" s="3">
        <v>388</v>
      </c>
      <c r="J309" s="3">
        <v>59</v>
      </c>
      <c r="K309" s="5">
        <v>4193</v>
      </c>
      <c r="L309" s="3">
        <v>64</v>
      </c>
      <c r="M309" s="3">
        <v>7</v>
      </c>
      <c r="N309" s="6">
        <v>0.66</v>
      </c>
      <c r="O309" s="3" t="s">
        <v>26</v>
      </c>
      <c r="P309" s="3" t="s">
        <v>33</v>
      </c>
    </row>
    <row r="310" spans="1:16" x14ac:dyDescent="0.3">
      <c r="A310" s="4">
        <v>46078</v>
      </c>
      <c r="B310" s="3" t="s">
        <v>408</v>
      </c>
      <c r="C310" s="3" t="s">
        <v>401</v>
      </c>
      <c r="D310" s="3" t="s">
        <v>402</v>
      </c>
      <c r="E310" s="3">
        <v>33</v>
      </c>
      <c r="F310" s="3">
        <v>1</v>
      </c>
      <c r="G310" s="6">
        <v>0.75</v>
      </c>
      <c r="H310" s="3">
        <v>14.1</v>
      </c>
      <c r="I310" s="3">
        <v>413</v>
      </c>
      <c r="J310" s="3">
        <v>48</v>
      </c>
      <c r="K310" s="5">
        <v>435</v>
      </c>
      <c r="L310" s="3">
        <v>108</v>
      </c>
      <c r="M310" s="3">
        <v>0</v>
      </c>
      <c r="N310" s="6">
        <v>0.78</v>
      </c>
      <c r="O310" s="3" t="s">
        <v>26</v>
      </c>
      <c r="P310" s="3" t="s">
        <v>25</v>
      </c>
    </row>
    <row r="311" spans="1:16" x14ac:dyDescent="0.3">
      <c r="A311" s="4">
        <v>46078</v>
      </c>
      <c r="B311" s="3" t="s">
        <v>408</v>
      </c>
      <c r="C311" s="3" t="s">
        <v>401</v>
      </c>
      <c r="D311" s="3" t="s">
        <v>403</v>
      </c>
      <c r="E311" s="3">
        <v>26</v>
      </c>
      <c r="F311" s="3">
        <v>0</v>
      </c>
      <c r="G311" s="6">
        <v>0.73</v>
      </c>
      <c r="H311" s="3">
        <v>13.2</v>
      </c>
      <c r="I311" s="3">
        <v>189</v>
      </c>
      <c r="J311" s="3">
        <v>147</v>
      </c>
      <c r="K311" s="5">
        <v>2931</v>
      </c>
      <c r="L311" s="3">
        <v>98</v>
      </c>
      <c r="M311" s="3">
        <v>1</v>
      </c>
      <c r="N311" s="6">
        <v>0.6</v>
      </c>
      <c r="O311" s="3" t="s">
        <v>29</v>
      </c>
      <c r="P311" s="3" t="s">
        <v>28</v>
      </c>
    </row>
    <row r="312" spans="1:16" x14ac:dyDescent="0.3">
      <c r="A312" s="4">
        <v>46078</v>
      </c>
      <c r="B312" s="3" t="s">
        <v>408</v>
      </c>
      <c r="C312" s="3" t="s">
        <v>404</v>
      </c>
      <c r="D312" s="3" t="s">
        <v>405</v>
      </c>
      <c r="E312" s="3">
        <v>29</v>
      </c>
      <c r="F312" s="3">
        <v>1</v>
      </c>
      <c r="G312" s="6">
        <v>0.78</v>
      </c>
      <c r="H312" s="3">
        <v>11.1</v>
      </c>
      <c r="I312" s="3">
        <v>113</v>
      </c>
      <c r="J312" s="3">
        <v>36</v>
      </c>
      <c r="K312" s="5">
        <v>1517</v>
      </c>
      <c r="L312" s="3">
        <v>36</v>
      </c>
      <c r="M312" s="3">
        <v>4</v>
      </c>
      <c r="N312" s="6">
        <v>0.73</v>
      </c>
      <c r="O312" s="3" t="s">
        <v>29</v>
      </c>
      <c r="P312" s="3" t="s">
        <v>66</v>
      </c>
    </row>
    <row r="313" spans="1:16" x14ac:dyDescent="0.3">
      <c r="A313" s="4">
        <v>46078</v>
      </c>
      <c r="B313" s="3" t="s">
        <v>408</v>
      </c>
      <c r="C313" s="3" t="s">
        <v>404</v>
      </c>
      <c r="D313" s="3" t="s">
        <v>406</v>
      </c>
      <c r="E313" s="3">
        <v>22</v>
      </c>
      <c r="F313" s="3">
        <v>2</v>
      </c>
      <c r="G313" s="6">
        <v>0.78</v>
      </c>
      <c r="H313" s="3">
        <v>9.6999999999999993</v>
      </c>
      <c r="I313" s="3">
        <v>355</v>
      </c>
      <c r="J313" s="3">
        <v>71</v>
      </c>
      <c r="K313" s="5">
        <v>3178</v>
      </c>
      <c r="L313" s="3">
        <v>44</v>
      </c>
      <c r="M313" s="3">
        <v>1</v>
      </c>
      <c r="N313" s="6">
        <v>0.76</v>
      </c>
      <c r="O313" s="3" t="s">
        <v>26</v>
      </c>
      <c r="P313" s="3" t="s">
        <v>33</v>
      </c>
    </row>
    <row r="314" spans="1:16" x14ac:dyDescent="0.3">
      <c r="A314" s="4">
        <v>46079</v>
      </c>
      <c r="B314" s="3" t="s">
        <v>409</v>
      </c>
      <c r="C314" s="3" t="s">
        <v>398</v>
      </c>
      <c r="D314" s="3" t="s">
        <v>399</v>
      </c>
      <c r="E314" s="3">
        <v>25</v>
      </c>
      <c r="F314" s="3">
        <v>1</v>
      </c>
      <c r="G314" s="6">
        <v>0.74</v>
      </c>
      <c r="H314" s="3">
        <v>17.2</v>
      </c>
      <c r="I314" s="3">
        <v>371</v>
      </c>
      <c r="J314" s="3">
        <v>128</v>
      </c>
      <c r="K314" s="5">
        <v>890</v>
      </c>
      <c r="L314" s="3">
        <v>14</v>
      </c>
      <c r="M314" s="3">
        <v>5</v>
      </c>
      <c r="N314" s="6">
        <v>0.57999999999999996</v>
      </c>
      <c r="O314" s="3" t="s">
        <v>13</v>
      </c>
      <c r="P314" s="3" t="s">
        <v>21</v>
      </c>
    </row>
    <row r="315" spans="1:16" x14ac:dyDescent="0.3">
      <c r="A315" s="4">
        <v>46079</v>
      </c>
      <c r="B315" s="3" t="s">
        <v>409</v>
      </c>
      <c r="C315" s="3" t="s">
        <v>398</v>
      </c>
      <c r="D315" s="3" t="s">
        <v>400</v>
      </c>
      <c r="E315" s="3">
        <v>28</v>
      </c>
      <c r="F315" s="3">
        <v>0</v>
      </c>
      <c r="G315" s="6">
        <v>0.86</v>
      </c>
      <c r="H315" s="3">
        <v>12.4</v>
      </c>
      <c r="I315" s="3">
        <v>288</v>
      </c>
      <c r="J315" s="3">
        <v>81</v>
      </c>
      <c r="K315" s="5">
        <v>2347</v>
      </c>
      <c r="L315" s="3">
        <v>20</v>
      </c>
      <c r="M315" s="3">
        <v>5</v>
      </c>
      <c r="N315" s="6">
        <v>0.79</v>
      </c>
      <c r="O315" s="3" t="s">
        <v>18</v>
      </c>
      <c r="P315" s="3" t="s">
        <v>55</v>
      </c>
    </row>
    <row r="316" spans="1:16" x14ac:dyDescent="0.3">
      <c r="A316" s="4">
        <v>46079</v>
      </c>
      <c r="B316" s="3" t="s">
        <v>409</v>
      </c>
      <c r="C316" s="3" t="s">
        <v>401</v>
      </c>
      <c r="D316" s="3" t="s">
        <v>402</v>
      </c>
      <c r="E316" s="3">
        <v>28</v>
      </c>
      <c r="F316" s="3">
        <v>2</v>
      </c>
      <c r="G316" s="6">
        <v>0.82</v>
      </c>
      <c r="H316" s="3">
        <v>9.5</v>
      </c>
      <c r="I316" s="3">
        <v>292</v>
      </c>
      <c r="J316" s="3">
        <v>114</v>
      </c>
      <c r="K316" s="5">
        <v>2399</v>
      </c>
      <c r="L316" s="3">
        <v>29</v>
      </c>
      <c r="M316" s="3">
        <v>0</v>
      </c>
      <c r="N316" s="6">
        <v>0.64</v>
      </c>
      <c r="O316" s="3" t="s">
        <v>13</v>
      </c>
      <c r="P316" s="3" t="s">
        <v>12</v>
      </c>
    </row>
    <row r="317" spans="1:16" x14ac:dyDescent="0.3">
      <c r="A317" s="4">
        <v>46079</v>
      </c>
      <c r="B317" s="3" t="s">
        <v>409</v>
      </c>
      <c r="C317" s="3" t="s">
        <v>401</v>
      </c>
      <c r="D317" s="3" t="s">
        <v>403</v>
      </c>
      <c r="E317" s="3">
        <v>26</v>
      </c>
      <c r="F317" s="3">
        <v>0</v>
      </c>
      <c r="G317" s="6">
        <v>0.87</v>
      </c>
      <c r="H317" s="3">
        <v>14.2</v>
      </c>
      <c r="I317" s="3">
        <v>288</v>
      </c>
      <c r="J317" s="3">
        <v>99</v>
      </c>
      <c r="K317" s="5">
        <v>3375</v>
      </c>
      <c r="L317" s="3">
        <v>64</v>
      </c>
      <c r="M317" s="3">
        <v>6</v>
      </c>
      <c r="N317" s="6">
        <v>0.82</v>
      </c>
      <c r="O317" s="3" t="s">
        <v>37</v>
      </c>
      <c r="P317" s="3" t="s">
        <v>40</v>
      </c>
    </row>
    <row r="318" spans="1:16" x14ac:dyDescent="0.3">
      <c r="A318" s="4">
        <v>46079</v>
      </c>
      <c r="B318" s="3" t="s">
        <v>409</v>
      </c>
      <c r="C318" s="3" t="s">
        <v>404</v>
      </c>
      <c r="D318" s="3" t="s">
        <v>405</v>
      </c>
      <c r="E318" s="3">
        <v>35</v>
      </c>
      <c r="F318" s="3">
        <v>1</v>
      </c>
      <c r="G318" s="6">
        <v>0.8</v>
      </c>
      <c r="H318" s="3">
        <v>8.3000000000000007</v>
      </c>
      <c r="I318" s="3">
        <v>162</v>
      </c>
      <c r="J318" s="3">
        <v>57</v>
      </c>
      <c r="K318" s="5">
        <v>1380</v>
      </c>
      <c r="L318" s="3">
        <v>5</v>
      </c>
      <c r="M318" s="3">
        <v>1</v>
      </c>
      <c r="N318" s="6">
        <v>0.75</v>
      </c>
      <c r="O318" s="3" t="s">
        <v>37</v>
      </c>
      <c r="P318" s="3" t="s">
        <v>40</v>
      </c>
    </row>
    <row r="319" spans="1:16" x14ac:dyDescent="0.3">
      <c r="A319" s="4">
        <v>46079</v>
      </c>
      <c r="B319" s="3" t="s">
        <v>409</v>
      </c>
      <c r="C319" s="3" t="s">
        <v>404</v>
      </c>
      <c r="D319" s="3" t="s">
        <v>406</v>
      </c>
      <c r="E319" s="3">
        <v>21</v>
      </c>
      <c r="F319" s="3">
        <v>0</v>
      </c>
      <c r="G319" s="6">
        <v>0.86</v>
      </c>
      <c r="H319" s="3">
        <v>15.8</v>
      </c>
      <c r="I319" s="3">
        <v>372</v>
      </c>
      <c r="J319" s="3">
        <v>132</v>
      </c>
      <c r="K319" s="5">
        <v>903</v>
      </c>
      <c r="L319" s="3">
        <v>62</v>
      </c>
      <c r="M319" s="3">
        <v>4</v>
      </c>
      <c r="N319" s="6">
        <v>0.82</v>
      </c>
      <c r="O319" s="3" t="s">
        <v>18</v>
      </c>
      <c r="P319" s="3" t="s">
        <v>55</v>
      </c>
    </row>
    <row r="320" spans="1:16" x14ac:dyDescent="0.3">
      <c r="A320" s="4">
        <v>46080</v>
      </c>
      <c r="B320" s="3" t="s">
        <v>410</v>
      </c>
      <c r="C320" s="3" t="s">
        <v>398</v>
      </c>
      <c r="D320" s="3" t="s">
        <v>399</v>
      </c>
      <c r="E320" s="3">
        <v>20</v>
      </c>
      <c r="F320" s="3">
        <v>0</v>
      </c>
      <c r="G320" s="6">
        <v>0.82</v>
      </c>
      <c r="H320" s="3">
        <v>12.6</v>
      </c>
      <c r="I320" s="3">
        <v>199</v>
      </c>
      <c r="J320" s="3">
        <v>28</v>
      </c>
      <c r="K320" s="5">
        <v>3780</v>
      </c>
      <c r="L320" s="3">
        <v>5</v>
      </c>
      <c r="M320" s="3">
        <v>5</v>
      </c>
      <c r="N320" s="6">
        <v>0.8</v>
      </c>
      <c r="O320" s="3" t="s">
        <v>13</v>
      </c>
      <c r="P320" s="3" t="s">
        <v>12</v>
      </c>
    </row>
    <row r="321" spans="1:16" x14ac:dyDescent="0.3">
      <c r="A321" s="4">
        <v>46080</v>
      </c>
      <c r="B321" s="3" t="s">
        <v>410</v>
      </c>
      <c r="C321" s="3" t="s">
        <v>398</v>
      </c>
      <c r="D321" s="3" t="s">
        <v>400</v>
      </c>
      <c r="E321" s="3">
        <v>37</v>
      </c>
      <c r="F321" s="3">
        <v>0</v>
      </c>
      <c r="G321" s="6">
        <v>0.84</v>
      </c>
      <c r="H321" s="3">
        <v>7.7</v>
      </c>
      <c r="I321" s="3">
        <v>241</v>
      </c>
      <c r="J321" s="3">
        <v>124</v>
      </c>
      <c r="K321" s="5">
        <v>1446</v>
      </c>
      <c r="L321" s="3">
        <v>41</v>
      </c>
      <c r="M321" s="3">
        <v>5</v>
      </c>
      <c r="N321" s="6">
        <v>0.85</v>
      </c>
      <c r="O321" s="3" t="s">
        <v>37</v>
      </c>
      <c r="P321" s="3" t="s">
        <v>40</v>
      </c>
    </row>
    <row r="322" spans="1:16" x14ac:dyDescent="0.3">
      <c r="A322" s="4">
        <v>46080</v>
      </c>
      <c r="B322" s="3" t="s">
        <v>410</v>
      </c>
      <c r="C322" s="3" t="s">
        <v>401</v>
      </c>
      <c r="D322" s="3" t="s">
        <v>402</v>
      </c>
      <c r="E322" s="3">
        <v>38</v>
      </c>
      <c r="F322" s="3">
        <v>0</v>
      </c>
      <c r="G322" s="6">
        <v>0.81</v>
      </c>
      <c r="H322" s="3">
        <v>15.7</v>
      </c>
      <c r="I322" s="3">
        <v>162</v>
      </c>
      <c r="J322" s="3">
        <v>33</v>
      </c>
      <c r="K322" s="5">
        <v>3603</v>
      </c>
      <c r="L322" s="3">
        <v>7</v>
      </c>
      <c r="M322" s="3">
        <v>5</v>
      </c>
      <c r="N322" s="6">
        <v>0.74</v>
      </c>
      <c r="O322" s="3" t="s">
        <v>18</v>
      </c>
      <c r="P322" s="3" t="s">
        <v>17</v>
      </c>
    </row>
    <row r="323" spans="1:16" x14ac:dyDescent="0.3">
      <c r="A323" s="4">
        <v>46080</v>
      </c>
      <c r="B323" s="3" t="s">
        <v>410</v>
      </c>
      <c r="C323" s="3" t="s">
        <v>401</v>
      </c>
      <c r="D323" s="3" t="s">
        <v>403</v>
      </c>
      <c r="E323" s="3">
        <v>38</v>
      </c>
      <c r="F323" s="3">
        <v>0</v>
      </c>
      <c r="G323" s="6">
        <v>0.77</v>
      </c>
      <c r="H323" s="3">
        <v>17.600000000000001</v>
      </c>
      <c r="I323" s="3">
        <v>53</v>
      </c>
      <c r="J323" s="3">
        <v>142</v>
      </c>
      <c r="K323" s="5">
        <v>2849</v>
      </c>
      <c r="L323" s="3">
        <v>106</v>
      </c>
      <c r="M323" s="3">
        <v>3</v>
      </c>
      <c r="N323" s="6">
        <v>0.82</v>
      </c>
      <c r="O323" s="3" t="s">
        <v>29</v>
      </c>
      <c r="P323" s="3" t="s">
        <v>28</v>
      </c>
    </row>
    <row r="324" spans="1:16" x14ac:dyDescent="0.3">
      <c r="A324" s="4">
        <v>46080</v>
      </c>
      <c r="B324" s="3" t="s">
        <v>410</v>
      </c>
      <c r="C324" s="3" t="s">
        <v>404</v>
      </c>
      <c r="D324" s="3" t="s">
        <v>405</v>
      </c>
      <c r="E324" s="3">
        <v>35</v>
      </c>
      <c r="F324" s="3">
        <v>2</v>
      </c>
      <c r="G324" s="6">
        <v>0.89</v>
      </c>
      <c r="H324" s="3">
        <v>8.6999999999999993</v>
      </c>
      <c r="I324" s="3">
        <v>415</v>
      </c>
      <c r="J324" s="3">
        <v>121</v>
      </c>
      <c r="K324" s="5">
        <v>939</v>
      </c>
      <c r="L324" s="3">
        <v>74</v>
      </c>
      <c r="M324" s="3">
        <v>6</v>
      </c>
      <c r="N324" s="6">
        <v>0.89</v>
      </c>
      <c r="O324" s="3" t="s">
        <v>37</v>
      </c>
      <c r="P324" s="3" t="s">
        <v>36</v>
      </c>
    </row>
    <row r="325" spans="1:16" x14ac:dyDescent="0.3">
      <c r="A325" s="4">
        <v>46080</v>
      </c>
      <c r="B325" s="3" t="s">
        <v>410</v>
      </c>
      <c r="C325" s="3" t="s">
        <v>404</v>
      </c>
      <c r="D325" s="3" t="s">
        <v>406</v>
      </c>
      <c r="E325" s="3">
        <v>26</v>
      </c>
      <c r="F325" s="3">
        <v>0</v>
      </c>
      <c r="G325" s="6">
        <v>0.88</v>
      </c>
      <c r="H325" s="3">
        <v>9</v>
      </c>
      <c r="I325" s="3">
        <v>383</v>
      </c>
      <c r="J325" s="3">
        <v>35</v>
      </c>
      <c r="K325" s="5">
        <v>2306</v>
      </c>
      <c r="L325" s="3">
        <v>63</v>
      </c>
      <c r="M325" s="3">
        <v>5</v>
      </c>
      <c r="N325" s="6">
        <v>0.83</v>
      </c>
      <c r="O325" s="3" t="s">
        <v>37</v>
      </c>
      <c r="P325" s="3" t="s">
        <v>40</v>
      </c>
    </row>
    <row r="326" spans="1:16" x14ac:dyDescent="0.3">
      <c r="A326" s="4">
        <v>46081</v>
      </c>
      <c r="B326" s="3" t="s">
        <v>411</v>
      </c>
      <c r="C326" s="3" t="s">
        <v>398</v>
      </c>
      <c r="D326" s="3" t="s">
        <v>399</v>
      </c>
      <c r="E326" s="3">
        <v>24</v>
      </c>
      <c r="F326" s="3">
        <v>1</v>
      </c>
      <c r="G326" s="6">
        <v>0.77</v>
      </c>
      <c r="H326" s="3">
        <v>18.399999999999999</v>
      </c>
      <c r="I326" s="3">
        <v>247</v>
      </c>
      <c r="J326" s="3">
        <v>114</v>
      </c>
      <c r="K326" s="5">
        <v>1741</v>
      </c>
      <c r="L326" s="3">
        <v>50</v>
      </c>
      <c r="M326" s="3">
        <v>6</v>
      </c>
      <c r="N326" s="6">
        <v>0.7</v>
      </c>
      <c r="O326" s="3" t="s">
        <v>29</v>
      </c>
      <c r="P326" s="3" t="s">
        <v>66</v>
      </c>
    </row>
    <row r="327" spans="1:16" x14ac:dyDescent="0.3">
      <c r="A327" s="4">
        <v>46081</v>
      </c>
      <c r="B327" s="3" t="s">
        <v>411</v>
      </c>
      <c r="C327" s="3" t="s">
        <v>398</v>
      </c>
      <c r="D327" s="3" t="s">
        <v>400</v>
      </c>
      <c r="E327" s="3">
        <v>29</v>
      </c>
      <c r="F327" s="3">
        <v>1</v>
      </c>
      <c r="G327" s="6">
        <v>0.89</v>
      </c>
      <c r="H327" s="3">
        <v>15.2</v>
      </c>
      <c r="I327" s="3">
        <v>198</v>
      </c>
      <c r="J327" s="3">
        <v>78</v>
      </c>
      <c r="K327" s="5">
        <v>3882</v>
      </c>
      <c r="L327" s="3">
        <v>100</v>
      </c>
      <c r="M327" s="3">
        <v>7</v>
      </c>
      <c r="N327" s="6">
        <v>0.78</v>
      </c>
      <c r="O327" s="3" t="s">
        <v>26</v>
      </c>
      <c r="P327" s="3" t="s">
        <v>33</v>
      </c>
    </row>
    <row r="328" spans="1:16" x14ac:dyDescent="0.3">
      <c r="A328" s="4">
        <v>46081</v>
      </c>
      <c r="B328" s="3" t="s">
        <v>411</v>
      </c>
      <c r="C328" s="3" t="s">
        <v>401</v>
      </c>
      <c r="D328" s="3" t="s">
        <v>402</v>
      </c>
      <c r="E328" s="3">
        <v>28</v>
      </c>
      <c r="F328" s="3">
        <v>0</v>
      </c>
      <c r="G328" s="6">
        <v>0.79</v>
      </c>
      <c r="H328" s="3">
        <v>12.5</v>
      </c>
      <c r="I328" s="3">
        <v>317</v>
      </c>
      <c r="J328" s="3">
        <v>99</v>
      </c>
      <c r="K328" s="5">
        <v>1484</v>
      </c>
      <c r="L328" s="3">
        <v>85</v>
      </c>
      <c r="M328" s="3">
        <v>0</v>
      </c>
      <c r="N328" s="6">
        <v>0.71</v>
      </c>
      <c r="O328" s="3" t="s">
        <v>26</v>
      </c>
      <c r="P328" s="3" t="s">
        <v>25</v>
      </c>
    </row>
    <row r="329" spans="1:16" x14ac:dyDescent="0.3">
      <c r="A329" s="4">
        <v>46081</v>
      </c>
      <c r="B329" s="3" t="s">
        <v>411</v>
      </c>
      <c r="C329" s="3" t="s">
        <v>401</v>
      </c>
      <c r="D329" s="3" t="s">
        <v>403</v>
      </c>
      <c r="E329" s="3">
        <v>23</v>
      </c>
      <c r="F329" s="3">
        <v>0</v>
      </c>
      <c r="G329" s="6">
        <v>0.78</v>
      </c>
      <c r="H329" s="3">
        <v>9.3000000000000007</v>
      </c>
      <c r="I329" s="3">
        <v>327</v>
      </c>
      <c r="J329" s="3">
        <v>142</v>
      </c>
      <c r="K329" s="5">
        <v>3121</v>
      </c>
      <c r="L329" s="3">
        <v>74</v>
      </c>
      <c r="M329" s="3">
        <v>4</v>
      </c>
      <c r="N329" s="6">
        <v>0.67</v>
      </c>
      <c r="O329" s="3" t="s">
        <v>18</v>
      </c>
      <c r="P329" s="3" t="s">
        <v>17</v>
      </c>
    </row>
    <row r="330" spans="1:16" x14ac:dyDescent="0.3">
      <c r="A330" s="4">
        <v>46081</v>
      </c>
      <c r="B330" s="3" t="s">
        <v>411</v>
      </c>
      <c r="C330" s="3" t="s">
        <v>404</v>
      </c>
      <c r="D330" s="3" t="s">
        <v>405</v>
      </c>
      <c r="E330" s="3">
        <v>21</v>
      </c>
      <c r="F330" s="3">
        <v>1</v>
      </c>
      <c r="G330" s="6">
        <v>0.86</v>
      </c>
      <c r="H330" s="3">
        <v>9.6</v>
      </c>
      <c r="I330" s="3">
        <v>276</v>
      </c>
      <c r="J330" s="3">
        <v>0</v>
      </c>
      <c r="K330" s="5">
        <v>2686</v>
      </c>
      <c r="L330" s="3">
        <v>113</v>
      </c>
      <c r="M330" s="3">
        <v>0</v>
      </c>
      <c r="N330" s="6">
        <v>0.81</v>
      </c>
      <c r="O330" s="3" t="s">
        <v>26</v>
      </c>
      <c r="P330" s="3" t="s">
        <v>33</v>
      </c>
    </row>
    <row r="331" spans="1:16" x14ac:dyDescent="0.3">
      <c r="A331" s="4">
        <v>46081</v>
      </c>
      <c r="B331" s="3" t="s">
        <v>411</v>
      </c>
      <c r="C331" s="3" t="s">
        <v>404</v>
      </c>
      <c r="D331" s="3" t="s">
        <v>406</v>
      </c>
      <c r="E331" s="3">
        <v>38</v>
      </c>
      <c r="F331" s="3">
        <v>2</v>
      </c>
      <c r="G331" s="6">
        <v>0.76</v>
      </c>
      <c r="H331" s="3">
        <v>10.6</v>
      </c>
      <c r="I331" s="3">
        <v>153</v>
      </c>
      <c r="J331" s="3">
        <v>150</v>
      </c>
      <c r="K331" s="5">
        <v>2752</v>
      </c>
      <c r="L331" s="3">
        <v>74</v>
      </c>
      <c r="M331" s="3">
        <v>3</v>
      </c>
      <c r="N331" s="6">
        <v>0.62</v>
      </c>
      <c r="O331" s="3" t="s">
        <v>37</v>
      </c>
      <c r="P331" s="3" t="s">
        <v>40</v>
      </c>
    </row>
    <row r="332" spans="1:16" x14ac:dyDescent="0.3">
      <c r="A332" s="4">
        <v>46082</v>
      </c>
      <c r="B332" s="3" t="s">
        <v>412</v>
      </c>
      <c r="C332" s="3" t="s">
        <v>398</v>
      </c>
      <c r="D332" s="3" t="s">
        <v>399</v>
      </c>
      <c r="E332" s="3">
        <v>28</v>
      </c>
      <c r="F332" s="3">
        <v>1</v>
      </c>
      <c r="G332" s="6">
        <v>0.89</v>
      </c>
      <c r="H332" s="3">
        <v>15.6</v>
      </c>
      <c r="I332" s="3">
        <v>239</v>
      </c>
      <c r="J332" s="3">
        <v>7</v>
      </c>
      <c r="K332" s="5">
        <v>2960</v>
      </c>
      <c r="L332" s="3">
        <v>76</v>
      </c>
      <c r="M332" s="3">
        <v>6</v>
      </c>
      <c r="N332" s="6">
        <v>0.88</v>
      </c>
      <c r="O332" s="3" t="s">
        <v>26</v>
      </c>
      <c r="P332" s="3" t="s">
        <v>33</v>
      </c>
    </row>
    <row r="333" spans="1:16" x14ac:dyDescent="0.3">
      <c r="A333" s="4">
        <v>46082</v>
      </c>
      <c r="B333" s="3" t="s">
        <v>412</v>
      </c>
      <c r="C333" s="3" t="s">
        <v>398</v>
      </c>
      <c r="D333" s="3" t="s">
        <v>400</v>
      </c>
      <c r="E333" s="3">
        <v>23</v>
      </c>
      <c r="F333" s="3">
        <v>1</v>
      </c>
      <c r="G333" s="6">
        <v>0.88</v>
      </c>
      <c r="H333" s="3">
        <v>7.9</v>
      </c>
      <c r="I333" s="3">
        <v>133</v>
      </c>
      <c r="J333" s="3">
        <v>39</v>
      </c>
      <c r="K333" s="5">
        <v>258</v>
      </c>
      <c r="L333" s="3">
        <v>18</v>
      </c>
      <c r="M333" s="3">
        <v>5</v>
      </c>
      <c r="N333" s="6">
        <v>0.82</v>
      </c>
      <c r="O333" s="3" t="s">
        <v>26</v>
      </c>
      <c r="P333" s="3" t="s">
        <v>25</v>
      </c>
    </row>
    <row r="334" spans="1:16" x14ac:dyDescent="0.3">
      <c r="A334" s="4">
        <v>46082</v>
      </c>
      <c r="B334" s="3" t="s">
        <v>412</v>
      </c>
      <c r="C334" s="3" t="s">
        <v>401</v>
      </c>
      <c r="D334" s="3" t="s">
        <v>402</v>
      </c>
      <c r="E334" s="3">
        <v>30</v>
      </c>
      <c r="F334" s="3">
        <v>0</v>
      </c>
      <c r="G334" s="6">
        <v>0.76</v>
      </c>
      <c r="H334" s="3">
        <v>17.8</v>
      </c>
      <c r="I334" s="3">
        <v>351</v>
      </c>
      <c r="J334" s="3">
        <v>85</v>
      </c>
      <c r="K334" s="5">
        <v>4303</v>
      </c>
      <c r="L334" s="3">
        <v>26</v>
      </c>
      <c r="M334" s="3">
        <v>3</v>
      </c>
      <c r="N334" s="6">
        <v>0.73</v>
      </c>
      <c r="O334" s="3" t="s">
        <v>13</v>
      </c>
      <c r="P334" s="3" t="s">
        <v>21</v>
      </c>
    </row>
    <row r="335" spans="1:16" x14ac:dyDescent="0.3">
      <c r="A335" s="4">
        <v>46082</v>
      </c>
      <c r="B335" s="3" t="s">
        <v>412</v>
      </c>
      <c r="C335" s="3" t="s">
        <v>401</v>
      </c>
      <c r="D335" s="3" t="s">
        <v>403</v>
      </c>
      <c r="E335" s="3">
        <v>26</v>
      </c>
      <c r="F335" s="3">
        <v>0</v>
      </c>
      <c r="G335" s="6">
        <v>0.73</v>
      </c>
      <c r="H335" s="3">
        <v>11.5</v>
      </c>
      <c r="I335" s="3">
        <v>64</v>
      </c>
      <c r="J335" s="3">
        <v>145</v>
      </c>
      <c r="K335" s="5">
        <v>890</v>
      </c>
      <c r="L335" s="3">
        <v>15</v>
      </c>
      <c r="M335" s="3">
        <v>4</v>
      </c>
      <c r="N335" s="6">
        <v>0.61</v>
      </c>
      <c r="O335" s="3" t="s">
        <v>18</v>
      </c>
      <c r="P335" s="3" t="s">
        <v>55</v>
      </c>
    </row>
    <row r="336" spans="1:16" x14ac:dyDescent="0.3">
      <c r="A336" s="4">
        <v>46082</v>
      </c>
      <c r="B336" s="3" t="s">
        <v>412</v>
      </c>
      <c r="C336" s="3" t="s">
        <v>404</v>
      </c>
      <c r="D336" s="3" t="s">
        <v>405</v>
      </c>
      <c r="E336" s="3">
        <v>21</v>
      </c>
      <c r="F336" s="3">
        <v>0</v>
      </c>
      <c r="G336" s="6">
        <v>0.82</v>
      </c>
      <c r="H336" s="3">
        <v>17</v>
      </c>
      <c r="I336" s="3">
        <v>289</v>
      </c>
      <c r="J336" s="3">
        <v>88</v>
      </c>
      <c r="K336" s="5">
        <v>1542</v>
      </c>
      <c r="L336" s="3">
        <v>26</v>
      </c>
      <c r="M336" s="3">
        <v>5</v>
      </c>
      <c r="N336" s="6">
        <v>0.85</v>
      </c>
      <c r="O336" s="3" t="s">
        <v>37</v>
      </c>
      <c r="P336" s="3" t="s">
        <v>40</v>
      </c>
    </row>
    <row r="337" spans="1:16" x14ac:dyDescent="0.3">
      <c r="A337" s="4">
        <v>46082</v>
      </c>
      <c r="B337" s="3" t="s">
        <v>412</v>
      </c>
      <c r="C337" s="3" t="s">
        <v>404</v>
      </c>
      <c r="D337" s="3" t="s">
        <v>406</v>
      </c>
      <c r="E337" s="3">
        <v>29</v>
      </c>
      <c r="F337" s="3">
        <v>1</v>
      </c>
      <c r="G337" s="6">
        <v>0.76</v>
      </c>
      <c r="H337" s="3">
        <v>11.9</v>
      </c>
      <c r="I337" s="3">
        <v>171</v>
      </c>
      <c r="J337" s="3">
        <v>63</v>
      </c>
      <c r="K337" s="5">
        <v>332</v>
      </c>
      <c r="L337" s="3">
        <v>114</v>
      </c>
      <c r="M337" s="3">
        <v>7</v>
      </c>
      <c r="N337" s="6">
        <v>0.63</v>
      </c>
      <c r="O337" s="3" t="s">
        <v>18</v>
      </c>
      <c r="P337" s="3" t="s">
        <v>55</v>
      </c>
    </row>
    <row r="338" spans="1:16" x14ac:dyDescent="0.3">
      <c r="A338" s="4">
        <v>46083</v>
      </c>
      <c r="B338" s="3" t="s">
        <v>397</v>
      </c>
      <c r="C338" s="3" t="s">
        <v>398</v>
      </c>
      <c r="D338" s="3" t="s">
        <v>399</v>
      </c>
      <c r="E338" s="3">
        <v>31</v>
      </c>
      <c r="F338" s="3">
        <v>4</v>
      </c>
      <c r="G338" s="6">
        <v>0.77</v>
      </c>
      <c r="H338" s="3">
        <v>8.8000000000000007</v>
      </c>
      <c r="I338" s="3">
        <v>396</v>
      </c>
      <c r="J338" s="3">
        <v>24</v>
      </c>
      <c r="K338" s="5">
        <v>341</v>
      </c>
      <c r="L338" s="3">
        <v>82</v>
      </c>
      <c r="M338" s="3">
        <v>4</v>
      </c>
      <c r="N338" s="6">
        <v>0.53</v>
      </c>
      <c r="O338" s="3" t="s">
        <v>18</v>
      </c>
      <c r="P338" s="3" t="s">
        <v>17</v>
      </c>
    </row>
    <row r="339" spans="1:16" x14ac:dyDescent="0.3">
      <c r="A339" s="4">
        <v>46083</v>
      </c>
      <c r="B339" s="3" t="s">
        <v>397</v>
      </c>
      <c r="C339" s="3" t="s">
        <v>398</v>
      </c>
      <c r="D339" s="3" t="s">
        <v>400</v>
      </c>
      <c r="E339" s="3">
        <v>24</v>
      </c>
      <c r="F339" s="3">
        <v>0</v>
      </c>
      <c r="G339" s="6">
        <v>0.78</v>
      </c>
      <c r="H339" s="3">
        <v>12.4</v>
      </c>
      <c r="I339" s="3">
        <v>142</v>
      </c>
      <c r="J339" s="3">
        <v>17</v>
      </c>
      <c r="K339" s="5">
        <v>1280</v>
      </c>
      <c r="L339" s="3">
        <v>75</v>
      </c>
      <c r="M339" s="3">
        <v>5</v>
      </c>
      <c r="N339" s="6">
        <v>0.74</v>
      </c>
      <c r="O339" s="3" t="s">
        <v>18</v>
      </c>
      <c r="P339" s="3" t="s">
        <v>55</v>
      </c>
    </row>
    <row r="340" spans="1:16" x14ac:dyDescent="0.3">
      <c r="A340" s="4">
        <v>46083</v>
      </c>
      <c r="B340" s="3" t="s">
        <v>397</v>
      </c>
      <c r="C340" s="3" t="s">
        <v>401</v>
      </c>
      <c r="D340" s="3" t="s">
        <v>402</v>
      </c>
      <c r="E340" s="3">
        <v>32</v>
      </c>
      <c r="F340" s="3">
        <v>1</v>
      </c>
      <c r="G340" s="6">
        <v>0.86</v>
      </c>
      <c r="H340" s="3">
        <v>16.899999999999999</v>
      </c>
      <c r="I340" s="3">
        <v>258</v>
      </c>
      <c r="J340" s="3">
        <v>143</v>
      </c>
      <c r="K340" s="5">
        <v>3293</v>
      </c>
      <c r="L340" s="3">
        <v>97</v>
      </c>
      <c r="M340" s="3">
        <v>7</v>
      </c>
      <c r="N340" s="6">
        <v>0.88</v>
      </c>
      <c r="O340" s="3" t="s">
        <v>37</v>
      </c>
      <c r="P340" s="3" t="s">
        <v>40</v>
      </c>
    </row>
    <row r="341" spans="1:16" x14ac:dyDescent="0.3">
      <c r="A341" s="4">
        <v>46083</v>
      </c>
      <c r="B341" s="3" t="s">
        <v>397</v>
      </c>
      <c r="C341" s="3" t="s">
        <v>401</v>
      </c>
      <c r="D341" s="3" t="s">
        <v>403</v>
      </c>
      <c r="E341" s="3">
        <v>23</v>
      </c>
      <c r="F341" s="3">
        <v>0</v>
      </c>
      <c r="G341" s="6">
        <v>0.73</v>
      </c>
      <c r="H341" s="3">
        <v>9</v>
      </c>
      <c r="I341" s="3">
        <v>325</v>
      </c>
      <c r="J341" s="3">
        <v>119</v>
      </c>
      <c r="K341" s="5">
        <v>1077</v>
      </c>
      <c r="L341" s="3">
        <v>75</v>
      </c>
      <c r="M341" s="3">
        <v>5</v>
      </c>
      <c r="N341" s="6">
        <v>0.78</v>
      </c>
      <c r="O341" s="3" t="s">
        <v>18</v>
      </c>
      <c r="P341" s="3" t="s">
        <v>17</v>
      </c>
    </row>
    <row r="342" spans="1:16" x14ac:dyDescent="0.3">
      <c r="A342" s="4">
        <v>46083</v>
      </c>
      <c r="B342" s="3" t="s">
        <v>397</v>
      </c>
      <c r="C342" s="3" t="s">
        <v>404</v>
      </c>
      <c r="D342" s="3" t="s">
        <v>405</v>
      </c>
      <c r="E342" s="3">
        <v>25</v>
      </c>
      <c r="F342" s="3">
        <v>1</v>
      </c>
      <c r="G342" s="6">
        <v>0.85</v>
      </c>
      <c r="H342" s="3">
        <v>10.9</v>
      </c>
      <c r="I342" s="3">
        <v>93</v>
      </c>
      <c r="J342" s="3">
        <v>117</v>
      </c>
      <c r="K342" s="5">
        <v>1723</v>
      </c>
      <c r="L342" s="3">
        <v>68</v>
      </c>
      <c r="M342" s="3">
        <v>1</v>
      </c>
      <c r="N342" s="6">
        <v>0.89</v>
      </c>
      <c r="O342" s="3" t="s">
        <v>13</v>
      </c>
      <c r="P342" s="3" t="s">
        <v>21</v>
      </c>
    </row>
    <row r="343" spans="1:16" x14ac:dyDescent="0.3">
      <c r="A343" s="4">
        <v>46083</v>
      </c>
      <c r="B343" s="3" t="s">
        <v>397</v>
      </c>
      <c r="C343" s="3" t="s">
        <v>404</v>
      </c>
      <c r="D343" s="3" t="s">
        <v>406</v>
      </c>
      <c r="E343" s="3">
        <v>24</v>
      </c>
      <c r="F343" s="3">
        <v>0</v>
      </c>
      <c r="G343" s="6">
        <v>0.82</v>
      </c>
      <c r="H343" s="3">
        <v>9.5</v>
      </c>
      <c r="I343" s="3">
        <v>392</v>
      </c>
      <c r="J343" s="3">
        <v>15</v>
      </c>
      <c r="K343" s="5">
        <v>3334</v>
      </c>
      <c r="L343" s="3">
        <v>57</v>
      </c>
      <c r="M343" s="3">
        <v>4</v>
      </c>
      <c r="N343" s="6">
        <v>0.88</v>
      </c>
      <c r="O343" s="3" t="s">
        <v>13</v>
      </c>
      <c r="P343" s="3" t="s">
        <v>12</v>
      </c>
    </row>
    <row r="344" spans="1:16" x14ac:dyDescent="0.3">
      <c r="A344" s="4">
        <v>46084</v>
      </c>
      <c r="B344" s="3" t="s">
        <v>407</v>
      </c>
      <c r="C344" s="3" t="s">
        <v>398</v>
      </c>
      <c r="D344" s="3" t="s">
        <v>399</v>
      </c>
      <c r="E344" s="3">
        <v>24</v>
      </c>
      <c r="F344" s="3">
        <v>3</v>
      </c>
      <c r="G344" s="6">
        <v>0.74</v>
      </c>
      <c r="H344" s="3">
        <v>10.5</v>
      </c>
      <c r="I344" s="3">
        <v>363</v>
      </c>
      <c r="J344" s="3">
        <v>39</v>
      </c>
      <c r="K344" s="5">
        <v>4433</v>
      </c>
      <c r="L344" s="3">
        <v>47</v>
      </c>
      <c r="M344" s="3">
        <v>5</v>
      </c>
      <c r="N344" s="6">
        <v>0.56999999999999995</v>
      </c>
      <c r="O344" s="3" t="s">
        <v>37</v>
      </c>
      <c r="P344" s="3" t="s">
        <v>40</v>
      </c>
    </row>
    <row r="345" spans="1:16" x14ac:dyDescent="0.3">
      <c r="A345" s="4">
        <v>46084</v>
      </c>
      <c r="B345" s="3" t="s">
        <v>407</v>
      </c>
      <c r="C345" s="3" t="s">
        <v>398</v>
      </c>
      <c r="D345" s="3" t="s">
        <v>400</v>
      </c>
      <c r="E345" s="3">
        <v>30</v>
      </c>
      <c r="F345" s="3">
        <v>2</v>
      </c>
      <c r="G345" s="6">
        <v>0.87</v>
      </c>
      <c r="H345" s="3">
        <v>12.1</v>
      </c>
      <c r="I345" s="3">
        <v>149</v>
      </c>
      <c r="J345" s="3">
        <v>89</v>
      </c>
      <c r="K345" s="5">
        <v>3202</v>
      </c>
      <c r="L345" s="3">
        <v>32</v>
      </c>
      <c r="M345" s="3">
        <v>6</v>
      </c>
      <c r="N345" s="6">
        <v>0.74</v>
      </c>
      <c r="O345" s="3" t="s">
        <v>29</v>
      </c>
      <c r="P345" s="3" t="s">
        <v>66</v>
      </c>
    </row>
    <row r="346" spans="1:16" x14ac:dyDescent="0.3">
      <c r="A346" s="4">
        <v>46084</v>
      </c>
      <c r="B346" s="3" t="s">
        <v>407</v>
      </c>
      <c r="C346" s="3" t="s">
        <v>401</v>
      </c>
      <c r="D346" s="3" t="s">
        <v>402</v>
      </c>
      <c r="E346" s="3">
        <v>20</v>
      </c>
      <c r="F346" s="3">
        <v>0</v>
      </c>
      <c r="G346" s="6">
        <v>0.87</v>
      </c>
      <c r="H346" s="3">
        <v>10.199999999999999</v>
      </c>
      <c r="I346" s="3">
        <v>212</v>
      </c>
      <c r="J346" s="3">
        <v>99</v>
      </c>
      <c r="K346" s="5">
        <v>4430</v>
      </c>
      <c r="L346" s="3">
        <v>0</v>
      </c>
      <c r="M346" s="3">
        <v>0</v>
      </c>
      <c r="N346" s="6">
        <v>0.84</v>
      </c>
      <c r="O346" s="3" t="s">
        <v>26</v>
      </c>
      <c r="P346" s="3" t="s">
        <v>33</v>
      </c>
    </row>
    <row r="347" spans="1:16" x14ac:dyDescent="0.3">
      <c r="A347" s="4">
        <v>46084</v>
      </c>
      <c r="B347" s="3" t="s">
        <v>407</v>
      </c>
      <c r="C347" s="3" t="s">
        <v>401</v>
      </c>
      <c r="D347" s="3" t="s">
        <v>403</v>
      </c>
      <c r="E347" s="3">
        <v>24</v>
      </c>
      <c r="F347" s="3">
        <v>0</v>
      </c>
      <c r="G347" s="6">
        <v>0.81</v>
      </c>
      <c r="H347" s="3">
        <v>12.4</v>
      </c>
      <c r="I347" s="3">
        <v>161</v>
      </c>
      <c r="J347" s="3">
        <v>2</v>
      </c>
      <c r="K347" s="5">
        <v>1885</v>
      </c>
      <c r="L347" s="3">
        <v>45</v>
      </c>
      <c r="M347" s="3">
        <v>6</v>
      </c>
      <c r="N347" s="6">
        <v>0.82</v>
      </c>
      <c r="O347" s="3" t="s">
        <v>37</v>
      </c>
      <c r="P347" s="3" t="s">
        <v>40</v>
      </c>
    </row>
    <row r="348" spans="1:16" x14ac:dyDescent="0.3">
      <c r="A348" s="4">
        <v>46084</v>
      </c>
      <c r="B348" s="3" t="s">
        <v>407</v>
      </c>
      <c r="C348" s="3" t="s">
        <v>404</v>
      </c>
      <c r="D348" s="3" t="s">
        <v>405</v>
      </c>
      <c r="E348" s="3">
        <v>36</v>
      </c>
      <c r="F348" s="3">
        <v>3</v>
      </c>
      <c r="G348" s="6">
        <v>0.85</v>
      </c>
      <c r="H348" s="3">
        <v>16.899999999999999</v>
      </c>
      <c r="I348" s="3">
        <v>300</v>
      </c>
      <c r="J348" s="3">
        <v>125</v>
      </c>
      <c r="K348" s="5">
        <v>2607</v>
      </c>
      <c r="L348" s="3">
        <v>13</v>
      </c>
      <c r="M348" s="3">
        <v>0</v>
      </c>
      <c r="N348" s="6">
        <v>0.85</v>
      </c>
      <c r="O348" s="3" t="s">
        <v>13</v>
      </c>
      <c r="P348" s="3" t="s">
        <v>21</v>
      </c>
    </row>
    <row r="349" spans="1:16" x14ac:dyDescent="0.3">
      <c r="A349" s="4">
        <v>46084</v>
      </c>
      <c r="B349" s="3" t="s">
        <v>407</v>
      </c>
      <c r="C349" s="3" t="s">
        <v>404</v>
      </c>
      <c r="D349" s="3" t="s">
        <v>406</v>
      </c>
      <c r="E349" s="3">
        <v>21</v>
      </c>
      <c r="F349" s="3">
        <v>1</v>
      </c>
      <c r="G349" s="6">
        <v>0.77</v>
      </c>
      <c r="H349" s="3">
        <v>18.3</v>
      </c>
      <c r="I349" s="3">
        <v>357</v>
      </c>
      <c r="J349" s="3">
        <v>130</v>
      </c>
      <c r="K349" s="5">
        <v>3392</v>
      </c>
      <c r="L349" s="3">
        <v>113</v>
      </c>
      <c r="M349" s="3">
        <v>1</v>
      </c>
      <c r="N349" s="6">
        <v>0.74</v>
      </c>
      <c r="O349" s="3" t="s">
        <v>13</v>
      </c>
      <c r="P349" s="3" t="s">
        <v>21</v>
      </c>
    </row>
    <row r="350" spans="1:16" x14ac:dyDescent="0.3">
      <c r="A350" s="4">
        <v>46085</v>
      </c>
      <c r="B350" s="3" t="s">
        <v>408</v>
      </c>
      <c r="C350" s="3" t="s">
        <v>398</v>
      </c>
      <c r="D350" s="3" t="s">
        <v>399</v>
      </c>
      <c r="E350" s="3">
        <v>27</v>
      </c>
      <c r="F350" s="3">
        <v>1</v>
      </c>
      <c r="G350" s="6">
        <v>0.85</v>
      </c>
      <c r="H350" s="3">
        <v>14.6</v>
      </c>
      <c r="I350" s="3">
        <v>170</v>
      </c>
      <c r="J350" s="3">
        <v>113</v>
      </c>
      <c r="K350" s="5">
        <v>3934</v>
      </c>
      <c r="L350" s="3">
        <v>110</v>
      </c>
      <c r="M350" s="3">
        <v>5</v>
      </c>
      <c r="N350" s="6">
        <v>0.83</v>
      </c>
      <c r="O350" s="3" t="s">
        <v>13</v>
      </c>
      <c r="P350" s="3" t="s">
        <v>21</v>
      </c>
    </row>
    <row r="351" spans="1:16" x14ac:dyDescent="0.3">
      <c r="A351" s="4">
        <v>46085</v>
      </c>
      <c r="B351" s="3" t="s">
        <v>408</v>
      </c>
      <c r="C351" s="3" t="s">
        <v>398</v>
      </c>
      <c r="D351" s="3" t="s">
        <v>400</v>
      </c>
      <c r="E351" s="3">
        <v>21</v>
      </c>
      <c r="F351" s="3">
        <v>4</v>
      </c>
      <c r="G351" s="6">
        <v>0.85</v>
      </c>
      <c r="H351" s="3">
        <v>8.1999999999999993</v>
      </c>
      <c r="I351" s="3">
        <v>184</v>
      </c>
      <c r="J351" s="3">
        <v>67</v>
      </c>
      <c r="K351" s="5">
        <v>4288</v>
      </c>
      <c r="L351" s="3">
        <v>10</v>
      </c>
      <c r="M351" s="3">
        <v>0</v>
      </c>
      <c r="N351" s="6">
        <v>0.82</v>
      </c>
      <c r="O351" s="3" t="s">
        <v>18</v>
      </c>
      <c r="P351" s="3" t="s">
        <v>55</v>
      </c>
    </row>
    <row r="352" spans="1:16" x14ac:dyDescent="0.3">
      <c r="A352" s="4">
        <v>46085</v>
      </c>
      <c r="B352" s="3" t="s">
        <v>408</v>
      </c>
      <c r="C352" s="3" t="s">
        <v>401</v>
      </c>
      <c r="D352" s="3" t="s">
        <v>402</v>
      </c>
      <c r="E352" s="3">
        <v>27</v>
      </c>
      <c r="F352" s="3">
        <v>0</v>
      </c>
      <c r="G352" s="6">
        <v>0.82</v>
      </c>
      <c r="H352" s="3">
        <v>13.5</v>
      </c>
      <c r="I352" s="3">
        <v>366</v>
      </c>
      <c r="J352" s="3">
        <v>42</v>
      </c>
      <c r="K352" s="5">
        <v>2990</v>
      </c>
      <c r="L352" s="3">
        <v>95</v>
      </c>
      <c r="M352" s="3">
        <v>6</v>
      </c>
      <c r="N352" s="6">
        <v>0.66</v>
      </c>
      <c r="O352" s="3" t="s">
        <v>37</v>
      </c>
      <c r="P352" s="3" t="s">
        <v>40</v>
      </c>
    </row>
    <row r="353" spans="1:16" x14ac:dyDescent="0.3">
      <c r="A353" s="4">
        <v>46085</v>
      </c>
      <c r="B353" s="3" t="s">
        <v>408</v>
      </c>
      <c r="C353" s="3" t="s">
        <v>401</v>
      </c>
      <c r="D353" s="3" t="s">
        <v>403</v>
      </c>
      <c r="E353" s="3">
        <v>33</v>
      </c>
      <c r="F353" s="3">
        <v>3</v>
      </c>
      <c r="G353" s="6">
        <v>0.83</v>
      </c>
      <c r="H353" s="3">
        <v>8.1999999999999993</v>
      </c>
      <c r="I353" s="3">
        <v>233</v>
      </c>
      <c r="J353" s="3">
        <v>51</v>
      </c>
      <c r="K353" s="5">
        <v>3177</v>
      </c>
      <c r="L353" s="3">
        <v>90</v>
      </c>
      <c r="M353" s="3">
        <v>4</v>
      </c>
      <c r="N353" s="6">
        <v>0.62</v>
      </c>
      <c r="O353" s="3" t="s">
        <v>13</v>
      </c>
      <c r="P353" s="3" t="s">
        <v>12</v>
      </c>
    </row>
    <row r="354" spans="1:16" x14ac:dyDescent="0.3">
      <c r="A354" s="4">
        <v>46085</v>
      </c>
      <c r="B354" s="3" t="s">
        <v>408</v>
      </c>
      <c r="C354" s="3" t="s">
        <v>404</v>
      </c>
      <c r="D354" s="3" t="s">
        <v>405</v>
      </c>
      <c r="E354" s="3">
        <v>37</v>
      </c>
      <c r="F354" s="3">
        <v>2</v>
      </c>
      <c r="G354" s="6">
        <v>0.72</v>
      </c>
      <c r="H354" s="3">
        <v>13.8</v>
      </c>
      <c r="I354" s="3">
        <v>120</v>
      </c>
      <c r="J354" s="3">
        <v>28</v>
      </c>
      <c r="K354" s="5">
        <v>370</v>
      </c>
      <c r="L354" s="3">
        <v>110</v>
      </c>
      <c r="M354" s="3">
        <v>9</v>
      </c>
      <c r="N354" s="6">
        <v>0.68</v>
      </c>
      <c r="O354" s="3" t="s">
        <v>26</v>
      </c>
      <c r="P354" s="3" t="s">
        <v>33</v>
      </c>
    </row>
    <row r="355" spans="1:16" x14ac:dyDescent="0.3">
      <c r="A355" s="4">
        <v>46085</v>
      </c>
      <c r="B355" s="3" t="s">
        <v>408</v>
      </c>
      <c r="C355" s="3" t="s">
        <v>404</v>
      </c>
      <c r="D355" s="3" t="s">
        <v>406</v>
      </c>
      <c r="E355" s="3">
        <v>30</v>
      </c>
      <c r="F355" s="3">
        <v>1</v>
      </c>
      <c r="G355" s="6">
        <v>0.81</v>
      </c>
      <c r="H355" s="3">
        <v>13.7</v>
      </c>
      <c r="I355" s="3">
        <v>252</v>
      </c>
      <c r="J355" s="3">
        <v>35</v>
      </c>
      <c r="K355" s="5">
        <v>3042</v>
      </c>
      <c r="L355" s="3">
        <v>70</v>
      </c>
      <c r="M355" s="3">
        <v>4</v>
      </c>
      <c r="N355" s="6">
        <v>0.84</v>
      </c>
      <c r="O355" s="3" t="s">
        <v>29</v>
      </c>
      <c r="P355" s="3" t="s">
        <v>28</v>
      </c>
    </row>
    <row r="356" spans="1:16" x14ac:dyDescent="0.3">
      <c r="A356" s="4">
        <v>46086</v>
      </c>
      <c r="B356" s="3" t="s">
        <v>409</v>
      </c>
      <c r="C356" s="3" t="s">
        <v>398</v>
      </c>
      <c r="D356" s="3" t="s">
        <v>399</v>
      </c>
      <c r="E356" s="3">
        <v>23</v>
      </c>
      <c r="F356" s="3">
        <v>2</v>
      </c>
      <c r="G356" s="6">
        <v>0.72</v>
      </c>
      <c r="H356" s="3">
        <v>14</v>
      </c>
      <c r="I356" s="3">
        <v>352</v>
      </c>
      <c r="J356" s="3">
        <v>107</v>
      </c>
      <c r="K356" s="5">
        <v>1064</v>
      </c>
      <c r="L356" s="3">
        <v>112</v>
      </c>
      <c r="M356" s="3">
        <v>0</v>
      </c>
      <c r="N356" s="6">
        <v>0.5</v>
      </c>
      <c r="O356" s="3" t="s">
        <v>37</v>
      </c>
      <c r="P356" s="3" t="s">
        <v>36</v>
      </c>
    </row>
    <row r="357" spans="1:16" x14ac:dyDescent="0.3">
      <c r="A357" s="4">
        <v>46086</v>
      </c>
      <c r="B357" s="3" t="s">
        <v>409</v>
      </c>
      <c r="C357" s="3" t="s">
        <v>398</v>
      </c>
      <c r="D357" s="3" t="s">
        <v>400</v>
      </c>
      <c r="E357" s="3">
        <v>21</v>
      </c>
      <c r="F357" s="3">
        <v>1</v>
      </c>
      <c r="G357" s="6">
        <v>0.86</v>
      </c>
      <c r="H357" s="3">
        <v>9.6999999999999993</v>
      </c>
      <c r="I357" s="3">
        <v>196</v>
      </c>
      <c r="J357" s="3">
        <v>132</v>
      </c>
      <c r="K357" s="5">
        <v>3586</v>
      </c>
      <c r="L357" s="3">
        <v>82</v>
      </c>
      <c r="M357" s="3">
        <v>2</v>
      </c>
      <c r="N357" s="6">
        <v>0.69</v>
      </c>
      <c r="O357" s="3" t="s">
        <v>29</v>
      </c>
      <c r="P357" s="3" t="s">
        <v>66</v>
      </c>
    </row>
    <row r="358" spans="1:16" x14ac:dyDescent="0.3">
      <c r="A358" s="4">
        <v>46086</v>
      </c>
      <c r="B358" s="3" t="s">
        <v>409</v>
      </c>
      <c r="C358" s="3" t="s">
        <v>401</v>
      </c>
      <c r="D358" s="3" t="s">
        <v>402</v>
      </c>
      <c r="E358" s="3">
        <v>26</v>
      </c>
      <c r="F358" s="3">
        <v>0</v>
      </c>
      <c r="G358" s="6">
        <v>0.82</v>
      </c>
      <c r="H358" s="3">
        <v>10.6</v>
      </c>
      <c r="I358" s="3">
        <v>368</v>
      </c>
      <c r="J358" s="3">
        <v>48</v>
      </c>
      <c r="K358" s="5">
        <v>3815</v>
      </c>
      <c r="L358" s="3">
        <v>83</v>
      </c>
      <c r="M358" s="3">
        <v>5</v>
      </c>
      <c r="N358" s="6">
        <v>0.64</v>
      </c>
      <c r="O358" s="3" t="s">
        <v>29</v>
      </c>
      <c r="P358" s="3" t="s">
        <v>28</v>
      </c>
    </row>
    <row r="359" spans="1:16" x14ac:dyDescent="0.3">
      <c r="A359" s="4">
        <v>46086</v>
      </c>
      <c r="B359" s="3" t="s">
        <v>409</v>
      </c>
      <c r="C359" s="3" t="s">
        <v>401</v>
      </c>
      <c r="D359" s="3" t="s">
        <v>403</v>
      </c>
      <c r="E359" s="3">
        <v>27</v>
      </c>
      <c r="F359" s="3">
        <v>3</v>
      </c>
      <c r="G359" s="6">
        <v>0.84</v>
      </c>
      <c r="H359" s="3">
        <v>12.4</v>
      </c>
      <c r="I359" s="3">
        <v>301</v>
      </c>
      <c r="J359" s="3">
        <v>126</v>
      </c>
      <c r="K359" s="5">
        <v>680</v>
      </c>
      <c r="L359" s="3">
        <v>79</v>
      </c>
      <c r="M359" s="3">
        <v>4</v>
      </c>
      <c r="N359" s="6">
        <v>0.7</v>
      </c>
      <c r="O359" s="3" t="s">
        <v>29</v>
      </c>
      <c r="P359" s="3" t="s">
        <v>28</v>
      </c>
    </row>
    <row r="360" spans="1:16" x14ac:dyDescent="0.3">
      <c r="A360" s="4">
        <v>46086</v>
      </c>
      <c r="B360" s="3" t="s">
        <v>409</v>
      </c>
      <c r="C360" s="3" t="s">
        <v>404</v>
      </c>
      <c r="D360" s="3" t="s">
        <v>405</v>
      </c>
      <c r="E360" s="3">
        <v>20</v>
      </c>
      <c r="F360" s="3">
        <v>2</v>
      </c>
      <c r="G360" s="6">
        <v>0.74</v>
      </c>
      <c r="H360" s="3">
        <v>14.8</v>
      </c>
      <c r="I360" s="3">
        <v>210</v>
      </c>
      <c r="J360" s="3">
        <v>78</v>
      </c>
      <c r="K360" s="5">
        <v>355</v>
      </c>
      <c r="L360" s="3">
        <v>72</v>
      </c>
      <c r="M360" s="3">
        <v>0</v>
      </c>
      <c r="N360" s="6">
        <v>0.7</v>
      </c>
      <c r="O360" s="3" t="s">
        <v>26</v>
      </c>
      <c r="P360" s="3" t="s">
        <v>33</v>
      </c>
    </row>
    <row r="361" spans="1:16" x14ac:dyDescent="0.3">
      <c r="A361" s="4">
        <v>46086</v>
      </c>
      <c r="B361" s="3" t="s">
        <v>409</v>
      </c>
      <c r="C361" s="3" t="s">
        <v>404</v>
      </c>
      <c r="D361" s="3" t="s">
        <v>406</v>
      </c>
      <c r="E361" s="3">
        <v>32</v>
      </c>
      <c r="F361" s="3">
        <v>0</v>
      </c>
      <c r="G361" s="6">
        <v>0.82</v>
      </c>
      <c r="H361" s="3">
        <v>9</v>
      </c>
      <c r="I361" s="3">
        <v>372</v>
      </c>
      <c r="J361" s="3">
        <v>10</v>
      </c>
      <c r="K361" s="5">
        <v>1230</v>
      </c>
      <c r="L361" s="3">
        <v>78</v>
      </c>
      <c r="M361" s="3">
        <v>6</v>
      </c>
      <c r="N361" s="6">
        <v>0.83</v>
      </c>
      <c r="O361" s="3" t="s">
        <v>29</v>
      </c>
      <c r="P361" s="3" t="s">
        <v>66</v>
      </c>
    </row>
    <row r="362" spans="1:16" x14ac:dyDescent="0.3">
      <c r="A362" s="4">
        <v>46087</v>
      </c>
      <c r="B362" s="3" t="s">
        <v>410</v>
      </c>
      <c r="C362" s="3" t="s">
        <v>398</v>
      </c>
      <c r="D362" s="3" t="s">
        <v>399</v>
      </c>
      <c r="E362" s="3">
        <v>35</v>
      </c>
      <c r="F362" s="3">
        <v>0</v>
      </c>
      <c r="G362" s="6">
        <v>0.75</v>
      </c>
      <c r="H362" s="3">
        <v>10.5</v>
      </c>
      <c r="I362" s="3">
        <v>130</v>
      </c>
      <c r="J362" s="3">
        <v>36</v>
      </c>
      <c r="K362" s="5">
        <v>3717</v>
      </c>
      <c r="L362" s="3">
        <v>19</v>
      </c>
      <c r="M362" s="3">
        <v>5</v>
      </c>
      <c r="N362" s="6">
        <v>0.63</v>
      </c>
      <c r="O362" s="3" t="s">
        <v>18</v>
      </c>
      <c r="P362" s="3" t="s">
        <v>55</v>
      </c>
    </row>
    <row r="363" spans="1:16" x14ac:dyDescent="0.3">
      <c r="A363" s="4">
        <v>46087</v>
      </c>
      <c r="B363" s="3" t="s">
        <v>410</v>
      </c>
      <c r="C363" s="3" t="s">
        <v>398</v>
      </c>
      <c r="D363" s="3" t="s">
        <v>400</v>
      </c>
      <c r="E363" s="3">
        <v>31</v>
      </c>
      <c r="F363" s="3">
        <v>1</v>
      </c>
      <c r="G363" s="6">
        <v>0.85</v>
      </c>
      <c r="H363" s="3">
        <v>16.3</v>
      </c>
      <c r="I363" s="3">
        <v>430</v>
      </c>
      <c r="J363" s="3">
        <v>68</v>
      </c>
      <c r="K363" s="5">
        <v>3684</v>
      </c>
      <c r="L363" s="3">
        <v>50</v>
      </c>
      <c r="M363" s="3">
        <v>6</v>
      </c>
      <c r="N363" s="6">
        <v>0.84</v>
      </c>
      <c r="O363" s="3" t="s">
        <v>26</v>
      </c>
      <c r="P363" s="3" t="s">
        <v>33</v>
      </c>
    </row>
    <row r="364" spans="1:16" x14ac:dyDescent="0.3">
      <c r="A364" s="4">
        <v>46087</v>
      </c>
      <c r="B364" s="3" t="s">
        <v>410</v>
      </c>
      <c r="C364" s="3" t="s">
        <v>401</v>
      </c>
      <c r="D364" s="3" t="s">
        <v>402</v>
      </c>
      <c r="E364" s="3">
        <v>37</v>
      </c>
      <c r="F364" s="3">
        <v>0</v>
      </c>
      <c r="G364" s="6">
        <v>0.88</v>
      </c>
      <c r="H364" s="3">
        <v>14.4</v>
      </c>
      <c r="I364" s="3">
        <v>421</v>
      </c>
      <c r="J364" s="3">
        <v>129</v>
      </c>
      <c r="K364" s="5">
        <v>1419</v>
      </c>
      <c r="L364" s="3">
        <v>14</v>
      </c>
      <c r="M364" s="3">
        <v>1</v>
      </c>
      <c r="N364" s="6">
        <v>0.8</v>
      </c>
      <c r="O364" s="3" t="s">
        <v>26</v>
      </c>
      <c r="P364" s="3" t="s">
        <v>25</v>
      </c>
    </row>
    <row r="365" spans="1:16" x14ac:dyDescent="0.3">
      <c r="A365" s="4">
        <v>46087</v>
      </c>
      <c r="B365" s="3" t="s">
        <v>410</v>
      </c>
      <c r="C365" s="3" t="s">
        <v>401</v>
      </c>
      <c r="D365" s="3" t="s">
        <v>403</v>
      </c>
      <c r="E365" s="3">
        <v>23</v>
      </c>
      <c r="F365" s="3">
        <v>3</v>
      </c>
      <c r="G365" s="6">
        <v>0.79</v>
      </c>
      <c r="H365" s="3">
        <v>13.4</v>
      </c>
      <c r="I365" s="3">
        <v>152</v>
      </c>
      <c r="J365" s="3">
        <v>7</v>
      </c>
      <c r="K365" s="5">
        <v>3864</v>
      </c>
      <c r="L365" s="3">
        <v>82</v>
      </c>
      <c r="M365" s="3">
        <v>3</v>
      </c>
      <c r="N365" s="6">
        <v>0.79</v>
      </c>
      <c r="O365" s="3" t="s">
        <v>18</v>
      </c>
      <c r="P365" s="3" t="s">
        <v>55</v>
      </c>
    </row>
    <row r="366" spans="1:16" x14ac:dyDescent="0.3">
      <c r="A366" s="4">
        <v>46087</v>
      </c>
      <c r="B366" s="3" t="s">
        <v>410</v>
      </c>
      <c r="C366" s="3" t="s">
        <v>404</v>
      </c>
      <c r="D366" s="3" t="s">
        <v>405</v>
      </c>
      <c r="E366" s="3">
        <v>33</v>
      </c>
      <c r="F366" s="3">
        <v>1</v>
      </c>
      <c r="G366" s="6">
        <v>0.81</v>
      </c>
      <c r="H366" s="3">
        <v>17.100000000000001</v>
      </c>
      <c r="I366" s="3">
        <v>190</v>
      </c>
      <c r="J366" s="3">
        <v>56</v>
      </c>
      <c r="K366" s="5">
        <v>2226</v>
      </c>
      <c r="L366" s="3">
        <v>51</v>
      </c>
      <c r="M366" s="3">
        <v>0</v>
      </c>
      <c r="N366" s="6">
        <v>0.69</v>
      </c>
      <c r="O366" s="3" t="s">
        <v>13</v>
      </c>
      <c r="P366" s="3" t="s">
        <v>12</v>
      </c>
    </row>
    <row r="367" spans="1:16" x14ac:dyDescent="0.3">
      <c r="A367" s="4">
        <v>46087</v>
      </c>
      <c r="B367" s="3" t="s">
        <v>410</v>
      </c>
      <c r="C367" s="3" t="s">
        <v>404</v>
      </c>
      <c r="D367" s="3" t="s">
        <v>406</v>
      </c>
      <c r="E367" s="3">
        <v>38</v>
      </c>
      <c r="F367" s="3">
        <v>0</v>
      </c>
      <c r="G367" s="6">
        <v>0.84</v>
      </c>
      <c r="H367" s="3">
        <v>16.100000000000001</v>
      </c>
      <c r="I367" s="3">
        <v>432</v>
      </c>
      <c r="J367" s="3">
        <v>134</v>
      </c>
      <c r="K367" s="5">
        <v>3151</v>
      </c>
      <c r="L367" s="3">
        <v>7</v>
      </c>
      <c r="M367" s="3">
        <v>3</v>
      </c>
      <c r="N367" s="6">
        <v>0.85</v>
      </c>
      <c r="O367" s="3" t="s">
        <v>26</v>
      </c>
      <c r="P367" s="3" t="s">
        <v>25</v>
      </c>
    </row>
    <row r="368" spans="1:16" x14ac:dyDescent="0.3">
      <c r="A368" s="4">
        <v>46088</v>
      </c>
      <c r="B368" s="3" t="s">
        <v>411</v>
      </c>
      <c r="C368" s="3" t="s">
        <v>398</v>
      </c>
      <c r="D368" s="3" t="s">
        <v>399</v>
      </c>
      <c r="E368" s="3">
        <v>22</v>
      </c>
      <c r="F368" s="3">
        <v>0</v>
      </c>
      <c r="G368" s="6">
        <v>0.72</v>
      </c>
      <c r="H368" s="3">
        <v>17.3</v>
      </c>
      <c r="I368" s="3">
        <v>318</v>
      </c>
      <c r="J368" s="3">
        <v>26</v>
      </c>
      <c r="K368" s="5">
        <v>385</v>
      </c>
      <c r="L368" s="3">
        <v>120</v>
      </c>
      <c r="M368" s="3">
        <v>0</v>
      </c>
      <c r="N368" s="6">
        <v>0.7</v>
      </c>
      <c r="O368" s="3" t="s">
        <v>29</v>
      </c>
      <c r="P368" s="3" t="s">
        <v>28</v>
      </c>
    </row>
    <row r="369" spans="1:16" x14ac:dyDescent="0.3">
      <c r="A369" s="4">
        <v>46088</v>
      </c>
      <c r="B369" s="3" t="s">
        <v>411</v>
      </c>
      <c r="C369" s="3" t="s">
        <v>398</v>
      </c>
      <c r="D369" s="3" t="s">
        <v>400</v>
      </c>
      <c r="E369" s="3">
        <v>30</v>
      </c>
      <c r="F369" s="3">
        <v>1</v>
      </c>
      <c r="G369" s="6">
        <v>0.81</v>
      </c>
      <c r="H369" s="3">
        <v>12.5</v>
      </c>
      <c r="I369" s="3">
        <v>188</v>
      </c>
      <c r="J369" s="3">
        <v>116</v>
      </c>
      <c r="K369" s="5">
        <v>141</v>
      </c>
      <c r="L369" s="3">
        <v>114</v>
      </c>
      <c r="M369" s="3">
        <v>1</v>
      </c>
      <c r="N369" s="6">
        <v>0.72</v>
      </c>
      <c r="O369" s="3" t="s">
        <v>37</v>
      </c>
      <c r="P369" s="3" t="s">
        <v>36</v>
      </c>
    </row>
    <row r="370" spans="1:16" x14ac:dyDescent="0.3">
      <c r="A370" s="4">
        <v>46088</v>
      </c>
      <c r="B370" s="3" t="s">
        <v>411</v>
      </c>
      <c r="C370" s="3" t="s">
        <v>401</v>
      </c>
      <c r="D370" s="3" t="s">
        <v>402</v>
      </c>
      <c r="E370" s="3">
        <v>36</v>
      </c>
      <c r="F370" s="3">
        <v>0</v>
      </c>
      <c r="G370" s="6">
        <v>0.82</v>
      </c>
      <c r="H370" s="3">
        <v>10.5</v>
      </c>
      <c r="I370" s="3">
        <v>67</v>
      </c>
      <c r="J370" s="3">
        <v>128</v>
      </c>
      <c r="K370" s="5">
        <v>1806</v>
      </c>
      <c r="L370" s="3">
        <v>33</v>
      </c>
      <c r="M370" s="3">
        <v>4</v>
      </c>
      <c r="N370" s="6">
        <v>0.87</v>
      </c>
      <c r="O370" s="3" t="s">
        <v>29</v>
      </c>
      <c r="P370" s="3" t="s">
        <v>66</v>
      </c>
    </row>
    <row r="371" spans="1:16" x14ac:dyDescent="0.3">
      <c r="A371" s="4">
        <v>46088</v>
      </c>
      <c r="B371" s="3" t="s">
        <v>411</v>
      </c>
      <c r="C371" s="3" t="s">
        <v>401</v>
      </c>
      <c r="D371" s="3" t="s">
        <v>403</v>
      </c>
      <c r="E371" s="3">
        <v>30</v>
      </c>
      <c r="F371" s="3">
        <v>1</v>
      </c>
      <c r="G371" s="6">
        <v>0.85</v>
      </c>
      <c r="H371" s="3">
        <v>15.4</v>
      </c>
      <c r="I371" s="3">
        <v>412</v>
      </c>
      <c r="J371" s="3">
        <v>121</v>
      </c>
      <c r="K371" s="5">
        <v>4417</v>
      </c>
      <c r="L371" s="3">
        <v>120</v>
      </c>
      <c r="M371" s="3">
        <v>6</v>
      </c>
      <c r="N371" s="6">
        <v>0.66</v>
      </c>
      <c r="O371" s="3" t="s">
        <v>18</v>
      </c>
      <c r="P371" s="3" t="s">
        <v>55</v>
      </c>
    </row>
    <row r="372" spans="1:16" x14ac:dyDescent="0.3">
      <c r="A372" s="4">
        <v>46088</v>
      </c>
      <c r="B372" s="3" t="s">
        <v>411</v>
      </c>
      <c r="C372" s="3" t="s">
        <v>404</v>
      </c>
      <c r="D372" s="3" t="s">
        <v>405</v>
      </c>
      <c r="E372" s="3">
        <v>35</v>
      </c>
      <c r="F372" s="3">
        <v>1</v>
      </c>
      <c r="G372" s="6">
        <v>0.73</v>
      </c>
      <c r="H372" s="3">
        <v>18</v>
      </c>
      <c r="I372" s="3">
        <v>249</v>
      </c>
      <c r="J372" s="3">
        <v>59</v>
      </c>
      <c r="K372" s="5">
        <v>805</v>
      </c>
      <c r="L372" s="3">
        <v>4</v>
      </c>
      <c r="M372" s="3">
        <v>0</v>
      </c>
      <c r="N372" s="6">
        <v>0.73</v>
      </c>
      <c r="O372" s="3" t="s">
        <v>18</v>
      </c>
      <c r="P372" s="3" t="s">
        <v>17</v>
      </c>
    </row>
    <row r="373" spans="1:16" x14ac:dyDescent="0.3">
      <c r="A373" s="4">
        <v>46088</v>
      </c>
      <c r="B373" s="3" t="s">
        <v>411</v>
      </c>
      <c r="C373" s="3" t="s">
        <v>404</v>
      </c>
      <c r="D373" s="3" t="s">
        <v>406</v>
      </c>
      <c r="E373" s="3">
        <v>25</v>
      </c>
      <c r="F373" s="3">
        <v>0</v>
      </c>
      <c r="G373" s="6">
        <v>0.8</v>
      </c>
      <c r="H373" s="3">
        <v>10.6</v>
      </c>
      <c r="I373" s="3">
        <v>315</v>
      </c>
      <c r="J373" s="3">
        <v>129</v>
      </c>
      <c r="K373" s="5">
        <v>3501</v>
      </c>
      <c r="L373" s="3">
        <v>109</v>
      </c>
      <c r="M373" s="3">
        <v>6</v>
      </c>
      <c r="N373" s="6">
        <v>0.85</v>
      </c>
      <c r="O373" s="3" t="s">
        <v>26</v>
      </c>
      <c r="P373" s="3" t="s">
        <v>25</v>
      </c>
    </row>
    <row r="374" spans="1:16" x14ac:dyDescent="0.3">
      <c r="A374" s="4">
        <v>46089</v>
      </c>
      <c r="B374" s="3" t="s">
        <v>412</v>
      </c>
      <c r="C374" s="3" t="s">
        <v>398</v>
      </c>
      <c r="D374" s="3" t="s">
        <v>399</v>
      </c>
      <c r="E374" s="3">
        <v>22</v>
      </c>
      <c r="F374" s="3">
        <v>2</v>
      </c>
      <c r="G374" s="6">
        <v>0.87</v>
      </c>
      <c r="H374" s="3">
        <v>14.1</v>
      </c>
      <c r="I374" s="3">
        <v>191</v>
      </c>
      <c r="J374" s="3">
        <v>91</v>
      </c>
      <c r="K374" s="5">
        <v>3751</v>
      </c>
      <c r="L374" s="3">
        <v>5</v>
      </c>
      <c r="M374" s="3">
        <v>3</v>
      </c>
      <c r="N374" s="6">
        <v>0.78</v>
      </c>
      <c r="O374" s="3" t="s">
        <v>18</v>
      </c>
      <c r="P374" s="3" t="s">
        <v>55</v>
      </c>
    </row>
    <row r="375" spans="1:16" x14ac:dyDescent="0.3">
      <c r="A375" s="4">
        <v>46089</v>
      </c>
      <c r="B375" s="3" t="s">
        <v>412</v>
      </c>
      <c r="C375" s="3" t="s">
        <v>398</v>
      </c>
      <c r="D375" s="3" t="s">
        <v>400</v>
      </c>
      <c r="E375" s="3">
        <v>20</v>
      </c>
      <c r="F375" s="3">
        <v>0</v>
      </c>
      <c r="G375" s="6">
        <v>0.82</v>
      </c>
      <c r="H375" s="3">
        <v>14.8</v>
      </c>
      <c r="I375" s="3">
        <v>439</v>
      </c>
      <c r="J375" s="3">
        <v>79</v>
      </c>
      <c r="K375" s="5">
        <v>2920</v>
      </c>
      <c r="L375" s="3">
        <v>88</v>
      </c>
      <c r="M375" s="3">
        <v>2</v>
      </c>
      <c r="N375" s="6">
        <v>0.7</v>
      </c>
      <c r="O375" s="3" t="s">
        <v>29</v>
      </c>
      <c r="P375" s="3" t="s">
        <v>28</v>
      </c>
    </row>
    <row r="376" spans="1:16" x14ac:dyDescent="0.3">
      <c r="A376" s="4">
        <v>46089</v>
      </c>
      <c r="B376" s="3" t="s">
        <v>412</v>
      </c>
      <c r="C376" s="3" t="s">
        <v>401</v>
      </c>
      <c r="D376" s="3" t="s">
        <v>402</v>
      </c>
      <c r="E376" s="3">
        <v>36</v>
      </c>
      <c r="F376" s="3">
        <v>1</v>
      </c>
      <c r="G376" s="6">
        <v>0.73</v>
      </c>
      <c r="H376" s="3">
        <v>8.3000000000000007</v>
      </c>
      <c r="I376" s="3">
        <v>415</v>
      </c>
      <c r="J376" s="3">
        <v>33</v>
      </c>
      <c r="K376" s="5">
        <v>216</v>
      </c>
      <c r="L376" s="3">
        <v>13</v>
      </c>
      <c r="M376" s="3">
        <v>2</v>
      </c>
      <c r="N376" s="6">
        <v>0.64</v>
      </c>
      <c r="O376" s="3" t="s">
        <v>37</v>
      </c>
      <c r="P376" s="3" t="s">
        <v>36</v>
      </c>
    </row>
    <row r="377" spans="1:16" x14ac:dyDescent="0.3">
      <c r="A377" s="4">
        <v>46089</v>
      </c>
      <c r="B377" s="3" t="s">
        <v>412</v>
      </c>
      <c r="C377" s="3" t="s">
        <v>401</v>
      </c>
      <c r="D377" s="3" t="s">
        <v>403</v>
      </c>
      <c r="E377" s="3">
        <v>36</v>
      </c>
      <c r="F377" s="3">
        <v>3</v>
      </c>
      <c r="G377" s="6">
        <v>0.77</v>
      </c>
      <c r="H377" s="3">
        <v>11.1</v>
      </c>
      <c r="I377" s="3">
        <v>217</v>
      </c>
      <c r="J377" s="3">
        <v>48</v>
      </c>
      <c r="K377" s="5">
        <v>1260</v>
      </c>
      <c r="L377" s="3">
        <v>13</v>
      </c>
      <c r="M377" s="3">
        <v>0</v>
      </c>
      <c r="N377" s="6">
        <v>0.61</v>
      </c>
      <c r="O377" s="3" t="s">
        <v>18</v>
      </c>
      <c r="P377" s="3" t="s">
        <v>55</v>
      </c>
    </row>
    <row r="378" spans="1:16" x14ac:dyDescent="0.3">
      <c r="A378" s="4">
        <v>46089</v>
      </c>
      <c r="B378" s="3" t="s">
        <v>412</v>
      </c>
      <c r="C378" s="3" t="s">
        <v>404</v>
      </c>
      <c r="D378" s="3" t="s">
        <v>405</v>
      </c>
      <c r="E378" s="3">
        <v>31</v>
      </c>
      <c r="F378" s="3">
        <v>1</v>
      </c>
      <c r="G378" s="6">
        <v>0.85</v>
      </c>
      <c r="H378" s="3">
        <v>12.3</v>
      </c>
      <c r="I378" s="3">
        <v>425</v>
      </c>
      <c r="J378" s="3">
        <v>56</v>
      </c>
      <c r="K378" s="5">
        <v>3662</v>
      </c>
      <c r="L378" s="3">
        <v>92</v>
      </c>
      <c r="M378" s="3">
        <v>5</v>
      </c>
      <c r="N378" s="6">
        <v>0.74</v>
      </c>
      <c r="O378" s="3" t="s">
        <v>13</v>
      </c>
      <c r="P378" s="3" t="s">
        <v>12</v>
      </c>
    </row>
    <row r="379" spans="1:16" x14ac:dyDescent="0.3">
      <c r="A379" s="4">
        <v>46089</v>
      </c>
      <c r="B379" s="3" t="s">
        <v>412</v>
      </c>
      <c r="C379" s="3" t="s">
        <v>404</v>
      </c>
      <c r="D379" s="3" t="s">
        <v>406</v>
      </c>
      <c r="E379" s="3">
        <v>33</v>
      </c>
      <c r="F379" s="3">
        <v>0</v>
      </c>
      <c r="G379" s="6">
        <v>0.8</v>
      </c>
      <c r="H379" s="3">
        <v>13</v>
      </c>
      <c r="I379" s="3">
        <v>136</v>
      </c>
      <c r="J379" s="3">
        <v>123</v>
      </c>
      <c r="K379" s="5">
        <v>1934</v>
      </c>
      <c r="L379" s="3">
        <v>33</v>
      </c>
      <c r="M379" s="3">
        <v>0</v>
      </c>
      <c r="N379" s="6">
        <v>0.72</v>
      </c>
      <c r="O379" s="3" t="s">
        <v>18</v>
      </c>
      <c r="P379" s="3" t="s">
        <v>17</v>
      </c>
    </row>
    <row r="380" spans="1:16" x14ac:dyDescent="0.3">
      <c r="A380" s="4">
        <v>46090</v>
      </c>
      <c r="B380" s="3" t="s">
        <v>397</v>
      </c>
      <c r="C380" s="3" t="s">
        <v>398</v>
      </c>
      <c r="D380" s="3" t="s">
        <v>399</v>
      </c>
      <c r="E380" s="3">
        <v>30</v>
      </c>
      <c r="F380" s="3">
        <v>1</v>
      </c>
      <c r="G380" s="6">
        <v>0.73</v>
      </c>
      <c r="H380" s="3">
        <v>17.399999999999999</v>
      </c>
      <c r="I380" s="3">
        <v>116</v>
      </c>
      <c r="J380" s="3">
        <v>67</v>
      </c>
      <c r="K380" s="5">
        <v>3886</v>
      </c>
      <c r="L380" s="3">
        <v>15</v>
      </c>
      <c r="M380" s="3">
        <v>4</v>
      </c>
      <c r="N380" s="6">
        <v>0.81</v>
      </c>
      <c r="O380" s="3" t="s">
        <v>18</v>
      </c>
      <c r="P380" s="3" t="s">
        <v>17</v>
      </c>
    </row>
    <row r="381" spans="1:16" x14ac:dyDescent="0.3">
      <c r="A381" s="4">
        <v>46090</v>
      </c>
      <c r="B381" s="3" t="s">
        <v>397</v>
      </c>
      <c r="C381" s="3" t="s">
        <v>398</v>
      </c>
      <c r="D381" s="3" t="s">
        <v>400</v>
      </c>
      <c r="E381" s="3">
        <v>33</v>
      </c>
      <c r="F381" s="3">
        <v>0</v>
      </c>
      <c r="G381" s="6">
        <v>0.75</v>
      </c>
      <c r="H381" s="3">
        <v>18.100000000000001</v>
      </c>
      <c r="I381" s="3">
        <v>392</v>
      </c>
      <c r="J381" s="3">
        <v>72</v>
      </c>
      <c r="K381" s="5">
        <v>3995</v>
      </c>
      <c r="L381" s="3">
        <v>0</v>
      </c>
      <c r="M381" s="3">
        <v>7</v>
      </c>
      <c r="N381" s="6">
        <v>0.64</v>
      </c>
      <c r="O381" s="3" t="s">
        <v>26</v>
      </c>
      <c r="P381" s="3" t="s">
        <v>33</v>
      </c>
    </row>
    <row r="382" spans="1:16" x14ac:dyDescent="0.3">
      <c r="A382" s="4">
        <v>46090</v>
      </c>
      <c r="B382" s="3" t="s">
        <v>397</v>
      </c>
      <c r="C382" s="3" t="s">
        <v>401</v>
      </c>
      <c r="D382" s="3" t="s">
        <v>402</v>
      </c>
      <c r="E382" s="3">
        <v>31</v>
      </c>
      <c r="F382" s="3">
        <v>1</v>
      </c>
      <c r="G382" s="6">
        <v>0.86</v>
      </c>
      <c r="H382" s="3">
        <v>15</v>
      </c>
      <c r="I382" s="3">
        <v>98</v>
      </c>
      <c r="J382" s="3">
        <v>0</v>
      </c>
      <c r="K382" s="5">
        <v>622</v>
      </c>
      <c r="L382" s="3">
        <v>24</v>
      </c>
      <c r="M382" s="3">
        <v>5</v>
      </c>
      <c r="N382" s="6">
        <v>0.93</v>
      </c>
      <c r="O382" s="3" t="s">
        <v>26</v>
      </c>
      <c r="P382" s="3" t="s">
        <v>25</v>
      </c>
    </row>
    <row r="383" spans="1:16" x14ac:dyDescent="0.3">
      <c r="A383" s="4">
        <v>46090</v>
      </c>
      <c r="B383" s="3" t="s">
        <v>397</v>
      </c>
      <c r="C383" s="3" t="s">
        <v>401</v>
      </c>
      <c r="D383" s="3" t="s">
        <v>403</v>
      </c>
      <c r="E383" s="3">
        <v>23</v>
      </c>
      <c r="F383" s="3">
        <v>3</v>
      </c>
      <c r="G383" s="6">
        <v>0.78</v>
      </c>
      <c r="H383" s="3">
        <v>13.5</v>
      </c>
      <c r="I383" s="3">
        <v>317</v>
      </c>
      <c r="J383" s="3">
        <v>40</v>
      </c>
      <c r="K383" s="5">
        <v>1692</v>
      </c>
      <c r="L383" s="3">
        <v>26</v>
      </c>
      <c r="M383" s="3">
        <v>1</v>
      </c>
      <c r="N383" s="6">
        <v>0.73</v>
      </c>
      <c r="O383" s="3" t="s">
        <v>29</v>
      </c>
      <c r="P383" s="3" t="s">
        <v>66</v>
      </c>
    </row>
    <row r="384" spans="1:16" x14ac:dyDescent="0.3">
      <c r="A384" s="4">
        <v>46090</v>
      </c>
      <c r="B384" s="3" t="s">
        <v>397</v>
      </c>
      <c r="C384" s="3" t="s">
        <v>404</v>
      </c>
      <c r="D384" s="3" t="s">
        <v>405</v>
      </c>
      <c r="E384" s="3">
        <v>23</v>
      </c>
      <c r="F384" s="3">
        <v>0</v>
      </c>
      <c r="G384" s="6">
        <v>0.8</v>
      </c>
      <c r="H384" s="3">
        <v>9.6</v>
      </c>
      <c r="I384" s="3">
        <v>226</v>
      </c>
      <c r="J384" s="3">
        <v>107</v>
      </c>
      <c r="K384" s="5">
        <v>3915</v>
      </c>
      <c r="L384" s="3">
        <v>82</v>
      </c>
      <c r="M384" s="3">
        <v>3</v>
      </c>
      <c r="N384" s="6">
        <v>0.85</v>
      </c>
      <c r="O384" s="3" t="s">
        <v>13</v>
      </c>
      <c r="P384" s="3" t="s">
        <v>21</v>
      </c>
    </row>
    <row r="385" spans="1:16" x14ac:dyDescent="0.3">
      <c r="A385" s="4">
        <v>46090</v>
      </c>
      <c r="B385" s="3" t="s">
        <v>397</v>
      </c>
      <c r="C385" s="3" t="s">
        <v>404</v>
      </c>
      <c r="D385" s="3" t="s">
        <v>406</v>
      </c>
      <c r="E385" s="3">
        <v>23</v>
      </c>
      <c r="F385" s="3">
        <v>1</v>
      </c>
      <c r="G385" s="6">
        <v>0.79</v>
      </c>
      <c r="H385" s="3">
        <v>14.2</v>
      </c>
      <c r="I385" s="3">
        <v>317</v>
      </c>
      <c r="J385" s="3">
        <v>124</v>
      </c>
      <c r="K385" s="5">
        <v>279</v>
      </c>
      <c r="L385" s="3">
        <v>65</v>
      </c>
      <c r="M385" s="3">
        <v>2</v>
      </c>
      <c r="N385" s="6">
        <v>0.66</v>
      </c>
      <c r="O385" s="3" t="s">
        <v>18</v>
      </c>
      <c r="P385" s="3" t="s">
        <v>17</v>
      </c>
    </row>
    <row r="386" spans="1:16" x14ac:dyDescent="0.3">
      <c r="A386" s="4">
        <v>46091</v>
      </c>
      <c r="B386" s="3" t="s">
        <v>407</v>
      </c>
      <c r="C386" s="3" t="s">
        <v>398</v>
      </c>
      <c r="D386" s="3" t="s">
        <v>399</v>
      </c>
      <c r="E386" s="3">
        <v>30</v>
      </c>
      <c r="F386" s="3">
        <v>1</v>
      </c>
      <c r="G386" s="6">
        <v>0.79</v>
      </c>
      <c r="H386" s="3">
        <v>13.5</v>
      </c>
      <c r="I386" s="3">
        <v>76</v>
      </c>
      <c r="J386" s="3">
        <v>12</v>
      </c>
      <c r="K386" s="5">
        <v>4103</v>
      </c>
      <c r="L386" s="3">
        <v>47</v>
      </c>
      <c r="M386" s="3">
        <v>6</v>
      </c>
      <c r="N386" s="6">
        <v>0.63</v>
      </c>
      <c r="O386" s="3" t="s">
        <v>37</v>
      </c>
      <c r="P386" s="3" t="s">
        <v>40</v>
      </c>
    </row>
    <row r="387" spans="1:16" x14ac:dyDescent="0.3">
      <c r="A387" s="4">
        <v>46091</v>
      </c>
      <c r="B387" s="3" t="s">
        <v>407</v>
      </c>
      <c r="C387" s="3" t="s">
        <v>398</v>
      </c>
      <c r="D387" s="3" t="s">
        <v>400</v>
      </c>
      <c r="E387" s="3">
        <v>26</v>
      </c>
      <c r="F387" s="3">
        <v>0</v>
      </c>
      <c r="G387" s="6">
        <v>0.82</v>
      </c>
      <c r="H387" s="3">
        <v>13.3</v>
      </c>
      <c r="I387" s="3">
        <v>417</v>
      </c>
      <c r="J387" s="3">
        <v>95</v>
      </c>
      <c r="K387" s="5">
        <v>1282</v>
      </c>
      <c r="L387" s="3">
        <v>68</v>
      </c>
      <c r="M387" s="3">
        <v>3</v>
      </c>
      <c r="N387" s="6">
        <v>0.73</v>
      </c>
      <c r="O387" s="3" t="s">
        <v>29</v>
      </c>
      <c r="P387" s="3" t="s">
        <v>66</v>
      </c>
    </row>
    <row r="388" spans="1:16" x14ac:dyDescent="0.3">
      <c r="A388" s="4">
        <v>46091</v>
      </c>
      <c r="B388" s="3" t="s">
        <v>407</v>
      </c>
      <c r="C388" s="3" t="s">
        <v>401</v>
      </c>
      <c r="D388" s="3" t="s">
        <v>402</v>
      </c>
      <c r="E388" s="3">
        <v>34</v>
      </c>
      <c r="F388" s="3">
        <v>1</v>
      </c>
      <c r="G388" s="6">
        <v>0.77</v>
      </c>
      <c r="H388" s="3">
        <v>13.2</v>
      </c>
      <c r="I388" s="3">
        <v>320</v>
      </c>
      <c r="J388" s="3">
        <v>146</v>
      </c>
      <c r="K388" s="5">
        <v>4212</v>
      </c>
      <c r="L388" s="3">
        <v>78</v>
      </c>
      <c r="M388" s="3">
        <v>0</v>
      </c>
      <c r="N388" s="6">
        <v>0.56999999999999995</v>
      </c>
      <c r="O388" s="3" t="s">
        <v>26</v>
      </c>
      <c r="P388" s="3" t="s">
        <v>33</v>
      </c>
    </row>
    <row r="389" spans="1:16" x14ac:dyDescent="0.3">
      <c r="A389" s="4">
        <v>46091</v>
      </c>
      <c r="B389" s="3" t="s">
        <v>407</v>
      </c>
      <c r="C389" s="3" t="s">
        <v>401</v>
      </c>
      <c r="D389" s="3" t="s">
        <v>403</v>
      </c>
      <c r="E389" s="3">
        <v>37</v>
      </c>
      <c r="F389" s="3">
        <v>0</v>
      </c>
      <c r="G389" s="6">
        <v>0.73</v>
      </c>
      <c r="H389" s="3">
        <v>10.1</v>
      </c>
      <c r="I389" s="3">
        <v>315</v>
      </c>
      <c r="J389" s="3">
        <v>72</v>
      </c>
      <c r="K389" s="5">
        <v>2484</v>
      </c>
      <c r="L389" s="3">
        <v>39</v>
      </c>
      <c r="M389" s="3">
        <v>3</v>
      </c>
      <c r="N389" s="6">
        <v>0.69</v>
      </c>
      <c r="O389" s="3" t="s">
        <v>37</v>
      </c>
      <c r="P389" s="3" t="s">
        <v>40</v>
      </c>
    </row>
    <row r="390" spans="1:16" x14ac:dyDescent="0.3">
      <c r="A390" s="4">
        <v>46091</v>
      </c>
      <c r="B390" s="3" t="s">
        <v>407</v>
      </c>
      <c r="C390" s="3" t="s">
        <v>404</v>
      </c>
      <c r="D390" s="3" t="s">
        <v>405</v>
      </c>
      <c r="E390" s="3">
        <v>29</v>
      </c>
      <c r="F390" s="3">
        <v>3</v>
      </c>
      <c r="G390" s="6">
        <v>0.79</v>
      </c>
      <c r="H390" s="3">
        <v>7.5</v>
      </c>
      <c r="I390" s="3">
        <v>116</v>
      </c>
      <c r="J390" s="3">
        <v>145</v>
      </c>
      <c r="K390" s="5">
        <v>1023</v>
      </c>
      <c r="L390" s="3">
        <v>111</v>
      </c>
      <c r="M390" s="3">
        <v>5</v>
      </c>
      <c r="N390" s="6">
        <v>0.62</v>
      </c>
      <c r="O390" s="3" t="s">
        <v>18</v>
      </c>
      <c r="P390" s="3" t="s">
        <v>17</v>
      </c>
    </row>
    <row r="391" spans="1:16" x14ac:dyDescent="0.3">
      <c r="A391" s="4">
        <v>46091</v>
      </c>
      <c r="B391" s="3" t="s">
        <v>407</v>
      </c>
      <c r="C391" s="3" t="s">
        <v>404</v>
      </c>
      <c r="D391" s="3" t="s">
        <v>406</v>
      </c>
      <c r="E391" s="3">
        <v>35</v>
      </c>
      <c r="F391" s="3">
        <v>2</v>
      </c>
      <c r="G391" s="6">
        <v>0.78</v>
      </c>
      <c r="H391" s="3">
        <v>7.8</v>
      </c>
      <c r="I391" s="3">
        <v>402</v>
      </c>
      <c r="J391" s="3">
        <v>98</v>
      </c>
      <c r="K391" s="5">
        <v>4400</v>
      </c>
      <c r="L391" s="3">
        <v>34</v>
      </c>
      <c r="M391" s="3">
        <v>3</v>
      </c>
      <c r="N391" s="6">
        <v>0.62</v>
      </c>
      <c r="O391" s="3" t="s">
        <v>29</v>
      </c>
      <c r="P391" s="3" t="s">
        <v>28</v>
      </c>
    </row>
    <row r="392" spans="1:16" x14ac:dyDescent="0.3">
      <c r="A392" s="4">
        <v>46092</v>
      </c>
      <c r="B392" s="3" t="s">
        <v>408</v>
      </c>
      <c r="C392" s="3" t="s">
        <v>398</v>
      </c>
      <c r="D392" s="3" t="s">
        <v>399</v>
      </c>
      <c r="E392" s="3">
        <v>34</v>
      </c>
      <c r="F392" s="3">
        <v>2</v>
      </c>
      <c r="G392" s="6">
        <v>0.85</v>
      </c>
      <c r="H392" s="3">
        <v>16.3</v>
      </c>
      <c r="I392" s="3">
        <v>289</v>
      </c>
      <c r="J392" s="3">
        <v>5</v>
      </c>
      <c r="K392" s="5">
        <v>1058</v>
      </c>
      <c r="L392" s="3">
        <v>52</v>
      </c>
      <c r="M392" s="3">
        <v>1</v>
      </c>
      <c r="N392" s="6">
        <v>0.81</v>
      </c>
      <c r="O392" s="3" t="s">
        <v>29</v>
      </c>
      <c r="P392" s="3" t="s">
        <v>28</v>
      </c>
    </row>
    <row r="393" spans="1:16" x14ac:dyDescent="0.3">
      <c r="A393" s="4">
        <v>46092</v>
      </c>
      <c r="B393" s="3" t="s">
        <v>408</v>
      </c>
      <c r="C393" s="3" t="s">
        <v>398</v>
      </c>
      <c r="D393" s="3" t="s">
        <v>400</v>
      </c>
      <c r="E393" s="3">
        <v>24</v>
      </c>
      <c r="F393" s="3">
        <v>3</v>
      </c>
      <c r="G393" s="6">
        <v>0.78</v>
      </c>
      <c r="H393" s="3">
        <v>18.2</v>
      </c>
      <c r="I393" s="3">
        <v>297</v>
      </c>
      <c r="J393" s="3">
        <v>29</v>
      </c>
      <c r="K393" s="5">
        <v>2317</v>
      </c>
      <c r="L393" s="3">
        <v>22</v>
      </c>
      <c r="M393" s="3">
        <v>4</v>
      </c>
      <c r="N393" s="6">
        <v>0.69</v>
      </c>
      <c r="O393" s="3" t="s">
        <v>37</v>
      </c>
      <c r="P393" s="3" t="s">
        <v>40</v>
      </c>
    </row>
    <row r="394" spans="1:16" x14ac:dyDescent="0.3">
      <c r="A394" s="4">
        <v>46092</v>
      </c>
      <c r="B394" s="3" t="s">
        <v>408</v>
      </c>
      <c r="C394" s="3" t="s">
        <v>401</v>
      </c>
      <c r="D394" s="3" t="s">
        <v>402</v>
      </c>
      <c r="E394" s="3">
        <v>25</v>
      </c>
      <c r="F394" s="3">
        <v>0</v>
      </c>
      <c r="G394" s="6">
        <v>0.85</v>
      </c>
      <c r="H394" s="3">
        <v>13</v>
      </c>
      <c r="I394" s="3">
        <v>136</v>
      </c>
      <c r="J394" s="3">
        <v>115</v>
      </c>
      <c r="K394" s="5">
        <v>700</v>
      </c>
      <c r="L394" s="3">
        <v>68</v>
      </c>
      <c r="M394" s="3">
        <v>6</v>
      </c>
      <c r="N394" s="6">
        <v>0.86</v>
      </c>
      <c r="O394" s="3" t="s">
        <v>18</v>
      </c>
      <c r="P394" s="3" t="s">
        <v>17</v>
      </c>
    </row>
    <row r="395" spans="1:16" x14ac:dyDescent="0.3">
      <c r="A395" s="4">
        <v>46092</v>
      </c>
      <c r="B395" s="3" t="s">
        <v>408</v>
      </c>
      <c r="C395" s="3" t="s">
        <v>401</v>
      </c>
      <c r="D395" s="3" t="s">
        <v>403</v>
      </c>
      <c r="E395" s="3">
        <v>24</v>
      </c>
      <c r="F395" s="3">
        <v>0</v>
      </c>
      <c r="G395" s="6">
        <v>0.79</v>
      </c>
      <c r="H395" s="3">
        <v>15.1</v>
      </c>
      <c r="I395" s="3">
        <v>120</v>
      </c>
      <c r="J395" s="3">
        <v>56</v>
      </c>
      <c r="K395" s="5">
        <v>679</v>
      </c>
      <c r="L395" s="3">
        <v>22</v>
      </c>
      <c r="M395" s="3">
        <v>0</v>
      </c>
      <c r="N395" s="6">
        <v>0.65</v>
      </c>
      <c r="O395" s="3" t="s">
        <v>37</v>
      </c>
      <c r="P395" s="3" t="s">
        <v>36</v>
      </c>
    </row>
    <row r="396" spans="1:16" x14ac:dyDescent="0.3">
      <c r="A396" s="4">
        <v>46092</v>
      </c>
      <c r="B396" s="3" t="s">
        <v>408</v>
      </c>
      <c r="C396" s="3" t="s">
        <v>404</v>
      </c>
      <c r="D396" s="3" t="s">
        <v>405</v>
      </c>
      <c r="E396" s="3">
        <v>20</v>
      </c>
      <c r="F396" s="3">
        <v>4</v>
      </c>
      <c r="G396" s="6">
        <v>0.85</v>
      </c>
      <c r="H396" s="3">
        <v>15.9</v>
      </c>
      <c r="I396" s="3">
        <v>370</v>
      </c>
      <c r="J396" s="3">
        <v>122</v>
      </c>
      <c r="K396" s="5">
        <v>250</v>
      </c>
      <c r="L396" s="3">
        <v>27</v>
      </c>
      <c r="M396" s="3">
        <v>4</v>
      </c>
      <c r="N396" s="6">
        <v>0.68</v>
      </c>
      <c r="O396" s="3" t="s">
        <v>29</v>
      </c>
      <c r="P396" s="3" t="s">
        <v>66</v>
      </c>
    </row>
    <row r="397" spans="1:16" x14ac:dyDescent="0.3">
      <c r="A397" s="4">
        <v>46092</v>
      </c>
      <c r="B397" s="3" t="s">
        <v>408</v>
      </c>
      <c r="C397" s="3" t="s">
        <v>404</v>
      </c>
      <c r="D397" s="3" t="s">
        <v>406</v>
      </c>
      <c r="E397" s="3">
        <v>24</v>
      </c>
      <c r="F397" s="3">
        <v>0</v>
      </c>
      <c r="G397" s="6">
        <v>0.86</v>
      </c>
      <c r="H397" s="3">
        <v>10.8</v>
      </c>
      <c r="I397" s="3">
        <v>192</v>
      </c>
      <c r="J397" s="3">
        <v>129</v>
      </c>
      <c r="K397" s="5">
        <v>1862</v>
      </c>
      <c r="L397" s="3">
        <v>76</v>
      </c>
      <c r="M397" s="3">
        <v>6</v>
      </c>
      <c r="N397" s="6">
        <v>0.81</v>
      </c>
      <c r="O397" s="3" t="s">
        <v>18</v>
      </c>
      <c r="P397" s="3" t="s">
        <v>17</v>
      </c>
    </row>
    <row r="398" spans="1:16" x14ac:dyDescent="0.3">
      <c r="A398" s="4">
        <v>46093</v>
      </c>
      <c r="B398" s="3" t="s">
        <v>409</v>
      </c>
      <c r="C398" s="3" t="s">
        <v>398</v>
      </c>
      <c r="D398" s="3" t="s">
        <v>399</v>
      </c>
      <c r="E398" s="3">
        <v>29</v>
      </c>
      <c r="F398" s="3">
        <v>0</v>
      </c>
      <c r="G398" s="6">
        <v>0.82</v>
      </c>
      <c r="H398" s="3">
        <v>15</v>
      </c>
      <c r="I398" s="3">
        <v>288</v>
      </c>
      <c r="J398" s="3">
        <v>130</v>
      </c>
      <c r="K398" s="5">
        <v>1704</v>
      </c>
      <c r="L398" s="3">
        <v>45</v>
      </c>
      <c r="M398" s="3">
        <v>2</v>
      </c>
      <c r="N398" s="6">
        <v>0.72</v>
      </c>
      <c r="O398" s="3" t="s">
        <v>18</v>
      </c>
      <c r="P398" s="3" t="s">
        <v>17</v>
      </c>
    </row>
    <row r="399" spans="1:16" x14ac:dyDescent="0.3">
      <c r="A399" s="4">
        <v>46093</v>
      </c>
      <c r="B399" s="3" t="s">
        <v>409</v>
      </c>
      <c r="C399" s="3" t="s">
        <v>398</v>
      </c>
      <c r="D399" s="3" t="s">
        <v>400</v>
      </c>
      <c r="E399" s="3">
        <v>36</v>
      </c>
      <c r="F399" s="3">
        <v>1</v>
      </c>
      <c r="G399" s="6">
        <v>0.83</v>
      </c>
      <c r="H399" s="3">
        <v>17.899999999999999</v>
      </c>
      <c r="I399" s="3">
        <v>53</v>
      </c>
      <c r="J399" s="3">
        <v>135</v>
      </c>
      <c r="K399" s="5">
        <v>2660</v>
      </c>
      <c r="L399" s="3">
        <v>14</v>
      </c>
      <c r="M399" s="3">
        <v>5</v>
      </c>
      <c r="N399" s="6">
        <v>0.78</v>
      </c>
      <c r="O399" s="3" t="s">
        <v>13</v>
      </c>
      <c r="P399" s="3" t="s">
        <v>12</v>
      </c>
    </row>
    <row r="400" spans="1:16" x14ac:dyDescent="0.3">
      <c r="A400" s="4">
        <v>46093</v>
      </c>
      <c r="B400" s="3" t="s">
        <v>409</v>
      </c>
      <c r="C400" s="3" t="s">
        <v>401</v>
      </c>
      <c r="D400" s="3" t="s">
        <v>402</v>
      </c>
      <c r="E400" s="3">
        <v>22</v>
      </c>
      <c r="F400" s="3">
        <v>1</v>
      </c>
      <c r="G400" s="6">
        <v>0.75</v>
      </c>
      <c r="H400" s="3">
        <v>14.1</v>
      </c>
      <c r="I400" s="3">
        <v>201</v>
      </c>
      <c r="J400" s="3">
        <v>148</v>
      </c>
      <c r="K400" s="5">
        <v>4241</v>
      </c>
      <c r="L400" s="3">
        <v>94</v>
      </c>
      <c r="M400" s="3">
        <v>3</v>
      </c>
      <c r="N400" s="6">
        <v>0.7</v>
      </c>
      <c r="O400" s="3" t="s">
        <v>13</v>
      </c>
      <c r="P400" s="3" t="s">
        <v>12</v>
      </c>
    </row>
    <row r="401" spans="1:16" x14ac:dyDescent="0.3">
      <c r="A401" s="4">
        <v>46093</v>
      </c>
      <c r="B401" s="3" t="s">
        <v>409</v>
      </c>
      <c r="C401" s="3" t="s">
        <v>401</v>
      </c>
      <c r="D401" s="3" t="s">
        <v>403</v>
      </c>
      <c r="E401" s="3">
        <v>29</v>
      </c>
      <c r="F401" s="3">
        <v>3</v>
      </c>
      <c r="G401" s="6">
        <v>0.86</v>
      </c>
      <c r="H401" s="3">
        <v>17.399999999999999</v>
      </c>
      <c r="I401" s="3">
        <v>326</v>
      </c>
      <c r="J401" s="3">
        <v>44</v>
      </c>
      <c r="K401" s="5">
        <v>2981</v>
      </c>
      <c r="L401" s="3">
        <v>100</v>
      </c>
      <c r="M401" s="3">
        <v>6</v>
      </c>
      <c r="N401" s="6">
        <v>0.84</v>
      </c>
      <c r="O401" s="3" t="s">
        <v>13</v>
      </c>
      <c r="P401" s="3" t="s">
        <v>12</v>
      </c>
    </row>
    <row r="402" spans="1:16" x14ac:dyDescent="0.3">
      <c r="A402" s="4">
        <v>46093</v>
      </c>
      <c r="B402" s="3" t="s">
        <v>409</v>
      </c>
      <c r="C402" s="3" t="s">
        <v>404</v>
      </c>
      <c r="D402" s="3" t="s">
        <v>405</v>
      </c>
      <c r="E402" s="3">
        <v>27</v>
      </c>
      <c r="F402" s="3">
        <v>0</v>
      </c>
      <c r="G402" s="6">
        <v>0.74</v>
      </c>
      <c r="H402" s="3">
        <v>13</v>
      </c>
      <c r="I402" s="3">
        <v>56</v>
      </c>
      <c r="J402" s="3">
        <v>41</v>
      </c>
      <c r="K402" s="5">
        <v>603</v>
      </c>
      <c r="L402" s="3">
        <v>7</v>
      </c>
      <c r="M402" s="3">
        <v>4</v>
      </c>
      <c r="N402" s="6">
        <v>0.76</v>
      </c>
      <c r="O402" s="3" t="s">
        <v>37</v>
      </c>
      <c r="P402" s="3" t="s">
        <v>36</v>
      </c>
    </row>
    <row r="403" spans="1:16" x14ac:dyDescent="0.3">
      <c r="A403" s="4">
        <v>46093</v>
      </c>
      <c r="B403" s="3" t="s">
        <v>409</v>
      </c>
      <c r="C403" s="3" t="s">
        <v>404</v>
      </c>
      <c r="D403" s="3" t="s">
        <v>406</v>
      </c>
      <c r="E403" s="3">
        <v>30</v>
      </c>
      <c r="F403" s="3">
        <v>1</v>
      </c>
      <c r="G403" s="6">
        <v>0.85</v>
      </c>
      <c r="H403" s="3">
        <v>13.2</v>
      </c>
      <c r="I403" s="3">
        <v>59</v>
      </c>
      <c r="J403" s="3">
        <v>71</v>
      </c>
      <c r="K403" s="5">
        <v>4288</v>
      </c>
      <c r="L403" s="3">
        <v>58</v>
      </c>
      <c r="M403" s="3">
        <v>0</v>
      </c>
      <c r="N403" s="6">
        <v>0.68</v>
      </c>
      <c r="O403" s="3" t="s">
        <v>37</v>
      </c>
      <c r="P403" s="3" t="s">
        <v>40</v>
      </c>
    </row>
    <row r="404" spans="1:16" x14ac:dyDescent="0.3">
      <c r="A404" s="4">
        <v>46094</v>
      </c>
      <c r="B404" s="3" t="s">
        <v>410</v>
      </c>
      <c r="C404" s="3" t="s">
        <v>398</v>
      </c>
      <c r="D404" s="3" t="s">
        <v>399</v>
      </c>
      <c r="E404" s="3">
        <v>32</v>
      </c>
      <c r="F404" s="3">
        <v>2</v>
      </c>
      <c r="G404" s="6">
        <v>0.86</v>
      </c>
      <c r="H404" s="3">
        <v>18.399999999999999</v>
      </c>
      <c r="I404" s="3">
        <v>326</v>
      </c>
      <c r="J404" s="3">
        <v>39</v>
      </c>
      <c r="K404" s="5">
        <v>2905</v>
      </c>
      <c r="L404" s="3">
        <v>19</v>
      </c>
      <c r="M404" s="3">
        <v>3</v>
      </c>
      <c r="N404" s="6">
        <v>0.88</v>
      </c>
      <c r="O404" s="3" t="s">
        <v>37</v>
      </c>
      <c r="P404" s="3" t="s">
        <v>40</v>
      </c>
    </row>
    <row r="405" spans="1:16" x14ac:dyDescent="0.3">
      <c r="A405" s="4">
        <v>46094</v>
      </c>
      <c r="B405" s="3" t="s">
        <v>410</v>
      </c>
      <c r="C405" s="3" t="s">
        <v>398</v>
      </c>
      <c r="D405" s="3" t="s">
        <v>400</v>
      </c>
      <c r="E405" s="3">
        <v>22</v>
      </c>
      <c r="F405" s="3">
        <v>0</v>
      </c>
      <c r="G405" s="6">
        <v>0.87</v>
      </c>
      <c r="H405" s="3">
        <v>8.6999999999999993</v>
      </c>
      <c r="I405" s="3">
        <v>33</v>
      </c>
      <c r="J405" s="3">
        <v>0</v>
      </c>
      <c r="K405" s="5">
        <v>894</v>
      </c>
      <c r="L405" s="3">
        <v>22</v>
      </c>
      <c r="M405" s="3">
        <v>4</v>
      </c>
      <c r="N405" s="6">
        <v>0.82</v>
      </c>
      <c r="O405" s="3" t="s">
        <v>18</v>
      </c>
      <c r="P405" s="3" t="s">
        <v>17</v>
      </c>
    </row>
    <row r="406" spans="1:16" x14ac:dyDescent="0.3">
      <c r="A406" s="4">
        <v>46094</v>
      </c>
      <c r="B406" s="3" t="s">
        <v>410</v>
      </c>
      <c r="C406" s="3" t="s">
        <v>401</v>
      </c>
      <c r="D406" s="3" t="s">
        <v>402</v>
      </c>
      <c r="E406" s="3">
        <v>36</v>
      </c>
      <c r="F406" s="3">
        <v>1</v>
      </c>
      <c r="G406" s="6">
        <v>0.73</v>
      </c>
      <c r="H406" s="3">
        <v>18.100000000000001</v>
      </c>
      <c r="I406" s="3">
        <v>410</v>
      </c>
      <c r="J406" s="3">
        <v>3</v>
      </c>
      <c r="K406" s="5">
        <v>1651</v>
      </c>
      <c r="L406" s="3">
        <v>112</v>
      </c>
      <c r="M406" s="3">
        <v>4</v>
      </c>
      <c r="N406" s="6">
        <v>0.53</v>
      </c>
      <c r="O406" s="3" t="s">
        <v>26</v>
      </c>
      <c r="P406" s="3" t="s">
        <v>33</v>
      </c>
    </row>
    <row r="407" spans="1:16" x14ac:dyDescent="0.3">
      <c r="A407" s="4">
        <v>46094</v>
      </c>
      <c r="B407" s="3" t="s">
        <v>410</v>
      </c>
      <c r="C407" s="3" t="s">
        <v>401</v>
      </c>
      <c r="D407" s="3" t="s">
        <v>403</v>
      </c>
      <c r="E407" s="3">
        <v>27</v>
      </c>
      <c r="F407" s="3">
        <v>0</v>
      </c>
      <c r="G407" s="6">
        <v>0.9</v>
      </c>
      <c r="H407" s="3">
        <v>11.7</v>
      </c>
      <c r="I407" s="3">
        <v>43</v>
      </c>
      <c r="J407" s="3">
        <v>133</v>
      </c>
      <c r="K407" s="5">
        <v>3623</v>
      </c>
      <c r="L407" s="3">
        <v>12</v>
      </c>
      <c r="M407" s="3">
        <v>3</v>
      </c>
      <c r="N407" s="6">
        <v>0.92</v>
      </c>
      <c r="O407" s="3" t="s">
        <v>26</v>
      </c>
      <c r="P407" s="3" t="s">
        <v>25</v>
      </c>
    </row>
    <row r="408" spans="1:16" x14ac:dyDescent="0.3">
      <c r="A408" s="4">
        <v>46094</v>
      </c>
      <c r="B408" s="3" t="s">
        <v>410</v>
      </c>
      <c r="C408" s="3" t="s">
        <v>404</v>
      </c>
      <c r="D408" s="3" t="s">
        <v>405</v>
      </c>
      <c r="E408" s="3">
        <v>31</v>
      </c>
      <c r="F408" s="3">
        <v>2</v>
      </c>
      <c r="G408" s="6">
        <v>0.74</v>
      </c>
      <c r="H408" s="3">
        <v>13.1</v>
      </c>
      <c r="I408" s="3">
        <v>59</v>
      </c>
      <c r="J408" s="3">
        <v>44</v>
      </c>
      <c r="K408" s="5">
        <v>3575</v>
      </c>
      <c r="L408" s="3">
        <v>51</v>
      </c>
      <c r="M408" s="3">
        <v>4</v>
      </c>
      <c r="N408" s="6">
        <v>0.66</v>
      </c>
      <c r="O408" s="3" t="s">
        <v>26</v>
      </c>
      <c r="P408" s="3" t="s">
        <v>33</v>
      </c>
    </row>
    <row r="409" spans="1:16" x14ac:dyDescent="0.3">
      <c r="A409" s="4">
        <v>46094</v>
      </c>
      <c r="B409" s="3" t="s">
        <v>410</v>
      </c>
      <c r="C409" s="3" t="s">
        <v>404</v>
      </c>
      <c r="D409" s="3" t="s">
        <v>406</v>
      </c>
      <c r="E409" s="3">
        <v>33</v>
      </c>
      <c r="F409" s="3">
        <v>0</v>
      </c>
      <c r="G409" s="6">
        <v>0.79</v>
      </c>
      <c r="H409" s="3">
        <v>12.8</v>
      </c>
      <c r="I409" s="3">
        <v>168</v>
      </c>
      <c r="J409" s="3">
        <v>7</v>
      </c>
      <c r="K409" s="5">
        <v>2792</v>
      </c>
      <c r="L409" s="3">
        <v>90</v>
      </c>
      <c r="M409" s="3">
        <v>8</v>
      </c>
      <c r="N409" s="6">
        <v>0.68</v>
      </c>
      <c r="O409" s="3" t="s">
        <v>37</v>
      </c>
      <c r="P409" s="3" t="s">
        <v>40</v>
      </c>
    </row>
    <row r="410" spans="1:16" x14ac:dyDescent="0.3">
      <c r="A410" s="4">
        <v>46095</v>
      </c>
      <c r="B410" s="3" t="s">
        <v>411</v>
      </c>
      <c r="C410" s="3" t="s">
        <v>398</v>
      </c>
      <c r="D410" s="3" t="s">
        <v>399</v>
      </c>
      <c r="E410" s="3">
        <v>38</v>
      </c>
      <c r="F410" s="3">
        <v>1</v>
      </c>
      <c r="G410" s="6">
        <v>0.8</v>
      </c>
      <c r="H410" s="3">
        <v>9.6</v>
      </c>
      <c r="I410" s="3">
        <v>192</v>
      </c>
      <c r="J410" s="3">
        <v>104</v>
      </c>
      <c r="K410" s="5">
        <v>450</v>
      </c>
      <c r="L410" s="3">
        <v>52</v>
      </c>
      <c r="M410" s="3">
        <v>2</v>
      </c>
      <c r="N410" s="6">
        <v>0.64</v>
      </c>
      <c r="O410" s="3" t="s">
        <v>29</v>
      </c>
      <c r="P410" s="3" t="s">
        <v>28</v>
      </c>
    </row>
    <row r="411" spans="1:16" x14ac:dyDescent="0.3">
      <c r="A411" s="4">
        <v>46095</v>
      </c>
      <c r="B411" s="3" t="s">
        <v>411</v>
      </c>
      <c r="C411" s="3" t="s">
        <v>398</v>
      </c>
      <c r="D411" s="3" t="s">
        <v>400</v>
      </c>
      <c r="E411" s="3">
        <v>22</v>
      </c>
      <c r="F411" s="3">
        <v>3</v>
      </c>
      <c r="G411" s="6">
        <v>0.74</v>
      </c>
      <c r="H411" s="3">
        <v>17.5</v>
      </c>
      <c r="I411" s="3">
        <v>409</v>
      </c>
      <c r="J411" s="3">
        <v>145</v>
      </c>
      <c r="K411" s="5">
        <v>2239</v>
      </c>
      <c r="L411" s="3">
        <v>119</v>
      </c>
      <c r="M411" s="3">
        <v>5</v>
      </c>
      <c r="N411" s="6">
        <v>0.62</v>
      </c>
      <c r="O411" s="3" t="s">
        <v>18</v>
      </c>
      <c r="P411" s="3" t="s">
        <v>17</v>
      </c>
    </row>
    <row r="412" spans="1:16" x14ac:dyDescent="0.3">
      <c r="A412" s="4">
        <v>46095</v>
      </c>
      <c r="B412" s="3" t="s">
        <v>411</v>
      </c>
      <c r="C412" s="3" t="s">
        <v>401</v>
      </c>
      <c r="D412" s="3" t="s">
        <v>402</v>
      </c>
      <c r="E412" s="3">
        <v>32</v>
      </c>
      <c r="F412" s="3">
        <v>0</v>
      </c>
      <c r="G412" s="6">
        <v>0.83</v>
      </c>
      <c r="H412" s="3">
        <v>12.4</v>
      </c>
      <c r="I412" s="3">
        <v>56</v>
      </c>
      <c r="J412" s="3">
        <v>141</v>
      </c>
      <c r="K412" s="5">
        <v>4110</v>
      </c>
      <c r="L412" s="3">
        <v>32</v>
      </c>
      <c r="M412" s="3">
        <v>2</v>
      </c>
      <c r="N412" s="6">
        <v>0.87</v>
      </c>
      <c r="O412" s="3" t="s">
        <v>26</v>
      </c>
      <c r="P412" s="3" t="s">
        <v>33</v>
      </c>
    </row>
    <row r="413" spans="1:16" x14ac:dyDescent="0.3">
      <c r="A413" s="4">
        <v>46095</v>
      </c>
      <c r="B413" s="3" t="s">
        <v>411</v>
      </c>
      <c r="C413" s="3" t="s">
        <v>401</v>
      </c>
      <c r="D413" s="3" t="s">
        <v>403</v>
      </c>
      <c r="E413" s="3">
        <v>29</v>
      </c>
      <c r="F413" s="3">
        <v>0</v>
      </c>
      <c r="G413" s="6">
        <v>0.74</v>
      </c>
      <c r="H413" s="3">
        <v>15</v>
      </c>
      <c r="I413" s="3">
        <v>100</v>
      </c>
      <c r="J413" s="3">
        <v>116</v>
      </c>
      <c r="K413" s="5">
        <v>4064</v>
      </c>
      <c r="L413" s="3">
        <v>19</v>
      </c>
      <c r="M413" s="3">
        <v>6</v>
      </c>
      <c r="N413" s="6">
        <v>0.59</v>
      </c>
      <c r="O413" s="3" t="s">
        <v>29</v>
      </c>
      <c r="P413" s="3" t="s">
        <v>28</v>
      </c>
    </row>
    <row r="414" spans="1:16" x14ac:dyDescent="0.3">
      <c r="A414" s="4">
        <v>46095</v>
      </c>
      <c r="B414" s="3" t="s">
        <v>411</v>
      </c>
      <c r="C414" s="3" t="s">
        <v>404</v>
      </c>
      <c r="D414" s="3" t="s">
        <v>405</v>
      </c>
      <c r="E414" s="3">
        <v>37</v>
      </c>
      <c r="F414" s="3">
        <v>0</v>
      </c>
      <c r="G414" s="6">
        <v>0.84</v>
      </c>
      <c r="H414" s="3">
        <v>11</v>
      </c>
      <c r="I414" s="3">
        <v>227</v>
      </c>
      <c r="J414" s="3">
        <v>24</v>
      </c>
      <c r="K414" s="5">
        <v>3782</v>
      </c>
      <c r="L414" s="3">
        <v>17</v>
      </c>
      <c r="M414" s="3">
        <v>4</v>
      </c>
      <c r="N414" s="6">
        <v>0.72</v>
      </c>
      <c r="O414" s="3" t="s">
        <v>26</v>
      </c>
      <c r="P414" s="3" t="s">
        <v>25</v>
      </c>
    </row>
    <row r="415" spans="1:16" x14ac:dyDescent="0.3">
      <c r="A415" s="4">
        <v>46095</v>
      </c>
      <c r="B415" s="3" t="s">
        <v>411</v>
      </c>
      <c r="C415" s="3" t="s">
        <v>404</v>
      </c>
      <c r="D415" s="3" t="s">
        <v>406</v>
      </c>
      <c r="E415" s="3">
        <v>26</v>
      </c>
      <c r="F415" s="3">
        <v>0</v>
      </c>
      <c r="G415" s="6">
        <v>0.75</v>
      </c>
      <c r="H415" s="3">
        <v>8.1999999999999993</v>
      </c>
      <c r="I415" s="3">
        <v>261</v>
      </c>
      <c r="J415" s="3">
        <v>14</v>
      </c>
      <c r="K415" s="5">
        <v>448</v>
      </c>
      <c r="L415" s="3">
        <v>120</v>
      </c>
      <c r="M415" s="3">
        <v>2</v>
      </c>
      <c r="N415" s="6">
        <v>0.75</v>
      </c>
      <c r="O415" s="3" t="s">
        <v>13</v>
      </c>
      <c r="P415" s="3" t="s">
        <v>12</v>
      </c>
    </row>
    <row r="416" spans="1:16" x14ac:dyDescent="0.3">
      <c r="A416" s="4">
        <v>46096</v>
      </c>
      <c r="B416" s="3" t="s">
        <v>412</v>
      </c>
      <c r="C416" s="3" t="s">
        <v>398</v>
      </c>
      <c r="D416" s="3" t="s">
        <v>399</v>
      </c>
      <c r="E416" s="3">
        <v>35</v>
      </c>
      <c r="F416" s="3">
        <v>1</v>
      </c>
      <c r="G416" s="6">
        <v>0.74</v>
      </c>
      <c r="H416" s="3">
        <v>16</v>
      </c>
      <c r="I416" s="3">
        <v>389</v>
      </c>
      <c r="J416" s="3">
        <v>40</v>
      </c>
      <c r="K416" s="5">
        <v>2412</v>
      </c>
      <c r="L416" s="3">
        <v>114</v>
      </c>
      <c r="M416" s="3">
        <v>1</v>
      </c>
      <c r="N416" s="6">
        <v>0.61</v>
      </c>
      <c r="O416" s="3" t="s">
        <v>26</v>
      </c>
      <c r="P416" s="3" t="s">
        <v>25</v>
      </c>
    </row>
    <row r="417" spans="1:16" x14ac:dyDescent="0.3">
      <c r="A417" s="4">
        <v>46096</v>
      </c>
      <c r="B417" s="3" t="s">
        <v>412</v>
      </c>
      <c r="C417" s="3" t="s">
        <v>398</v>
      </c>
      <c r="D417" s="3" t="s">
        <v>400</v>
      </c>
      <c r="E417" s="3">
        <v>21</v>
      </c>
      <c r="F417" s="3">
        <v>4</v>
      </c>
      <c r="G417" s="6">
        <v>0.81</v>
      </c>
      <c r="H417" s="3">
        <v>15.8</v>
      </c>
      <c r="I417" s="3">
        <v>243</v>
      </c>
      <c r="J417" s="3">
        <v>67</v>
      </c>
      <c r="K417" s="5">
        <v>2782</v>
      </c>
      <c r="L417" s="3">
        <v>11</v>
      </c>
      <c r="M417" s="3">
        <v>1</v>
      </c>
      <c r="N417" s="6">
        <v>0.72</v>
      </c>
      <c r="O417" s="3" t="s">
        <v>37</v>
      </c>
      <c r="P417" s="3" t="s">
        <v>36</v>
      </c>
    </row>
    <row r="418" spans="1:16" x14ac:dyDescent="0.3">
      <c r="A418" s="4">
        <v>46096</v>
      </c>
      <c r="B418" s="3" t="s">
        <v>412</v>
      </c>
      <c r="C418" s="3" t="s">
        <v>401</v>
      </c>
      <c r="D418" s="3" t="s">
        <v>402</v>
      </c>
      <c r="E418" s="3">
        <v>31</v>
      </c>
      <c r="F418" s="3">
        <v>1</v>
      </c>
      <c r="G418" s="6">
        <v>0.72</v>
      </c>
      <c r="H418" s="3">
        <v>16</v>
      </c>
      <c r="I418" s="3">
        <v>308</v>
      </c>
      <c r="J418" s="3">
        <v>148</v>
      </c>
      <c r="K418" s="5">
        <v>4292</v>
      </c>
      <c r="L418" s="3">
        <v>91</v>
      </c>
      <c r="M418" s="3">
        <v>2</v>
      </c>
      <c r="N418" s="6">
        <v>0.76</v>
      </c>
      <c r="O418" s="3" t="s">
        <v>13</v>
      </c>
      <c r="P418" s="3" t="s">
        <v>21</v>
      </c>
    </row>
    <row r="419" spans="1:16" x14ac:dyDescent="0.3">
      <c r="A419" s="4">
        <v>46096</v>
      </c>
      <c r="B419" s="3" t="s">
        <v>412</v>
      </c>
      <c r="C419" s="3" t="s">
        <v>401</v>
      </c>
      <c r="D419" s="3" t="s">
        <v>403</v>
      </c>
      <c r="E419" s="3">
        <v>38</v>
      </c>
      <c r="F419" s="3">
        <v>1</v>
      </c>
      <c r="G419" s="6">
        <v>0.75</v>
      </c>
      <c r="H419" s="3">
        <v>15.9</v>
      </c>
      <c r="I419" s="3">
        <v>285</v>
      </c>
      <c r="J419" s="3">
        <v>130</v>
      </c>
      <c r="K419" s="5">
        <v>2030</v>
      </c>
      <c r="L419" s="3">
        <v>94</v>
      </c>
      <c r="M419" s="3">
        <v>2</v>
      </c>
      <c r="N419" s="6">
        <v>0.79</v>
      </c>
      <c r="O419" s="3" t="s">
        <v>37</v>
      </c>
      <c r="P419" s="3" t="s">
        <v>40</v>
      </c>
    </row>
    <row r="420" spans="1:16" x14ac:dyDescent="0.3">
      <c r="A420" s="4">
        <v>46096</v>
      </c>
      <c r="B420" s="3" t="s">
        <v>412</v>
      </c>
      <c r="C420" s="3" t="s">
        <v>404</v>
      </c>
      <c r="D420" s="3" t="s">
        <v>405</v>
      </c>
      <c r="E420" s="3">
        <v>38</v>
      </c>
      <c r="F420" s="3">
        <v>1</v>
      </c>
      <c r="G420" s="6">
        <v>0.83</v>
      </c>
      <c r="H420" s="3">
        <v>11.1</v>
      </c>
      <c r="I420" s="3">
        <v>99</v>
      </c>
      <c r="J420" s="3">
        <v>97</v>
      </c>
      <c r="K420" s="5">
        <v>3579</v>
      </c>
      <c r="L420" s="3">
        <v>93</v>
      </c>
      <c r="M420" s="3">
        <v>4</v>
      </c>
      <c r="N420" s="6">
        <v>0.66</v>
      </c>
      <c r="O420" s="3" t="s">
        <v>18</v>
      </c>
      <c r="P420" s="3" t="s">
        <v>17</v>
      </c>
    </row>
    <row r="421" spans="1:16" x14ac:dyDescent="0.3">
      <c r="A421" s="4">
        <v>46096</v>
      </c>
      <c r="B421" s="3" t="s">
        <v>412</v>
      </c>
      <c r="C421" s="3" t="s">
        <v>404</v>
      </c>
      <c r="D421" s="3" t="s">
        <v>406</v>
      </c>
      <c r="E421" s="3">
        <v>23</v>
      </c>
      <c r="F421" s="3">
        <v>4</v>
      </c>
      <c r="G421" s="6">
        <v>0.73</v>
      </c>
      <c r="H421" s="3">
        <v>8.1999999999999993</v>
      </c>
      <c r="I421" s="3">
        <v>255</v>
      </c>
      <c r="J421" s="3">
        <v>114</v>
      </c>
      <c r="K421" s="5">
        <v>1755</v>
      </c>
      <c r="L421" s="3">
        <v>118</v>
      </c>
      <c r="M421" s="3">
        <v>4</v>
      </c>
      <c r="N421" s="6">
        <v>0.52</v>
      </c>
      <c r="O421" s="3" t="s">
        <v>18</v>
      </c>
      <c r="P421" s="3" t="s">
        <v>17</v>
      </c>
    </row>
    <row r="422" spans="1:16" x14ac:dyDescent="0.3">
      <c r="A422" s="4">
        <v>46097</v>
      </c>
      <c r="B422" s="3" t="s">
        <v>397</v>
      </c>
      <c r="C422" s="3" t="s">
        <v>398</v>
      </c>
      <c r="D422" s="3" t="s">
        <v>399</v>
      </c>
      <c r="E422" s="3">
        <v>27</v>
      </c>
      <c r="F422" s="3">
        <v>3</v>
      </c>
      <c r="G422" s="6">
        <v>0.81</v>
      </c>
      <c r="H422" s="3">
        <v>14.7</v>
      </c>
      <c r="I422" s="3">
        <v>242</v>
      </c>
      <c r="J422" s="3">
        <v>36</v>
      </c>
      <c r="K422" s="5">
        <v>1610</v>
      </c>
      <c r="L422" s="3">
        <v>108</v>
      </c>
      <c r="M422" s="3">
        <v>5</v>
      </c>
      <c r="N422" s="6">
        <v>0.77</v>
      </c>
      <c r="O422" s="3" t="s">
        <v>13</v>
      </c>
      <c r="P422" s="3" t="s">
        <v>12</v>
      </c>
    </row>
    <row r="423" spans="1:16" x14ac:dyDescent="0.3">
      <c r="A423" s="4">
        <v>46097</v>
      </c>
      <c r="B423" s="3" t="s">
        <v>397</v>
      </c>
      <c r="C423" s="3" t="s">
        <v>398</v>
      </c>
      <c r="D423" s="3" t="s">
        <v>400</v>
      </c>
      <c r="E423" s="3">
        <v>29</v>
      </c>
      <c r="F423" s="3">
        <v>1</v>
      </c>
      <c r="G423" s="6">
        <v>0.85</v>
      </c>
      <c r="H423" s="3">
        <v>17.8</v>
      </c>
      <c r="I423" s="3">
        <v>301</v>
      </c>
      <c r="J423" s="3">
        <v>140</v>
      </c>
      <c r="K423" s="5">
        <v>600</v>
      </c>
      <c r="L423" s="3">
        <v>68</v>
      </c>
      <c r="M423" s="3">
        <v>5</v>
      </c>
      <c r="N423" s="6">
        <v>0.68</v>
      </c>
      <c r="O423" s="3" t="s">
        <v>18</v>
      </c>
      <c r="P423" s="3" t="s">
        <v>55</v>
      </c>
    </row>
    <row r="424" spans="1:16" x14ac:dyDescent="0.3">
      <c r="A424" s="4">
        <v>46097</v>
      </c>
      <c r="B424" s="3" t="s">
        <v>397</v>
      </c>
      <c r="C424" s="3" t="s">
        <v>401</v>
      </c>
      <c r="D424" s="3" t="s">
        <v>402</v>
      </c>
      <c r="E424" s="3">
        <v>32</v>
      </c>
      <c r="F424" s="3">
        <v>0</v>
      </c>
      <c r="G424" s="6">
        <v>0.85</v>
      </c>
      <c r="H424" s="3">
        <v>10.7</v>
      </c>
      <c r="I424" s="3">
        <v>306</v>
      </c>
      <c r="J424" s="3">
        <v>39</v>
      </c>
      <c r="K424" s="5">
        <v>1171</v>
      </c>
      <c r="L424" s="3">
        <v>9</v>
      </c>
      <c r="M424" s="3">
        <v>1</v>
      </c>
      <c r="N424" s="6">
        <v>0.7</v>
      </c>
      <c r="O424" s="3" t="s">
        <v>29</v>
      </c>
      <c r="P424" s="3" t="s">
        <v>28</v>
      </c>
    </row>
    <row r="425" spans="1:16" x14ac:dyDescent="0.3">
      <c r="A425" s="4">
        <v>46097</v>
      </c>
      <c r="B425" s="3" t="s">
        <v>397</v>
      </c>
      <c r="C425" s="3" t="s">
        <v>401</v>
      </c>
      <c r="D425" s="3" t="s">
        <v>403</v>
      </c>
      <c r="E425" s="3">
        <v>28</v>
      </c>
      <c r="F425" s="3">
        <v>0</v>
      </c>
      <c r="G425" s="6">
        <v>0.82</v>
      </c>
      <c r="H425" s="3">
        <v>10.8</v>
      </c>
      <c r="I425" s="3">
        <v>208</v>
      </c>
      <c r="J425" s="3">
        <v>93</v>
      </c>
      <c r="K425" s="5">
        <v>2700</v>
      </c>
      <c r="L425" s="3">
        <v>4</v>
      </c>
      <c r="M425" s="3">
        <v>3</v>
      </c>
      <c r="N425" s="6">
        <v>0.84</v>
      </c>
      <c r="O425" s="3" t="s">
        <v>37</v>
      </c>
      <c r="P425" s="3" t="s">
        <v>36</v>
      </c>
    </row>
    <row r="426" spans="1:16" x14ac:dyDescent="0.3">
      <c r="A426" s="4">
        <v>46097</v>
      </c>
      <c r="B426" s="3" t="s">
        <v>397</v>
      </c>
      <c r="C426" s="3" t="s">
        <v>404</v>
      </c>
      <c r="D426" s="3" t="s">
        <v>405</v>
      </c>
      <c r="E426" s="3">
        <v>21</v>
      </c>
      <c r="F426" s="3">
        <v>0</v>
      </c>
      <c r="G426" s="6">
        <v>0.81</v>
      </c>
      <c r="H426" s="3">
        <v>13.6</v>
      </c>
      <c r="I426" s="3">
        <v>368</v>
      </c>
      <c r="J426" s="3">
        <v>117</v>
      </c>
      <c r="K426" s="5">
        <v>1452</v>
      </c>
      <c r="L426" s="3">
        <v>65</v>
      </c>
      <c r="M426" s="3">
        <v>4</v>
      </c>
      <c r="N426" s="6">
        <v>0.72</v>
      </c>
      <c r="O426" s="3" t="s">
        <v>37</v>
      </c>
      <c r="P426" s="3" t="s">
        <v>36</v>
      </c>
    </row>
    <row r="427" spans="1:16" x14ac:dyDescent="0.3">
      <c r="A427" s="4">
        <v>46097</v>
      </c>
      <c r="B427" s="3" t="s">
        <v>397</v>
      </c>
      <c r="C427" s="3" t="s">
        <v>404</v>
      </c>
      <c r="D427" s="3" t="s">
        <v>406</v>
      </c>
      <c r="E427" s="3">
        <v>35</v>
      </c>
      <c r="F427" s="3">
        <v>2</v>
      </c>
      <c r="G427" s="6">
        <v>0.86</v>
      </c>
      <c r="H427" s="3">
        <v>17.2</v>
      </c>
      <c r="I427" s="3">
        <v>266</v>
      </c>
      <c r="J427" s="3">
        <v>54</v>
      </c>
      <c r="K427" s="5">
        <v>1043</v>
      </c>
      <c r="L427" s="3">
        <v>95</v>
      </c>
      <c r="M427" s="3">
        <v>5</v>
      </c>
      <c r="N427" s="6">
        <v>0.78</v>
      </c>
      <c r="O427" s="3" t="s">
        <v>37</v>
      </c>
      <c r="P427" s="3" t="s">
        <v>36</v>
      </c>
    </row>
    <row r="428" spans="1:16" x14ac:dyDescent="0.3">
      <c r="A428" s="4">
        <v>46098</v>
      </c>
      <c r="B428" s="3" t="s">
        <v>407</v>
      </c>
      <c r="C428" s="3" t="s">
        <v>398</v>
      </c>
      <c r="D428" s="3" t="s">
        <v>399</v>
      </c>
      <c r="E428" s="3">
        <v>35</v>
      </c>
      <c r="F428" s="3">
        <v>2</v>
      </c>
      <c r="G428" s="6">
        <v>0.82</v>
      </c>
      <c r="H428" s="3">
        <v>7.6</v>
      </c>
      <c r="I428" s="3">
        <v>100</v>
      </c>
      <c r="J428" s="3">
        <v>144</v>
      </c>
      <c r="K428" s="5">
        <v>3269</v>
      </c>
      <c r="L428" s="3">
        <v>16</v>
      </c>
      <c r="M428" s="3">
        <v>4</v>
      </c>
      <c r="N428" s="6">
        <v>0.75</v>
      </c>
      <c r="O428" s="3" t="s">
        <v>18</v>
      </c>
      <c r="P428" s="3" t="s">
        <v>55</v>
      </c>
    </row>
    <row r="429" spans="1:16" x14ac:dyDescent="0.3">
      <c r="A429" s="4">
        <v>46098</v>
      </c>
      <c r="B429" s="3" t="s">
        <v>407</v>
      </c>
      <c r="C429" s="3" t="s">
        <v>398</v>
      </c>
      <c r="D429" s="3" t="s">
        <v>400</v>
      </c>
      <c r="E429" s="3">
        <v>35</v>
      </c>
      <c r="F429" s="3">
        <v>1</v>
      </c>
      <c r="G429" s="6">
        <v>0.72</v>
      </c>
      <c r="H429" s="3">
        <v>11.8</v>
      </c>
      <c r="I429" s="3">
        <v>177</v>
      </c>
      <c r="J429" s="3">
        <v>29</v>
      </c>
      <c r="K429" s="5">
        <v>3899</v>
      </c>
      <c r="L429" s="3">
        <v>66</v>
      </c>
      <c r="M429" s="3">
        <v>7</v>
      </c>
      <c r="N429" s="6">
        <v>0.67</v>
      </c>
      <c r="O429" s="3" t="s">
        <v>29</v>
      </c>
      <c r="P429" s="3" t="s">
        <v>28</v>
      </c>
    </row>
    <row r="430" spans="1:16" x14ac:dyDescent="0.3">
      <c r="A430" s="4">
        <v>46098</v>
      </c>
      <c r="B430" s="3" t="s">
        <v>407</v>
      </c>
      <c r="C430" s="3" t="s">
        <v>401</v>
      </c>
      <c r="D430" s="3" t="s">
        <v>402</v>
      </c>
      <c r="E430" s="3">
        <v>33</v>
      </c>
      <c r="F430" s="3">
        <v>0</v>
      </c>
      <c r="G430" s="6">
        <v>0.73</v>
      </c>
      <c r="H430" s="3">
        <v>11</v>
      </c>
      <c r="I430" s="3">
        <v>99</v>
      </c>
      <c r="J430" s="3">
        <v>4</v>
      </c>
      <c r="K430" s="5">
        <v>1600</v>
      </c>
      <c r="L430" s="3">
        <v>103</v>
      </c>
      <c r="M430" s="3">
        <v>0</v>
      </c>
      <c r="N430" s="6">
        <v>0.57999999999999996</v>
      </c>
      <c r="O430" s="3" t="s">
        <v>13</v>
      </c>
      <c r="P430" s="3" t="s">
        <v>12</v>
      </c>
    </row>
    <row r="431" spans="1:16" x14ac:dyDescent="0.3">
      <c r="A431" s="4">
        <v>46098</v>
      </c>
      <c r="B431" s="3" t="s">
        <v>407</v>
      </c>
      <c r="C431" s="3" t="s">
        <v>401</v>
      </c>
      <c r="D431" s="3" t="s">
        <v>403</v>
      </c>
      <c r="E431" s="3">
        <v>27</v>
      </c>
      <c r="F431" s="3">
        <v>2</v>
      </c>
      <c r="G431" s="6">
        <v>0.73</v>
      </c>
      <c r="H431" s="3">
        <v>7.6</v>
      </c>
      <c r="I431" s="3">
        <v>279</v>
      </c>
      <c r="J431" s="3">
        <v>94</v>
      </c>
      <c r="K431" s="5">
        <v>3960</v>
      </c>
      <c r="L431" s="3">
        <v>14</v>
      </c>
      <c r="M431" s="3">
        <v>5</v>
      </c>
      <c r="N431" s="6">
        <v>0.65</v>
      </c>
      <c r="O431" s="3" t="s">
        <v>37</v>
      </c>
      <c r="P431" s="3" t="s">
        <v>36</v>
      </c>
    </row>
    <row r="432" spans="1:16" x14ac:dyDescent="0.3">
      <c r="A432" s="4">
        <v>46098</v>
      </c>
      <c r="B432" s="3" t="s">
        <v>407</v>
      </c>
      <c r="C432" s="3" t="s">
        <v>404</v>
      </c>
      <c r="D432" s="3" t="s">
        <v>405</v>
      </c>
      <c r="E432" s="3">
        <v>22</v>
      </c>
      <c r="F432" s="3">
        <v>0</v>
      </c>
      <c r="G432" s="6">
        <v>0.75</v>
      </c>
      <c r="H432" s="3">
        <v>17.3</v>
      </c>
      <c r="I432" s="3">
        <v>354</v>
      </c>
      <c r="J432" s="3">
        <v>127</v>
      </c>
      <c r="K432" s="5">
        <v>3137</v>
      </c>
      <c r="L432" s="3">
        <v>12</v>
      </c>
      <c r="M432" s="3">
        <v>3</v>
      </c>
      <c r="N432" s="6">
        <v>0.74</v>
      </c>
      <c r="O432" s="3" t="s">
        <v>29</v>
      </c>
      <c r="P432" s="3" t="s">
        <v>66</v>
      </c>
    </row>
    <row r="433" spans="1:16" x14ac:dyDescent="0.3">
      <c r="A433" s="4">
        <v>46098</v>
      </c>
      <c r="B433" s="3" t="s">
        <v>407</v>
      </c>
      <c r="C433" s="3" t="s">
        <v>404</v>
      </c>
      <c r="D433" s="3" t="s">
        <v>406</v>
      </c>
      <c r="E433" s="3">
        <v>37</v>
      </c>
      <c r="F433" s="3">
        <v>3</v>
      </c>
      <c r="G433" s="6">
        <v>0.75</v>
      </c>
      <c r="H433" s="3">
        <v>12.5</v>
      </c>
      <c r="I433" s="3">
        <v>120</v>
      </c>
      <c r="J433" s="3">
        <v>73</v>
      </c>
      <c r="K433" s="5">
        <v>2483</v>
      </c>
      <c r="L433" s="3">
        <v>114</v>
      </c>
      <c r="M433" s="3">
        <v>4</v>
      </c>
      <c r="N433" s="6">
        <v>0.71</v>
      </c>
      <c r="O433" s="3" t="s">
        <v>13</v>
      </c>
      <c r="P433" s="3" t="s">
        <v>21</v>
      </c>
    </row>
    <row r="434" spans="1:16" x14ac:dyDescent="0.3">
      <c r="A434" s="4">
        <v>46099</v>
      </c>
      <c r="B434" s="3" t="s">
        <v>408</v>
      </c>
      <c r="C434" s="3" t="s">
        <v>398</v>
      </c>
      <c r="D434" s="3" t="s">
        <v>399</v>
      </c>
      <c r="E434" s="3">
        <v>30</v>
      </c>
      <c r="F434" s="3">
        <v>2</v>
      </c>
      <c r="G434" s="6">
        <v>0.78</v>
      </c>
      <c r="H434" s="3">
        <v>8.9</v>
      </c>
      <c r="I434" s="3">
        <v>333</v>
      </c>
      <c r="J434" s="3">
        <v>64</v>
      </c>
      <c r="K434" s="5">
        <v>319</v>
      </c>
      <c r="L434" s="3">
        <v>61</v>
      </c>
      <c r="M434" s="3">
        <v>1</v>
      </c>
      <c r="N434" s="6">
        <v>0.74</v>
      </c>
      <c r="O434" s="3" t="s">
        <v>37</v>
      </c>
      <c r="P434" s="3" t="s">
        <v>40</v>
      </c>
    </row>
    <row r="435" spans="1:16" x14ac:dyDescent="0.3">
      <c r="A435" s="4">
        <v>46099</v>
      </c>
      <c r="B435" s="3" t="s">
        <v>408</v>
      </c>
      <c r="C435" s="3" t="s">
        <v>398</v>
      </c>
      <c r="D435" s="3" t="s">
        <v>400</v>
      </c>
      <c r="E435" s="3">
        <v>32</v>
      </c>
      <c r="F435" s="3">
        <v>1</v>
      </c>
      <c r="G435" s="6">
        <v>0.77</v>
      </c>
      <c r="H435" s="3">
        <v>16.899999999999999</v>
      </c>
      <c r="I435" s="3">
        <v>347</v>
      </c>
      <c r="J435" s="3">
        <v>49</v>
      </c>
      <c r="K435" s="5">
        <v>4223</v>
      </c>
      <c r="L435" s="3">
        <v>77</v>
      </c>
      <c r="M435" s="3">
        <v>6</v>
      </c>
      <c r="N435" s="6">
        <v>0.69</v>
      </c>
      <c r="O435" s="3" t="s">
        <v>29</v>
      </c>
      <c r="P435" s="3" t="s">
        <v>28</v>
      </c>
    </row>
    <row r="436" spans="1:16" x14ac:dyDescent="0.3">
      <c r="A436" s="4">
        <v>46099</v>
      </c>
      <c r="B436" s="3" t="s">
        <v>408</v>
      </c>
      <c r="C436" s="3" t="s">
        <v>401</v>
      </c>
      <c r="D436" s="3" t="s">
        <v>402</v>
      </c>
      <c r="E436" s="3">
        <v>37</v>
      </c>
      <c r="F436" s="3">
        <v>1</v>
      </c>
      <c r="G436" s="6">
        <v>0.86</v>
      </c>
      <c r="H436" s="3">
        <v>7.6</v>
      </c>
      <c r="I436" s="3">
        <v>49</v>
      </c>
      <c r="J436" s="3">
        <v>66</v>
      </c>
      <c r="K436" s="5">
        <v>1804</v>
      </c>
      <c r="L436" s="3">
        <v>31</v>
      </c>
      <c r="M436" s="3">
        <v>4</v>
      </c>
      <c r="N436" s="6">
        <v>0.85</v>
      </c>
      <c r="O436" s="3" t="s">
        <v>26</v>
      </c>
      <c r="P436" s="3" t="s">
        <v>25</v>
      </c>
    </row>
    <row r="437" spans="1:16" x14ac:dyDescent="0.3">
      <c r="A437" s="4">
        <v>46099</v>
      </c>
      <c r="B437" s="3" t="s">
        <v>408</v>
      </c>
      <c r="C437" s="3" t="s">
        <v>401</v>
      </c>
      <c r="D437" s="3" t="s">
        <v>403</v>
      </c>
      <c r="E437" s="3">
        <v>20</v>
      </c>
      <c r="F437" s="3">
        <v>0</v>
      </c>
      <c r="G437" s="6">
        <v>0.85</v>
      </c>
      <c r="H437" s="3">
        <v>9.1</v>
      </c>
      <c r="I437" s="3">
        <v>95</v>
      </c>
      <c r="J437" s="3">
        <v>10</v>
      </c>
      <c r="K437" s="5">
        <v>190</v>
      </c>
      <c r="L437" s="3">
        <v>71</v>
      </c>
      <c r="M437" s="3">
        <v>5</v>
      </c>
      <c r="N437" s="6">
        <v>0.8</v>
      </c>
      <c r="O437" s="3" t="s">
        <v>26</v>
      </c>
      <c r="P437" s="3" t="s">
        <v>25</v>
      </c>
    </row>
    <row r="438" spans="1:16" x14ac:dyDescent="0.3">
      <c r="A438" s="4">
        <v>46099</v>
      </c>
      <c r="B438" s="3" t="s">
        <v>408</v>
      </c>
      <c r="C438" s="3" t="s">
        <v>404</v>
      </c>
      <c r="D438" s="3" t="s">
        <v>405</v>
      </c>
      <c r="E438" s="3">
        <v>27</v>
      </c>
      <c r="F438" s="3">
        <v>1</v>
      </c>
      <c r="G438" s="6">
        <v>0.74</v>
      </c>
      <c r="H438" s="3">
        <v>17</v>
      </c>
      <c r="I438" s="3">
        <v>325</v>
      </c>
      <c r="J438" s="3">
        <v>140</v>
      </c>
      <c r="K438" s="5">
        <v>2963</v>
      </c>
      <c r="L438" s="3">
        <v>20</v>
      </c>
      <c r="M438" s="3">
        <v>6</v>
      </c>
      <c r="N438" s="6">
        <v>0.57999999999999996</v>
      </c>
      <c r="O438" s="3" t="s">
        <v>29</v>
      </c>
      <c r="P438" s="3" t="s">
        <v>66</v>
      </c>
    </row>
    <row r="439" spans="1:16" x14ac:dyDescent="0.3">
      <c r="A439" s="4">
        <v>46099</v>
      </c>
      <c r="B439" s="3" t="s">
        <v>408</v>
      </c>
      <c r="C439" s="3" t="s">
        <v>404</v>
      </c>
      <c r="D439" s="3" t="s">
        <v>406</v>
      </c>
      <c r="E439" s="3">
        <v>23</v>
      </c>
      <c r="F439" s="3">
        <v>1</v>
      </c>
      <c r="G439" s="6">
        <v>0.9</v>
      </c>
      <c r="H439" s="3">
        <v>7.7</v>
      </c>
      <c r="I439" s="3">
        <v>253</v>
      </c>
      <c r="J439" s="3">
        <v>86</v>
      </c>
      <c r="K439" s="5">
        <v>3446</v>
      </c>
      <c r="L439" s="3">
        <v>79</v>
      </c>
      <c r="M439" s="3">
        <v>4</v>
      </c>
      <c r="N439" s="6">
        <v>0.93</v>
      </c>
      <c r="O439" s="3" t="s">
        <v>13</v>
      </c>
      <c r="P439" s="3" t="s">
        <v>21</v>
      </c>
    </row>
    <row r="440" spans="1:16" x14ac:dyDescent="0.3">
      <c r="A440" s="4">
        <v>46100</v>
      </c>
      <c r="B440" s="3" t="s">
        <v>409</v>
      </c>
      <c r="C440" s="3" t="s">
        <v>398</v>
      </c>
      <c r="D440" s="3" t="s">
        <v>399</v>
      </c>
      <c r="E440" s="3">
        <v>23</v>
      </c>
      <c r="F440" s="3">
        <v>0</v>
      </c>
      <c r="G440" s="6">
        <v>0.88</v>
      </c>
      <c r="H440" s="3">
        <v>17.2</v>
      </c>
      <c r="I440" s="3">
        <v>202</v>
      </c>
      <c r="J440" s="3">
        <v>4</v>
      </c>
      <c r="K440" s="5">
        <v>3524</v>
      </c>
      <c r="L440" s="3">
        <v>114</v>
      </c>
      <c r="M440" s="3">
        <v>4</v>
      </c>
      <c r="N440" s="6">
        <v>0.82</v>
      </c>
      <c r="O440" s="3" t="s">
        <v>13</v>
      </c>
      <c r="P440" s="3" t="s">
        <v>21</v>
      </c>
    </row>
    <row r="441" spans="1:16" x14ac:dyDescent="0.3">
      <c r="A441" s="4">
        <v>46100</v>
      </c>
      <c r="B441" s="3" t="s">
        <v>409</v>
      </c>
      <c r="C441" s="3" t="s">
        <v>398</v>
      </c>
      <c r="D441" s="3" t="s">
        <v>400</v>
      </c>
      <c r="E441" s="3">
        <v>23</v>
      </c>
      <c r="F441" s="3">
        <v>1</v>
      </c>
      <c r="G441" s="6">
        <v>0.85</v>
      </c>
      <c r="H441" s="3">
        <v>17.899999999999999</v>
      </c>
      <c r="I441" s="3">
        <v>208</v>
      </c>
      <c r="J441" s="3">
        <v>36</v>
      </c>
      <c r="K441" s="5">
        <v>3447</v>
      </c>
      <c r="L441" s="3">
        <v>42</v>
      </c>
      <c r="M441" s="3">
        <v>5</v>
      </c>
      <c r="N441" s="6">
        <v>0.86</v>
      </c>
      <c r="O441" s="3" t="s">
        <v>18</v>
      </c>
      <c r="P441" s="3" t="s">
        <v>55</v>
      </c>
    </row>
    <row r="442" spans="1:16" x14ac:dyDescent="0.3">
      <c r="A442" s="4">
        <v>46100</v>
      </c>
      <c r="B442" s="3" t="s">
        <v>409</v>
      </c>
      <c r="C442" s="3" t="s">
        <v>401</v>
      </c>
      <c r="D442" s="3" t="s">
        <v>402</v>
      </c>
      <c r="E442" s="3">
        <v>22</v>
      </c>
      <c r="F442" s="3">
        <v>0</v>
      </c>
      <c r="G442" s="6">
        <v>0.81</v>
      </c>
      <c r="H442" s="3">
        <v>13.1</v>
      </c>
      <c r="I442" s="3">
        <v>96</v>
      </c>
      <c r="J442" s="3">
        <v>94</v>
      </c>
      <c r="K442" s="5">
        <v>3996</v>
      </c>
      <c r="L442" s="3">
        <v>77</v>
      </c>
      <c r="M442" s="3">
        <v>3</v>
      </c>
      <c r="N442" s="6">
        <v>0.69</v>
      </c>
      <c r="O442" s="3" t="s">
        <v>13</v>
      </c>
      <c r="P442" s="3" t="s">
        <v>21</v>
      </c>
    </row>
    <row r="443" spans="1:16" x14ac:dyDescent="0.3">
      <c r="A443" s="4">
        <v>46100</v>
      </c>
      <c r="B443" s="3" t="s">
        <v>409</v>
      </c>
      <c r="C443" s="3" t="s">
        <v>401</v>
      </c>
      <c r="D443" s="3" t="s">
        <v>403</v>
      </c>
      <c r="E443" s="3">
        <v>25</v>
      </c>
      <c r="F443" s="3">
        <v>1</v>
      </c>
      <c r="G443" s="6">
        <v>0.85</v>
      </c>
      <c r="H443" s="3">
        <v>17.3</v>
      </c>
      <c r="I443" s="3">
        <v>187</v>
      </c>
      <c r="J443" s="3">
        <v>28</v>
      </c>
      <c r="K443" s="5">
        <v>1938</v>
      </c>
      <c r="L443" s="3">
        <v>83</v>
      </c>
      <c r="M443" s="3">
        <v>0</v>
      </c>
      <c r="N443" s="6">
        <v>0.83</v>
      </c>
      <c r="O443" s="3" t="s">
        <v>29</v>
      </c>
      <c r="P443" s="3" t="s">
        <v>28</v>
      </c>
    </row>
    <row r="444" spans="1:16" x14ac:dyDescent="0.3">
      <c r="A444" s="4">
        <v>46100</v>
      </c>
      <c r="B444" s="3" t="s">
        <v>409</v>
      </c>
      <c r="C444" s="3" t="s">
        <v>404</v>
      </c>
      <c r="D444" s="3" t="s">
        <v>405</v>
      </c>
      <c r="E444" s="3">
        <v>37</v>
      </c>
      <c r="F444" s="3">
        <v>1</v>
      </c>
      <c r="G444" s="6">
        <v>0.73</v>
      </c>
      <c r="H444" s="3">
        <v>12.2</v>
      </c>
      <c r="I444" s="3">
        <v>381</v>
      </c>
      <c r="J444" s="3">
        <v>112</v>
      </c>
      <c r="K444" s="5">
        <v>2238</v>
      </c>
      <c r="L444" s="3">
        <v>70</v>
      </c>
      <c r="M444" s="3">
        <v>9</v>
      </c>
      <c r="N444" s="6">
        <v>0.76</v>
      </c>
      <c r="O444" s="3" t="s">
        <v>18</v>
      </c>
      <c r="P444" s="3" t="s">
        <v>55</v>
      </c>
    </row>
    <row r="445" spans="1:16" x14ac:dyDescent="0.3">
      <c r="A445" s="4">
        <v>46100</v>
      </c>
      <c r="B445" s="3" t="s">
        <v>409</v>
      </c>
      <c r="C445" s="3" t="s">
        <v>404</v>
      </c>
      <c r="D445" s="3" t="s">
        <v>406</v>
      </c>
      <c r="E445" s="3">
        <v>38</v>
      </c>
      <c r="F445" s="3">
        <v>0</v>
      </c>
      <c r="G445" s="6">
        <v>0.75</v>
      </c>
      <c r="H445" s="3">
        <v>9.4</v>
      </c>
      <c r="I445" s="3">
        <v>83</v>
      </c>
      <c r="J445" s="3">
        <v>124</v>
      </c>
      <c r="K445" s="5">
        <v>4413</v>
      </c>
      <c r="L445" s="3">
        <v>114</v>
      </c>
      <c r="M445" s="3">
        <v>9</v>
      </c>
      <c r="N445" s="6">
        <v>0.57999999999999996</v>
      </c>
      <c r="O445" s="3" t="s">
        <v>18</v>
      </c>
      <c r="P445" s="3" t="s">
        <v>55</v>
      </c>
    </row>
    <row r="446" spans="1:16" x14ac:dyDescent="0.3">
      <c r="A446" s="4">
        <v>46101</v>
      </c>
      <c r="B446" s="3" t="s">
        <v>410</v>
      </c>
      <c r="C446" s="3" t="s">
        <v>398</v>
      </c>
      <c r="D446" s="3" t="s">
        <v>399</v>
      </c>
      <c r="E446" s="3">
        <v>20</v>
      </c>
      <c r="F446" s="3">
        <v>3</v>
      </c>
      <c r="G446" s="6">
        <v>0.75</v>
      </c>
      <c r="H446" s="3">
        <v>16.899999999999999</v>
      </c>
      <c r="I446" s="3">
        <v>190</v>
      </c>
      <c r="J446" s="3">
        <v>16</v>
      </c>
      <c r="K446" s="5">
        <v>4418</v>
      </c>
      <c r="L446" s="3">
        <v>74</v>
      </c>
      <c r="M446" s="3">
        <v>4</v>
      </c>
      <c r="N446" s="6">
        <v>0.76</v>
      </c>
      <c r="O446" s="3" t="s">
        <v>13</v>
      </c>
      <c r="P446" s="3" t="s">
        <v>12</v>
      </c>
    </row>
    <row r="447" spans="1:16" x14ac:dyDescent="0.3">
      <c r="A447" s="4">
        <v>46101</v>
      </c>
      <c r="B447" s="3" t="s">
        <v>410</v>
      </c>
      <c r="C447" s="3" t="s">
        <v>398</v>
      </c>
      <c r="D447" s="3" t="s">
        <v>400</v>
      </c>
      <c r="E447" s="3">
        <v>23</v>
      </c>
      <c r="F447" s="3">
        <v>0</v>
      </c>
      <c r="G447" s="6">
        <v>0.82</v>
      </c>
      <c r="H447" s="3">
        <v>8.4</v>
      </c>
      <c r="I447" s="3">
        <v>114</v>
      </c>
      <c r="J447" s="3">
        <v>27</v>
      </c>
      <c r="K447" s="5">
        <v>2565</v>
      </c>
      <c r="L447" s="3">
        <v>92</v>
      </c>
      <c r="M447" s="3">
        <v>4</v>
      </c>
      <c r="N447" s="6">
        <v>0.77</v>
      </c>
      <c r="O447" s="3" t="s">
        <v>37</v>
      </c>
      <c r="P447" s="3" t="s">
        <v>36</v>
      </c>
    </row>
    <row r="448" spans="1:16" x14ac:dyDescent="0.3">
      <c r="A448" s="4">
        <v>46101</v>
      </c>
      <c r="B448" s="3" t="s">
        <v>410</v>
      </c>
      <c r="C448" s="3" t="s">
        <v>401</v>
      </c>
      <c r="D448" s="3" t="s">
        <v>402</v>
      </c>
      <c r="E448" s="3">
        <v>22</v>
      </c>
      <c r="F448" s="3">
        <v>2</v>
      </c>
      <c r="G448" s="6">
        <v>0.73</v>
      </c>
      <c r="H448" s="3">
        <v>12.5</v>
      </c>
      <c r="I448" s="3">
        <v>258</v>
      </c>
      <c r="J448" s="3">
        <v>70</v>
      </c>
      <c r="K448" s="5">
        <v>1799</v>
      </c>
      <c r="L448" s="3">
        <v>64</v>
      </c>
      <c r="M448" s="3">
        <v>1</v>
      </c>
      <c r="N448" s="6">
        <v>0.7</v>
      </c>
      <c r="O448" s="3" t="s">
        <v>37</v>
      </c>
      <c r="P448" s="3" t="s">
        <v>40</v>
      </c>
    </row>
    <row r="449" spans="1:16" x14ac:dyDescent="0.3">
      <c r="A449" s="4">
        <v>46101</v>
      </c>
      <c r="B449" s="3" t="s">
        <v>410</v>
      </c>
      <c r="C449" s="3" t="s">
        <v>401</v>
      </c>
      <c r="D449" s="3" t="s">
        <v>403</v>
      </c>
      <c r="E449" s="3">
        <v>34</v>
      </c>
      <c r="F449" s="3">
        <v>2</v>
      </c>
      <c r="G449" s="6">
        <v>0.8</v>
      </c>
      <c r="H449" s="3">
        <v>14.7</v>
      </c>
      <c r="I449" s="3">
        <v>427</v>
      </c>
      <c r="J449" s="3">
        <v>143</v>
      </c>
      <c r="K449" s="5">
        <v>875</v>
      </c>
      <c r="L449" s="3">
        <v>110</v>
      </c>
      <c r="M449" s="3">
        <v>1</v>
      </c>
      <c r="N449" s="6">
        <v>0.79</v>
      </c>
      <c r="O449" s="3" t="s">
        <v>37</v>
      </c>
      <c r="P449" s="3" t="s">
        <v>40</v>
      </c>
    </row>
    <row r="450" spans="1:16" x14ac:dyDescent="0.3">
      <c r="A450" s="4">
        <v>46101</v>
      </c>
      <c r="B450" s="3" t="s">
        <v>410</v>
      </c>
      <c r="C450" s="3" t="s">
        <v>404</v>
      </c>
      <c r="D450" s="3" t="s">
        <v>405</v>
      </c>
      <c r="E450" s="3">
        <v>36</v>
      </c>
      <c r="F450" s="3">
        <v>0</v>
      </c>
      <c r="G450" s="6">
        <v>0.8</v>
      </c>
      <c r="H450" s="3">
        <v>16.3</v>
      </c>
      <c r="I450" s="3">
        <v>306</v>
      </c>
      <c r="J450" s="3">
        <v>104</v>
      </c>
      <c r="K450" s="5">
        <v>16</v>
      </c>
      <c r="L450" s="3">
        <v>42</v>
      </c>
      <c r="M450" s="3">
        <v>0</v>
      </c>
      <c r="N450" s="6">
        <v>0.64</v>
      </c>
      <c r="O450" s="3" t="s">
        <v>13</v>
      </c>
      <c r="P450" s="3" t="s">
        <v>12</v>
      </c>
    </row>
    <row r="451" spans="1:16" x14ac:dyDescent="0.3">
      <c r="A451" s="4">
        <v>46101</v>
      </c>
      <c r="B451" s="3" t="s">
        <v>410</v>
      </c>
      <c r="C451" s="3" t="s">
        <v>404</v>
      </c>
      <c r="D451" s="3" t="s">
        <v>406</v>
      </c>
      <c r="E451" s="3">
        <v>31</v>
      </c>
      <c r="F451" s="3">
        <v>0</v>
      </c>
      <c r="G451" s="6">
        <v>0.76</v>
      </c>
      <c r="H451" s="3">
        <v>11.2</v>
      </c>
      <c r="I451" s="3">
        <v>263</v>
      </c>
      <c r="J451" s="3">
        <v>144</v>
      </c>
      <c r="K451" s="5">
        <v>3415</v>
      </c>
      <c r="L451" s="3">
        <v>115</v>
      </c>
      <c r="M451" s="3">
        <v>4</v>
      </c>
      <c r="N451" s="6">
        <v>0.64</v>
      </c>
      <c r="O451" s="3" t="s">
        <v>18</v>
      </c>
      <c r="P451" s="3" t="s">
        <v>55</v>
      </c>
    </row>
    <row r="452" spans="1:16" x14ac:dyDescent="0.3">
      <c r="A452" s="4">
        <v>46102</v>
      </c>
      <c r="B452" s="3" t="s">
        <v>411</v>
      </c>
      <c r="C452" s="3" t="s">
        <v>398</v>
      </c>
      <c r="D452" s="3" t="s">
        <v>399</v>
      </c>
      <c r="E452" s="3">
        <v>24</v>
      </c>
      <c r="F452" s="3">
        <v>0</v>
      </c>
      <c r="G452" s="6">
        <v>0.74</v>
      </c>
      <c r="H452" s="3">
        <v>16.5</v>
      </c>
      <c r="I452" s="3">
        <v>387</v>
      </c>
      <c r="J452" s="3">
        <v>115</v>
      </c>
      <c r="K452" s="5">
        <v>3358</v>
      </c>
      <c r="L452" s="3">
        <v>65</v>
      </c>
      <c r="M452" s="3">
        <v>4</v>
      </c>
      <c r="N452" s="6">
        <v>0.6</v>
      </c>
      <c r="O452" s="3" t="s">
        <v>13</v>
      </c>
      <c r="P452" s="3" t="s">
        <v>21</v>
      </c>
    </row>
    <row r="453" spans="1:16" x14ac:dyDescent="0.3">
      <c r="A453" s="4">
        <v>46102</v>
      </c>
      <c r="B453" s="3" t="s">
        <v>411</v>
      </c>
      <c r="C453" s="3" t="s">
        <v>398</v>
      </c>
      <c r="D453" s="3" t="s">
        <v>400</v>
      </c>
      <c r="E453" s="3">
        <v>22</v>
      </c>
      <c r="F453" s="3">
        <v>1</v>
      </c>
      <c r="G453" s="6">
        <v>0.84</v>
      </c>
      <c r="H453" s="3">
        <v>16</v>
      </c>
      <c r="I453" s="3">
        <v>384</v>
      </c>
      <c r="J453" s="3">
        <v>34</v>
      </c>
      <c r="K453" s="5">
        <v>1039</v>
      </c>
      <c r="L453" s="3">
        <v>70</v>
      </c>
      <c r="M453" s="3">
        <v>3</v>
      </c>
      <c r="N453" s="6">
        <v>0.66</v>
      </c>
      <c r="O453" s="3" t="s">
        <v>29</v>
      </c>
      <c r="P453" s="3" t="s">
        <v>66</v>
      </c>
    </row>
    <row r="454" spans="1:16" x14ac:dyDescent="0.3">
      <c r="A454" s="4">
        <v>46102</v>
      </c>
      <c r="B454" s="3" t="s">
        <v>411</v>
      </c>
      <c r="C454" s="3" t="s">
        <v>401</v>
      </c>
      <c r="D454" s="3" t="s">
        <v>402</v>
      </c>
      <c r="E454" s="3">
        <v>27</v>
      </c>
      <c r="F454" s="3">
        <v>1</v>
      </c>
      <c r="G454" s="6">
        <v>0.77</v>
      </c>
      <c r="H454" s="3">
        <v>13.6</v>
      </c>
      <c r="I454" s="3">
        <v>409</v>
      </c>
      <c r="J454" s="3">
        <v>136</v>
      </c>
      <c r="K454" s="5">
        <v>781</v>
      </c>
      <c r="L454" s="3">
        <v>120</v>
      </c>
      <c r="M454" s="3">
        <v>1</v>
      </c>
      <c r="N454" s="6">
        <v>0.56999999999999995</v>
      </c>
      <c r="O454" s="3" t="s">
        <v>26</v>
      </c>
      <c r="P454" s="3" t="s">
        <v>25</v>
      </c>
    </row>
    <row r="455" spans="1:16" x14ac:dyDescent="0.3">
      <c r="A455" s="4">
        <v>46102</v>
      </c>
      <c r="B455" s="3" t="s">
        <v>411</v>
      </c>
      <c r="C455" s="3" t="s">
        <v>401</v>
      </c>
      <c r="D455" s="3" t="s">
        <v>403</v>
      </c>
      <c r="E455" s="3">
        <v>31</v>
      </c>
      <c r="F455" s="3">
        <v>0</v>
      </c>
      <c r="G455" s="6">
        <v>0.76</v>
      </c>
      <c r="H455" s="3">
        <v>13.6</v>
      </c>
      <c r="I455" s="3">
        <v>338</v>
      </c>
      <c r="J455" s="3">
        <v>123</v>
      </c>
      <c r="K455" s="5">
        <v>1909</v>
      </c>
      <c r="L455" s="3">
        <v>3</v>
      </c>
      <c r="M455" s="3">
        <v>0</v>
      </c>
      <c r="N455" s="6">
        <v>0.78</v>
      </c>
      <c r="O455" s="3" t="s">
        <v>26</v>
      </c>
      <c r="P455" s="3" t="s">
        <v>33</v>
      </c>
    </row>
    <row r="456" spans="1:16" x14ac:dyDescent="0.3">
      <c r="A456" s="4">
        <v>46102</v>
      </c>
      <c r="B456" s="3" t="s">
        <v>411</v>
      </c>
      <c r="C456" s="3" t="s">
        <v>404</v>
      </c>
      <c r="D456" s="3" t="s">
        <v>405</v>
      </c>
      <c r="E456" s="3">
        <v>33</v>
      </c>
      <c r="F456" s="3">
        <v>3</v>
      </c>
      <c r="G456" s="6">
        <v>0.85</v>
      </c>
      <c r="H456" s="3">
        <v>10.1</v>
      </c>
      <c r="I456" s="3">
        <v>398</v>
      </c>
      <c r="J456" s="3">
        <v>45</v>
      </c>
      <c r="K456" s="5">
        <v>2582</v>
      </c>
      <c r="L456" s="3">
        <v>59</v>
      </c>
      <c r="M456" s="3">
        <v>1</v>
      </c>
      <c r="N456" s="6">
        <v>0.71</v>
      </c>
      <c r="O456" s="3" t="s">
        <v>37</v>
      </c>
      <c r="P456" s="3" t="s">
        <v>40</v>
      </c>
    </row>
    <row r="457" spans="1:16" x14ac:dyDescent="0.3">
      <c r="A457" s="4">
        <v>46102</v>
      </c>
      <c r="B457" s="3" t="s">
        <v>411</v>
      </c>
      <c r="C457" s="3" t="s">
        <v>404</v>
      </c>
      <c r="D457" s="3" t="s">
        <v>406</v>
      </c>
      <c r="E457" s="3">
        <v>27</v>
      </c>
      <c r="F457" s="3">
        <v>0</v>
      </c>
      <c r="G457" s="6">
        <v>0.82</v>
      </c>
      <c r="H457" s="3">
        <v>11.2</v>
      </c>
      <c r="I457" s="3">
        <v>229</v>
      </c>
      <c r="J457" s="3">
        <v>50</v>
      </c>
      <c r="K457" s="5">
        <v>3492</v>
      </c>
      <c r="L457" s="3">
        <v>42</v>
      </c>
      <c r="M457" s="3">
        <v>4</v>
      </c>
      <c r="N457" s="6">
        <v>0.72</v>
      </c>
      <c r="O457" s="3" t="s">
        <v>37</v>
      </c>
      <c r="P457" s="3" t="s">
        <v>40</v>
      </c>
    </row>
    <row r="458" spans="1:16" x14ac:dyDescent="0.3">
      <c r="A458" s="4">
        <v>46103</v>
      </c>
      <c r="B458" s="3" t="s">
        <v>412</v>
      </c>
      <c r="C458" s="3" t="s">
        <v>398</v>
      </c>
      <c r="D458" s="3" t="s">
        <v>399</v>
      </c>
      <c r="E458" s="3">
        <v>27</v>
      </c>
      <c r="F458" s="3">
        <v>0</v>
      </c>
      <c r="G458" s="6">
        <v>0.87</v>
      </c>
      <c r="H458" s="3">
        <v>13.4</v>
      </c>
      <c r="I458" s="3">
        <v>368</v>
      </c>
      <c r="J458" s="3">
        <v>148</v>
      </c>
      <c r="K458" s="5">
        <v>403</v>
      </c>
      <c r="L458" s="3">
        <v>73</v>
      </c>
      <c r="M458" s="3">
        <v>4</v>
      </c>
      <c r="N458" s="6">
        <v>0.79</v>
      </c>
      <c r="O458" s="3" t="s">
        <v>29</v>
      </c>
      <c r="P458" s="3" t="s">
        <v>28</v>
      </c>
    </row>
    <row r="459" spans="1:16" x14ac:dyDescent="0.3">
      <c r="A459" s="4">
        <v>46103</v>
      </c>
      <c r="B459" s="3" t="s">
        <v>412</v>
      </c>
      <c r="C459" s="3" t="s">
        <v>398</v>
      </c>
      <c r="D459" s="3" t="s">
        <v>400</v>
      </c>
      <c r="E459" s="3">
        <v>23</v>
      </c>
      <c r="F459" s="3">
        <v>1</v>
      </c>
      <c r="G459" s="6">
        <v>0.83</v>
      </c>
      <c r="H459" s="3">
        <v>16.5</v>
      </c>
      <c r="I459" s="3">
        <v>338</v>
      </c>
      <c r="J459" s="3">
        <v>4</v>
      </c>
      <c r="K459" s="5">
        <v>2398</v>
      </c>
      <c r="L459" s="3">
        <v>23</v>
      </c>
      <c r="M459" s="3">
        <v>4</v>
      </c>
      <c r="N459" s="6">
        <v>0.69</v>
      </c>
      <c r="O459" s="3" t="s">
        <v>13</v>
      </c>
      <c r="P459" s="3" t="s">
        <v>21</v>
      </c>
    </row>
    <row r="460" spans="1:16" x14ac:dyDescent="0.3">
      <c r="A460" s="4">
        <v>46103</v>
      </c>
      <c r="B460" s="3" t="s">
        <v>412</v>
      </c>
      <c r="C460" s="3" t="s">
        <v>401</v>
      </c>
      <c r="D460" s="3" t="s">
        <v>402</v>
      </c>
      <c r="E460" s="3">
        <v>20</v>
      </c>
      <c r="F460" s="3">
        <v>0</v>
      </c>
      <c r="G460" s="6">
        <v>0.74</v>
      </c>
      <c r="H460" s="3">
        <v>15.5</v>
      </c>
      <c r="I460" s="3">
        <v>59</v>
      </c>
      <c r="J460" s="3">
        <v>86</v>
      </c>
      <c r="K460" s="5">
        <v>3974</v>
      </c>
      <c r="L460" s="3">
        <v>105</v>
      </c>
      <c r="M460" s="3">
        <v>4</v>
      </c>
      <c r="N460" s="6">
        <v>0.64</v>
      </c>
      <c r="O460" s="3" t="s">
        <v>18</v>
      </c>
      <c r="P460" s="3" t="s">
        <v>55</v>
      </c>
    </row>
    <row r="461" spans="1:16" x14ac:dyDescent="0.3">
      <c r="A461" s="4">
        <v>46103</v>
      </c>
      <c r="B461" s="3" t="s">
        <v>412</v>
      </c>
      <c r="C461" s="3" t="s">
        <v>401</v>
      </c>
      <c r="D461" s="3" t="s">
        <v>403</v>
      </c>
      <c r="E461" s="3">
        <v>33</v>
      </c>
      <c r="F461" s="3">
        <v>0</v>
      </c>
      <c r="G461" s="6">
        <v>0.85</v>
      </c>
      <c r="H461" s="3">
        <v>12.2</v>
      </c>
      <c r="I461" s="3">
        <v>313</v>
      </c>
      <c r="J461" s="3">
        <v>17</v>
      </c>
      <c r="K461" s="5">
        <v>1999</v>
      </c>
      <c r="L461" s="3">
        <v>68</v>
      </c>
      <c r="M461" s="3">
        <v>0</v>
      </c>
      <c r="N461" s="6">
        <v>0.8</v>
      </c>
      <c r="O461" s="3" t="s">
        <v>37</v>
      </c>
      <c r="P461" s="3" t="s">
        <v>36</v>
      </c>
    </row>
    <row r="462" spans="1:16" x14ac:dyDescent="0.3">
      <c r="A462" s="4">
        <v>46103</v>
      </c>
      <c r="B462" s="3" t="s">
        <v>412</v>
      </c>
      <c r="C462" s="3" t="s">
        <v>404</v>
      </c>
      <c r="D462" s="3" t="s">
        <v>405</v>
      </c>
      <c r="E462" s="3">
        <v>21</v>
      </c>
      <c r="F462" s="3">
        <v>1</v>
      </c>
      <c r="G462" s="6">
        <v>0.74</v>
      </c>
      <c r="H462" s="3">
        <v>14.4</v>
      </c>
      <c r="I462" s="3">
        <v>320</v>
      </c>
      <c r="J462" s="3">
        <v>116</v>
      </c>
      <c r="K462" s="5">
        <v>740</v>
      </c>
      <c r="L462" s="3">
        <v>47</v>
      </c>
      <c r="M462" s="3">
        <v>0</v>
      </c>
      <c r="N462" s="6">
        <v>0.6</v>
      </c>
      <c r="O462" s="3" t="s">
        <v>29</v>
      </c>
      <c r="P462" s="3" t="s">
        <v>66</v>
      </c>
    </row>
    <row r="463" spans="1:16" x14ac:dyDescent="0.3">
      <c r="A463" s="4">
        <v>46103</v>
      </c>
      <c r="B463" s="3" t="s">
        <v>412</v>
      </c>
      <c r="C463" s="3" t="s">
        <v>404</v>
      </c>
      <c r="D463" s="3" t="s">
        <v>406</v>
      </c>
      <c r="E463" s="3">
        <v>28</v>
      </c>
      <c r="F463" s="3">
        <v>1</v>
      </c>
      <c r="G463" s="6">
        <v>0.79</v>
      </c>
      <c r="H463" s="3">
        <v>12.1</v>
      </c>
      <c r="I463" s="3">
        <v>126</v>
      </c>
      <c r="J463" s="3">
        <v>131</v>
      </c>
      <c r="K463" s="5">
        <v>292</v>
      </c>
      <c r="L463" s="3">
        <v>80</v>
      </c>
      <c r="M463" s="3">
        <v>5</v>
      </c>
      <c r="N463" s="6">
        <v>0.81</v>
      </c>
      <c r="O463" s="3" t="s">
        <v>18</v>
      </c>
      <c r="P463" s="3" t="s">
        <v>55</v>
      </c>
    </row>
    <row r="464" spans="1:16" x14ac:dyDescent="0.3">
      <c r="A464" s="4">
        <v>46104</v>
      </c>
      <c r="B464" s="3" t="s">
        <v>397</v>
      </c>
      <c r="C464" s="3" t="s">
        <v>398</v>
      </c>
      <c r="D464" s="3" t="s">
        <v>399</v>
      </c>
      <c r="E464" s="3">
        <v>23</v>
      </c>
      <c r="F464" s="3">
        <v>1</v>
      </c>
      <c r="G464" s="6">
        <v>0.89</v>
      </c>
      <c r="H464" s="3">
        <v>14.7</v>
      </c>
      <c r="I464" s="3">
        <v>312</v>
      </c>
      <c r="J464" s="3">
        <v>8</v>
      </c>
      <c r="K464" s="5">
        <v>3194</v>
      </c>
      <c r="L464" s="3">
        <v>34</v>
      </c>
      <c r="M464" s="3">
        <v>3</v>
      </c>
      <c r="N464" s="6">
        <v>0.92</v>
      </c>
      <c r="O464" s="3" t="s">
        <v>26</v>
      </c>
      <c r="P464" s="3" t="s">
        <v>25</v>
      </c>
    </row>
    <row r="465" spans="1:16" x14ac:dyDescent="0.3">
      <c r="A465" s="4">
        <v>46104</v>
      </c>
      <c r="B465" s="3" t="s">
        <v>397</v>
      </c>
      <c r="C465" s="3" t="s">
        <v>398</v>
      </c>
      <c r="D465" s="3" t="s">
        <v>400</v>
      </c>
      <c r="E465" s="3">
        <v>20</v>
      </c>
      <c r="F465" s="3">
        <v>2</v>
      </c>
      <c r="G465" s="6">
        <v>0.81</v>
      </c>
      <c r="H465" s="3">
        <v>16.7</v>
      </c>
      <c r="I465" s="3">
        <v>255</v>
      </c>
      <c r="J465" s="3">
        <v>72</v>
      </c>
      <c r="K465" s="5">
        <v>160</v>
      </c>
      <c r="L465" s="3">
        <v>14</v>
      </c>
      <c r="M465" s="3">
        <v>4</v>
      </c>
      <c r="N465" s="6">
        <v>0.66</v>
      </c>
      <c r="O465" s="3" t="s">
        <v>37</v>
      </c>
      <c r="P465" s="3" t="s">
        <v>36</v>
      </c>
    </row>
    <row r="466" spans="1:16" x14ac:dyDescent="0.3">
      <c r="A466" s="4">
        <v>46104</v>
      </c>
      <c r="B466" s="3" t="s">
        <v>397</v>
      </c>
      <c r="C466" s="3" t="s">
        <v>401</v>
      </c>
      <c r="D466" s="3" t="s">
        <v>402</v>
      </c>
      <c r="E466" s="3">
        <v>36</v>
      </c>
      <c r="F466" s="3">
        <v>0</v>
      </c>
      <c r="G466" s="6">
        <v>0.88</v>
      </c>
      <c r="H466" s="3">
        <v>11</v>
      </c>
      <c r="I466" s="3">
        <v>386</v>
      </c>
      <c r="J466" s="3">
        <v>120</v>
      </c>
      <c r="K466" s="5">
        <v>1511</v>
      </c>
      <c r="L466" s="3">
        <v>19</v>
      </c>
      <c r="M466" s="3">
        <v>8</v>
      </c>
      <c r="N466" s="6">
        <v>0.94</v>
      </c>
      <c r="O466" s="3" t="s">
        <v>29</v>
      </c>
      <c r="P466" s="3" t="s">
        <v>28</v>
      </c>
    </row>
    <row r="467" spans="1:16" x14ac:dyDescent="0.3">
      <c r="A467" s="4">
        <v>46104</v>
      </c>
      <c r="B467" s="3" t="s">
        <v>397</v>
      </c>
      <c r="C467" s="3" t="s">
        <v>401</v>
      </c>
      <c r="D467" s="3" t="s">
        <v>403</v>
      </c>
      <c r="E467" s="3">
        <v>21</v>
      </c>
      <c r="F467" s="3">
        <v>1</v>
      </c>
      <c r="G467" s="6">
        <v>0.78</v>
      </c>
      <c r="H467" s="3">
        <v>14.5</v>
      </c>
      <c r="I467" s="3">
        <v>185</v>
      </c>
      <c r="J467" s="3">
        <v>15</v>
      </c>
      <c r="K467" s="5">
        <v>59</v>
      </c>
      <c r="L467" s="3">
        <v>97</v>
      </c>
      <c r="M467" s="3">
        <v>5</v>
      </c>
      <c r="N467" s="6">
        <v>0.77</v>
      </c>
      <c r="O467" s="3" t="s">
        <v>18</v>
      </c>
      <c r="P467" s="3" t="s">
        <v>17</v>
      </c>
    </row>
    <row r="468" spans="1:16" x14ac:dyDescent="0.3">
      <c r="A468" s="4">
        <v>46104</v>
      </c>
      <c r="B468" s="3" t="s">
        <v>397</v>
      </c>
      <c r="C468" s="3" t="s">
        <v>404</v>
      </c>
      <c r="D468" s="3" t="s">
        <v>405</v>
      </c>
      <c r="E468" s="3">
        <v>34</v>
      </c>
      <c r="F468" s="3">
        <v>0</v>
      </c>
      <c r="G468" s="6">
        <v>0.77</v>
      </c>
      <c r="H468" s="3">
        <v>10.4</v>
      </c>
      <c r="I468" s="3">
        <v>445</v>
      </c>
      <c r="J468" s="3">
        <v>103</v>
      </c>
      <c r="K468" s="5">
        <v>4073</v>
      </c>
      <c r="L468" s="3">
        <v>99</v>
      </c>
      <c r="M468" s="3">
        <v>6</v>
      </c>
      <c r="N468" s="6">
        <v>0.75</v>
      </c>
      <c r="O468" s="3" t="s">
        <v>13</v>
      </c>
      <c r="P468" s="3" t="s">
        <v>12</v>
      </c>
    </row>
    <row r="469" spans="1:16" x14ac:dyDescent="0.3">
      <c r="A469" s="4">
        <v>46104</v>
      </c>
      <c r="B469" s="3" t="s">
        <v>397</v>
      </c>
      <c r="C469" s="3" t="s">
        <v>404</v>
      </c>
      <c r="D469" s="3" t="s">
        <v>406</v>
      </c>
      <c r="E469" s="3">
        <v>21</v>
      </c>
      <c r="F469" s="3">
        <v>0</v>
      </c>
      <c r="G469" s="6">
        <v>0.79</v>
      </c>
      <c r="H469" s="3">
        <v>8</v>
      </c>
      <c r="I469" s="3">
        <v>89</v>
      </c>
      <c r="J469" s="3">
        <v>26</v>
      </c>
      <c r="K469" s="5">
        <v>632</v>
      </c>
      <c r="L469" s="3">
        <v>108</v>
      </c>
      <c r="M469" s="3">
        <v>5</v>
      </c>
      <c r="N469" s="6">
        <v>0.66</v>
      </c>
      <c r="O469" s="3" t="s">
        <v>13</v>
      </c>
      <c r="P469" s="3" t="s">
        <v>12</v>
      </c>
    </row>
    <row r="470" spans="1:16" x14ac:dyDescent="0.3">
      <c r="A470" s="4">
        <v>46105</v>
      </c>
      <c r="B470" s="3" t="s">
        <v>407</v>
      </c>
      <c r="C470" s="3" t="s">
        <v>398</v>
      </c>
      <c r="D470" s="3" t="s">
        <v>399</v>
      </c>
      <c r="E470" s="3">
        <v>23</v>
      </c>
      <c r="F470" s="3">
        <v>0</v>
      </c>
      <c r="G470" s="6">
        <v>0.85</v>
      </c>
      <c r="H470" s="3">
        <v>10.7</v>
      </c>
      <c r="I470" s="3">
        <v>364</v>
      </c>
      <c r="J470" s="3">
        <v>46</v>
      </c>
      <c r="K470" s="5">
        <v>485</v>
      </c>
      <c r="L470" s="3">
        <v>5</v>
      </c>
      <c r="M470" s="3">
        <v>1</v>
      </c>
      <c r="N470" s="6">
        <v>0.94</v>
      </c>
      <c r="O470" s="3" t="s">
        <v>13</v>
      </c>
      <c r="P470" s="3" t="s">
        <v>21</v>
      </c>
    </row>
    <row r="471" spans="1:16" x14ac:dyDescent="0.3">
      <c r="A471" s="4">
        <v>46105</v>
      </c>
      <c r="B471" s="3" t="s">
        <v>407</v>
      </c>
      <c r="C471" s="3" t="s">
        <v>398</v>
      </c>
      <c r="D471" s="3" t="s">
        <v>400</v>
      </c>
      <c r="E471" s="3">
        <v>38</v>
      </c>
      <c r="F471" s="3">
        <v>0</v>
      </c>
      <c r="G471" s="6">
        <v>0.85</v>
      </c>
      <c r="H471" s="3">
        <v>11.3</v>
      </c>
      <c r="I471" s="3">
        <v>218</v>
      </c>
      <c r="J471" s="3">
        <v>118</v>
      </c>
      <c r="K471" s="5">
        <v>1654</v>
      </c>
      <c r="L471" s="3">
        <v>25</v>
      </c>
      <c r="M471" s="3">
        <v>6</v>
      </c>
      <c r="N471" s="6">
        <v>0.76</v>
      </c>
      <c r="O471" s="3" t="s">
        <v>26</v>
      </c>
      <c r="P471" s="3" t="s">
        <v>33</v>
      </c>
    </row>
    <row r="472" spans="1:16" x14ac:dyDescent="0.3">
      <c r="A472" s="4">
        <v>46105</v>
      </c>
      <c r="B472" s="3" t="s">
        <v>407</v>
      </c>
      <c r="C472" s="3" t="s">
        <v>401</v>
      </c>
      <c r="D472" s="3" t="s">
        <v>402</v>
      </c>
      <c r="E472" s="3">
        <v>26</v>
      </c>
      <c r="F472" s="3">
        <v>0</v>
      </c>
      <c r="G472" s="6">
        <v>0.85</v>
      </c>
      <c r="H472" s="3">
        <v>17.899999999999999</v>
      </c>
      <c r="I472" s="3">
        <v>234</v>
      </c>
      <c r="J472" s="3">
        <v>68</v>
      </c>
      <c r="K472" s="5">
        <v>4075</v>
      </c>
      <c r="L472" s="3">
        <v>44</v>
      </c>
      <c r="M472" s="3">
        <v>0</v>
      </c>
      <c r="N472" s="6">
        <v>0.79</v>
      </c>
      <c r="O472" s="3" t="s">
        <v>13</v>
      </c>
      <c r="P472" s="3" t="s">
        <v>21</v>
      </c>
    </row>
    <row r="473" spans="1:16" x14ac:dyDescent="0.3">
      <c r="A473" s="4">
        <v>46105</v>
      </c>
      <c r="B473" s="3" t="s">
        <v>407</v>
      </c>
      <c r="C473" s="3" t="s">
        <v>401</v>
      </c>
      <c r="D473" s="3" t="s">
        <v>403</v>
      </c>
      <c r="E473" s="3">
        <v>32</v>
      </c>
      <c r="F473" s="3">
        <v>1</v>
      </c>
      <c r="G473" s="6">
        <v>0.84</v>
      </c>
      <c r="H473" s="3">
        <v>15.5</v>
      </c>
      <c r="I473" s="3">
        <v>214</v>
      </c>
      <c r="J473" s="3">
        <v>73</v>
      </c>
      <c r="K473" s="5">
        <v>2702</v>
      </c>
      <c r="L473" s="3">
        <v>46</v>
      </c>
      <c r="M473" s="3">
        <v>1</v>
      </c>
      <c r="N473" s="6">
        <v>0.73</v>
      </c>
      <c r="O473" s="3" t="s">
        <v>18</v>
      </c>
      <c r="P473" s="3" t="s">
        <v>17</v>
      </c>
    </row>
    <row r="474" spans="1:16" x14ac:dyDescent="0.3">
      <c r="A474" s="4">
        <v>46105</v>
      </c>
      <c r="B474" s="3" t="s">
        <v>407</v>
      </c>
      <c r="C474" s="3" t="s">
        <v>404</v>
      </c>
      <c r="D474" s="3" t="s">
        <v>405</v>
      </c>
      <c r="E474" s="3">
        <v>31</v>
      </c>
      <c r="F474" s="3">
        <v>0</v>
      </c>
      <c r="G474" s="6">
        <v>0.74</v>
      </c>
      <c r="H474" s="3">
        <v>14.3</v>
      </c>
      <c r="I474" s="3">
        <v>233</v>
      </c>
      <c r="J474" s="3">
        <v>109</v>
      </c>
      <c r="K474" s="5">
        <v>119</v>
      </c>
      <c r="L474" s="3">
        <v>29</v>
      </c>
      <c r="M474" s="3">
        <v>3</v>
      </c>
      <c r="N474" s="6">
        <v>0.73</v>
      </c>
      <c r="O474" s="3" t="s">
        <v>29</v>
      </c>
      <c r="P474" s="3" t="s">
        <v>28</v>
      </c>
    </row>
    <row r="475" spans="1:16" x14ac:dyDescent="0.3">
      <c r="A475" s="4">
        <v>46105</v>
      </c>
      <c r="B475" s="3" t="s">
        <v>407</v>
      </c>
      <c r="C475" s="3" t="s">
        <v>404</v>
      </c>
      <c r="D475" s="3" t="s">
        <v>406</v>
      </c>
      <c r="E475" s="3">
        <v>37</v>
      </c>
      <c r="F475" s="3">
        <v>1</v>
      </c>
      <c r="G475" s="6">
        <v>0.84</v>
      </c>
      <c r="H475" s="3">
        <v>18.3</v>
      </c>
      <c r="I475" s="3">
        <v>431</v>
      </c>
      <c r="J475" s="3">
        <v>19</v>
      </c>
      <c r="K475" s="5">
        <v>38</v>
      </c>
      <c r="L475" s="3">
        <v>84</v>
      </c>
      <c r="M475" s="3">
        <v>4</v>
      </c>
      <c r="N475" s="6">
        <v>0.73</v>
      </c>
      <c r="O475" s="3" t="s">
        <v>29</v>
      </c>
      <c r="P475" s="3" t="s">
        <v>66</v>
      </c>
    </row>
    <row r="476" spans="1:16" x14ac:dyDescent="0.3">
      <c r="A476" s="4">
        <v>46106</v>
      </c>
      <c r="B476" s="3" t="s">
        <v>408</v>
      </c>
      <c r="C476" s="3" t="s">
        <v>398</v>
      </c>
      <c r="D476" s="3" t="s">
        <v>399</v>
      </c>
      <c r="E476" s="3">
        <v>24</v>
      </c>
      <c r="F476" s="3">
        <v>0</v>
      </c>
      <c r="G476" s="6">
        <v>0.73</v>
      </c>
      <c r="H476" s="3">
        <v>17.100000000000001</v>
      </c>
      <c r="I476" s="3">
        <v>266</v>
      </c>
      <c r="J476" s="3">
        <v>12</v>
      </c>
      <c r="K476" s="5">
        <v>3875</v>
      </c>
      <c r="L476" s="3">
        <v>1</v>
      </c>
      <c r="M476" s="3">
        <v>1</v>
      </c>
      <c r="N476" s="6">
        <v>0.72</v>
      </c>
      <c r="O476" s="3" t="s">
        <v>18</v>
      </c>
      <c r="P476" s="3" t="s">
        <v>17</v>
      </c>
    </row>
    <row r="477" spans="1:16" x14ac:dyDescent="0.3">
      <c r="A477" s="4">
        <v>46106</v>
      </c>
      <c r="B477" s="3" t="s">
        <v>408</v>
      </c>
      <c r="C477" s="3" t="s">
        <v>398</v>
      </c>
      <c r="D477" s="3" t="s">
        <v>400</v>
      </c>
      <c r="E477" s="3">
        <v>34</v>
      </c>
      <c r="F477" s="3">
        <v>1</v>
      </c>
      <c r="G477" s="6">
        <v>0.75</v>
      </c>
      <c r="H477" s="3">
        <v>10.199999999999999</v>
      </c>
      <c r="I477" s="3">
        <v>402</v>
      </c>
      <c r="J477" s="3">
        <v>104</v>
      </c>
      <c r="K477" s="5">
        <v>2555</v>
      </c>
      <c r="L477" s="3">
        <v>111</v>
      </c>
      <c r="M477" s="3">
        <v>5</v>
      </c>
      <c r="N477" s="6">
        <v>0.65</v>
      </c>
      <c r="O477" s="3" t="s">
        <v>18</v>
      </c>
      <c r="P477" s="3" t="s">
        <v>17</v>
      </c>
    </row>
    <row r="478" spans="1:16" x14ac:dyDescent="0.3">
      <c r="A478" s="4">
        <v>46106</v>
      </c>
      <c r="B478" s="3" t="s">
        <v>408</v>
      </c>
      <c r="C478" s="3" t="s">
        <v>401</v>
      </c>
      <c r="D478" s="3" t="s">
        <v>402</v>
      </c>
      <c r="E478" s="3">
        <v>36</v>
      </c>
      <c r="F478" s="3">
        <v>0</v>
      </c>
      <c r="G478" s="6">
        <v>0.83</v>
      </c>
      <c r="H478" s="3">
        <v>18</v>
      </c>
      <c r="I478" s="3">
        <v>46</v>
      </c>
      <c r="J478" s="3">
        <v>129</v>
      </c>
      <c r="K478" s="5">
        <v>2561</v>
      </c>
      <c r="L478" s="3">
        <v>81</v>
      </c>
      <c r="M478" s="3">
        <v>6</v>
      </c>
      <c r="N478" s="6">
        <v>0.83</v>
      </c>
      <c r="O478" s="3" t="s">
        <v>37</v>
      </c>
      <c r="P478" s="3" t="s">
        <v>40</v>
      </c>
    </row>
    <row r="479" spans="1:16" x14ac:dyDescent="0.3">
      <c r="A479" s="4">
        <v>46106</v>
      </c>
      <c r="B479" s="3" t="s">
        <v>408</v>
      </c>
      <c r="C479" s="3" t="s">
        <v>401</v>
      </c>
      <c r="D479" s="3" t="s">
        <v>403</v>
      </c>
      <c r="E479" s="3">
        <v>35</v>
      </c>
      <c r="F479" s="3">
        <v>0</v>
      </c>
      <c r="G479" s="6">
        <v>0.9</v>
      </c>
      <c r="H479" s="3">
        <v>10.7</v>
      </c>
      <c r="I479" s="3">
        <v>332</v>
      </c>
      <c r="J479" s="3">
        <v>118</v>
      </c>
      <c r="K479" s="5">
        <v>3756</v>
      </c>
      <c r="L479" s="3">
        <v>37</v>
      </c>
      <c r="M479" s="3">
        <v>5</v>
      </c>
      <c r="N479" s="6">
        <v>0.82</v>
      </c>
      <c r="O479" s="3" t="s">
        <v>13</v>
      </c>
      <c r="P479" s="3" t="s">
        <v>12</v>
      </c>
    </row>
    <row r="480" spans="1:16" x14ac:dyDescent="0.3">
      <c r="A480" s="4">
        <v>46106</v>
      </c>
      <c r="B480" s="3" t="s">
        <v>408</v>
      </c>
      <c r="C480" s="3" t="s">
        <v>404</v>
      </c>
      <c r="D480" s="3" t="s">
        <v>405</v>
      </c>
      <c r="E480" s="3">
        <v>27</v>
      </c>
      <c r="F480" s="3">
        <v>0</v>
      </c>
      <c r="G480" s="6">
        <v>0.72</v>
      </c>
      <c r="H480" s="3">
        <v>13.5</v>
      </c>
      <c r="I480" s="3">
        <v>69</v>
      </c>
      <c r="J480" s="3">
        <v>146</v>
      </c>
      <c r="K480" s="5">
        <v>1452</v>
      </c>
      <c r="L480" s="3">
        <v>93</v>
      </c>
      <c r="M480" s="3">
        <v>6</v>
      </c>
      <c r="N480" s="6">
        <v>0.66</v>
      </c>
      <c r="O480" s="3" t="s">
        <v>13</v>
      </c>
      <c r="P480" s="3" t="s">
        <v>12</v>
      </c>
    </row>
    <row r="481" spans="1:16" x14ac:dyDescent="0.3">
      <c r="A481" s="4">
        <v>46106</v>
      </c>
      <c r="B481" s="3" t="s">
        <v>408</v>
      </c>
      <c r="C481" s="3" t="s">
        <v>404</v>
      </c>
      <c r="D481" s="3" t="s">
        <v>406</v>
      </c>
      <c r="E481" s="3">
        <v>26</v>
      </c>
      <c r="F481" s="3">
        <v>0</v>
      </c>
      <c r="G481" s="6">
        <v>0.74</v>
      </c>
      <c r="H481" s="3">
        <v>9.5</v>
      </c>
      <c r="I481" s="3">
        <v>118</v>
      </c>
      <c r="J481" s="3">
        <v>4</v>
      </c>
      <c r="K481" s="5">
        <v>2034</v>
      </c>
      <c r="L481" s="3">
        <v>24</v>
      </c>
      <c r="M481" s="3">
        <v>0</v>
      </c>
      <c r="N481" s="6">
        <v>0.57999999999999996</v>
      </c>
      <c r="O481" s="3" t="s">
        <v>18</v>
      </c>
      <c r="P481" s="3" t="s">
        <v>17</v>
      </c>
    </row>
    <row r="482" spans="1:16" x14ac:dyDescent="0.3">
      <c r="A482" s="4">
        <v>46107</v>
      </c>
      <c r="B482" s="3" t="s">
        <v>409</v>
      </c>
      <c r="C482" s="3" t="s">
        <v>398</v>
      </c>
      <c r="D482" s="3" t="s">
        <v>399</v>
      </c>
      <c r="E482" s="3">
        <v>27</v>
      </c>
      <c r="F482" s="3">
        <v>4</v>
      </c>
      <c r="G482" s="6">
        <v>0.82</v>
      </c>
      <c r="H482" s="3">
        <v>7.7</v>
      </c>
      <c r="I482" s="3">
        <v>226</v>
      </c>
      <c r="J482" s="3">
        <v>34</v>
      </c>
      <c r="K482" s="5">
        <v>3085</v>
      </c>
      <c r="L482" s="3">
        <v>3</v>
      </c>
      <c r="M482" s="3">
        <v>4</v>
      </c>
      <c r="N482" s="6">
        <v>0.86</v>
      </c>
      <c r="O482" s="3" t="s">
        <v>26</v>
      </c>
      <c r="P482" s="3" t="s">
        <v>33</v>
      </c>
    </row>
    <row r="483" spans="1:16" x14ac:dyDescent="0.3">
      <c r="A483" s="4">
        <v>46107</v>
      </c>
      <c r="B483" s="3" t="s">
        <v>409</v>
      </c>
      <c r="C483" s="3" t="s">
        <v>398</v>
      </c>
      <c r="D483" s="3" t="s">
        <v>400</v>
      </c>
      <c r="E483" s="3">
        <v>25</v>
      </c>
      <c r="F483" s="3">
        <v>1</v>
      </c>
      <c r="G483" s="6">
        <v>0.85</v>
      </c>
      <c r="H483" s="3">
        <v>13</v>
      </c>
      <c r="I483" s="3">
        <v>381</v>
      </c>
      <c r="J483" s="3">
        <v>93</v>
      </c>
      <c r="K483" s="5">
        <v>2626</v>
      </c>
      <c r="L483" s="3">
        <v>70</v>
      </c>
      <c r="M483" s="3">
        <v>3</v>
      </c>
      <c r="N483" s="6">
        <v>0.66</v>
      </c>
      <c r="O483" s="3" t="s">
        <v>13</v>
      </c>
      <c r="P483" s="3" t="s">
        <v>12</v>
      </c>
    </row>
    <row r="484" spans="1:16" x14ac:dyDescent="0.3">
      <c r="A484" s="4">
        <v>46107</v>
      </c>
      <c r="B484" s="3" t="s">
        <v>409</v>
      </c>
      <c r="C484" s="3" t="s">
        <v>401</v>
      </c>
      <c r="D484" s="3" t="s">
        <v>402</v>
      </c>
      <c r="E484" s="3">
        <v>22</v>
      </c>
      <c r="F484" s="3">
        <v>1</v>
      </c>
      <c r="G484" s="6">
        <v>0.85</v>
      </c>
      <c r="H484" s="3">
        <v>15.2</v>
      </c>
      <c r="I484" s="3">
        <v>113</v>
      </c>
      <c r="J484" s="3">
        <v>12</v>
      </c>
      <c r="K484" s="5">
        <v>3355</v>
      </c>
      <c r="L484" s="3">
        <v>86</v>
      </c>
      <c r="M484" s="3">
        <v>0</v>
      </c>
      <c r="N484" s="6">
        <v>0.82</v>
      </c>
      <c r="O484" s="3" t="s">
        <v>37</v>
      </c>
      <c r="P484" s="3" t="s">
        <v>36</v>
      </c>
    </row>
    <row r="485" spans="1:16" x14ac:dyDescent="0.3">
      <c r="A485" s="4">
        <v>46107</v>
      </c>
      <c r="B485" s="3" t="s">
        <v>409</v>
      </c>
      <c r="C485" s="3" t="s">
        <v>401</v>
      </c>
      <c r="D485" s="3" t="s">
        <v>403</v>
      </c>
      <c r="E485" s="3">
        <v>27</v>
      </c>
      <c r="F485" s="3">
        <v>0</v>
      </c>
      <c r="G485" s="6">
        <v>0.74</v>
      </c>
      <c r="H485" s="3">
        <v>17.899999999999999</v>
      </c>
      <c r="I485" s="3">
        <v>285</v>
      </c>
      <c r="J485" s="3">
        <v>99</v>
      </c>
      <c r="K485" s="5">
        <v>555</v>
      </c>
      <c r="L485" s="3">
        <v>88</v>
      </c>
      <c r="M485" s="3">
        <v>2</v>
      </c>
      <c r="N485" s="6">
        <v>0.56999999999999995</v>
      </c>
      <c r="O485" s="3" t="s">
        <v>26</v>
      </c>
      <c r="P485" s="3" t="s">
        <v>25</v>
      </c>
    </row>
    <row r="486" spans="1:16" x14ac:dyDescent="0.3">
      <c r="A486" s="4">
        <v>46107</v>
      </c>
      <c r="B486" s="3" t="s">
        <v>409</v>
      </c>
      <c r="C486" s="3" t="s">
        <v>404</v>
      </c>
      <c r="D486" s="3" t="s">
        <v>405</v>
      </c>
      <c r="E486" s="3">
        <v>20</v>
      </c>
      <c r="F486" s="3">
        <v>0</v>
      </c>
      <c r="G486" s="6">
        <v>0.79</v>
      </c>
      <c r="H486" s="3">
        <v>11.4</v>
      </c>
      <c r="I486" s="3">
        <v>306</v>
      </c>
      <c r="J486" s="3">
        <v>32</v>
      </c>
      <c r="K486" s="5">
        <v>3582</v>
      </c>
      <c r="L486" s="3">
        <v>0</v>
      </c>
      <c r="M486" s="3">
        <v>5</v>
      </c>
      <c r="N486" s="6">
        <v>0.67</v>
      </c>
      <c r="O486" s="3" t="s">
        <v>13</v>
      </c>
      <c r="P486" s="3" t="s">
        <v>21</v>
      </c>
    </row>
    <row r="487" spans="1:16" x14ac:dyDescent="0.3">
      <c r="A487" s="4">
        <v>46107</v>
      </c>
      <c r="B487" s="3" t="s">
        <v>409</v>
      </c>
      <c r="C487" s="3" t="s">
        <v>404</v>
      </c>
      <c r="D487" s="3" t="s">
        <v>406</v>
      </c>
      <c r="E487" s="3">
        <v>31</v>
      </c>
      <c r="F487" s="3">
        <v>0</v>
      </c>
      <c r="G487" s="6">
        <v>0.82</v>
      </c>
      <c r="H487" s="3">
        <v>18.399999999999999</v>
      </c>
      <c r="I487" s="3">
        <v>424</v>
      </c>
      <c r="J487" s="3">
        <v>0</v>
      </c>
      <c r="K487" s="5">
        <v>3384</v>
      </c>
      <c r="L487" s="3">
        <v>62</v>
      </c>
      <c r="M487" s="3">
        <v>5</v>
      </c>
      <c r="N487" s="6">
        <v>0.8</v>
      </c>
      <c r="O487" s="3" t="s">
        <v>29</v>
      </c>
      <c r="P487" s="3" t="s">
        <v>66</v>
      </c>
    </row>
    <row r="488" spans="1:16" x14ac:dyDescent="0.3">
      <c r="A488" s="4">
        <v>46108</v>
      </c>
      <c r="B488" s="3" t="s">
        <v>410</v>
      </c>
      <c r="C488" s="3" t="s">
        <v>398</v>
      </c>
      <c r="D488" s="3" t="s">
        <v>399</v>
      </c>
      <c r="E488" s="3">
        <v>25</v>
      </c>
      <c r="F488" s="3">
        <v>0</v>
      </c>
      <c r="G488" s="6">
        <v>0.83</v>
      </c>
      <c r="H488" s="3">
        <v>16.3</v>
      </c>
      <c r="I488" s="3">
        <v>328</v>
      </c>
      <c r="J488" s="3">
        <v>15</v>
      </c>
      <c r="K488" s="5">
        <v>4326</v>
      </c>
      <c r="L488" s="3">
        <v>90</v>
      </c>
      <c r="M488" s="3">
        <v>6</v>
      </c>
      <c r="N488" s="6">
        <v>0.88</v>
      </c>
      <c r="O488" s="3" t="s">
        <v>37</v>
      </c>
      <c r="P488" s="3" t="s">
        <v>40</v>
      </c>
    </row>
    <row r="489" spans="1:16" x14ac:dyDescent="0.3">
      <c r="A489" s="4">
        <v>46108</v>
      </c>
      <c r="B489" s="3" t="s">
        <v>410</v>
      </c>
      <c r="C489" s="3" t="s">
        <v>398</v>
      </c>
      <c r="D489" s="3" t="s">
        <v>400</v>
      </c>
      <c r="E489" s="3">
        <v>22</v>
      </c>
      <c r="F489" s="3">
        <v>3</v>
      </c>
      <c r="G489" s="6">
        <v>0.77</v>
      </c>
      <c r="H489" s="3">
        <v>11.7</v>
      </c>
      <c r="I489" s="3">
        <v>71</v>
      </c>
      <c r="J489" s="3">
        <v>28</v>
      </c>
      <c r="K489" s="5">
        <v>1382</v>
      </c>
      <c r="L489" s="3">
        <v>48</v>
      </c>
      <c r="M489" s="3">
        <v>0</v>
      </c>
      <c r="N489" s="6">
        <v>0.68</v>
      </c>
      <c r="O489" s="3" t="s">
        <v>13</v>
      </c>
      <c r="P489" s="3" t="s">
        <v>21</v>
      </c>
    </row>
    <row r="490" spans="1:16" x14ac:dyDescent="0.3">
      <c r="A490" s="4">
        <v>46108</v>
      </c>
      <c r="B490" s="3" t="s">
        <v>410</v>
      </c>
      <c r="C490" s="3" t="s">
        <v>401</v>
      </c>
      <c r="D490" s="3" t="s">
        <v>402</v>
      </c>
      <c r="E490" s="3">
        <v>35</v>
      </c>
      <c r="F490" s="3">
        <v>3</v>
      </c>
      <c r="G490" s="6">
        <v>0.86</v>
      </c>
      <c r="H490" s="3">
        <v>7.5</v>
      </c>
      <c r="I490" s="3">
        <v>232</v>
      </c>
      <c r="J490" s="3">
        <v>75</v>
      </c>
      <c r="K490" s="5">
        <v>4145</v>
      </c>
      <c r="L490" s="3">
        <v>30</v>
      </c>
      <c r="M490" s="3">
        <v>3</v>
      </c>
      <c r="N490" s="6">
        <v>0.83</v>
      </c>
      <c r="O490" s="3" t="s">
        <v>13</v>
      </c>
      <c r="P490" s="3" t="s">
        <v>21</v>
      </c>
    </row>
    <row r="491" spans="1:16" x14ac:dyDescent="0.3">
      <c r="A491" s="4">
        <v>46108</v>
      </c>
      <c r="B491" s="3" t="s">
        <v>410</v>
      </c>
      <c r="C491" s="3" t="s">
        <v>401</v>
      </c>
      <c r="D491" s="3" t="s">
        <v>403</v>
      </c>
      <c r="E491" s="3">
        <v>20</v>
      </c>
      <c r="F491" s="3">
        <v>1</v>
      </c>
      <c r="G491" s="6">
        <v>0.8</v>
      </c>
      <c r="H491" s="3">
        <v>7.9</v>
      </c>
      <c r="I491" s="3">
        <v>357</v>
      </c>
      <c r="J491" s="3">
        <v>83</v>
      </c>
      <c r="K491" s="5">
        <v>1234</v>
      </c>
      <c r="L491" s="3">
        <v>95</v>
      </c>
      <c r="M491" s="3">
        <v>2</v>
      </c>
      <c r="N491" s="6">
        <v>0.61</v>
      </c>
      <c r="O491" s="3" t="s">
        <v>29</v>
      </c>
      <c r="P491" s="3" t="s">
        <v>66</v>
      </c>
    </row>
    <row r="492" spans="1:16" x14ac:dyDescent="0.3">
      <c r="A492" s="4">
        <v>46108</v>
      </c>
      <c r="B492" s="3" t="s">
        <v>410</v>
      </c>
      <c r="C492" s="3" t="s">
        <v>404</v>
      </c>
      <c r="D492" s="3" t="s">
        <v>405</v>
      </c>
      <c r="E492" s="3">
        <v>23</v>
      </c>
      <c r="F492" s="3">
        <v>2</v>
      </c>
      <c r="G492" s="6">
        <v>0.75</v>
      </c>
      <c r="H492" s="3">
        <v>11.2</v>
      </c>
      <c r="I492" s="3">
        <v>260</v>
      </c>
      <c r="J492" s="3">
        <v>76</v>
      </c>
      <c r="K492" s="5">
        <v>855</v>
      </c>
      <c r="L492" s="3">
        <v>103</v>
      </c>
      <c r="M492" s="3">
        <v>5</v>
      </c>
      <c r="N492" s="6">
        <v>0.65</v>
      </c>
      <c r="O492" s="3" t="s">
        <v>13</v>
      </c>
      <c r="P492" s="3" t="s">
        <v>12</v>
      </c>
    </row>
    <row r="493" spans="1:16" x14ac:dyDescent="0.3">
      <c r="A493" s="4">
        <v>46108</v>
      </c>
      <c r="B493" s="3" t="s">
        <v>410</v>
      </c>
      <c r="C493" s="3" t="s">
        <v>404</v>
      </c>
      <c r="D493" s="3" t="s">
        <v>406</v>
      </c>
      <c r="E493" s="3">
        <v>29</v>
      </c>
      <c r="F493" s="3">
        <v>1</v>
      </c>
      <c r="G493" s="6">
        <v>0.8</v>
      </c>
      <c r="H493" s="3">
        <v>13.4</v>
      </c>
      <c r="I493" s="3">
        <v>204</v>
      </c>
      <c r="J493" s="3">
        <v>116</v>
      </c>
      <c r="K493" s="5">
        <v>3287</v>
      </c>
      <c r="L493" s="3">
        <v>37</v>
      </c>
      <c r="M493" s="3">
        <v>3</v>
      </c>
      <c r="N493" s="6">
        <v>0.67</v>
      </c>
      <c r="O493" s="3" t="s">
        <v>26</v>
      </c>
      <c r="P493" s="3" t="s">
        <v>33</v>
      </c>
    </row>
    <row r="494" spans="1:16" x14ac:dyDescent="0.3">
      <c r="A494" s="4">
        <v>46109</v>
      </c>
      <c r="B494" s="3" t="s">
        <v>411</v>
      </c>
      <c r="C494" s="3" t="s">
        <v>398</v>
      </c>
      <c r="D494" s="3" t="s">
        <v>399</v>
      </c>
      <c r="E494" s="3">
        <v>37</v>
      </c>
      <c r="F494" s="3">
        <v>0</v>
      </c>
      <c r="G494" s="6">
        <v>0.81</v>
      </c>
      <c r="H494" s="3">
        <v>12.6</v>
      </c>
      <c r="I494" s="3">
        <v>440</v>
      </c>
      <c r="J494" s="3">
        <v>93</v>
      </c>
      <c r="K494" s="5">
        <v>3246</v>
      </c>
      <c r="L494" s="3">
        <v>58</v>
      </c>
      <c r="M494" s="3">
        <v>5</v>
      </c>
      <c r="N494" s="6">
        <v>0.86</v>
      </c>
      <c r="O494" s="3" t="s">
        <v>29</v>
      </c>
      <c r="P494" s="3" t="s">
        <v>28</v>
      </c>
    </row>
    <row r="495" spans="1:16" x14ac:dyDescent="0.3">
      <c r="A495" s="4">
        <v>46109</v>
      </c>
      <c r="B495" s="3" t="s">
        <v>411</v>
      </c>
      <c r="C495" s="3" t="s">
        <v>398</v>
      </c>
      <c r="D495" s="3" t="s">
        <v>400</v>
      </c>
      <c r="E495" s="3">
        <v>37</v>
      </c>
      <c r="F495" s="3">
        <v>1</v>
      </c>
      <c r="G495" s="6">
        <v>0.75</v>
      </c>
      <c r="H495" s="3">
        <v>13.5</v>
      </c>
      <c r="I495" s="3">
        <v>444</v>
      </c>
      <c r="J495" s="3">
        <v>55</v>
      </c>
      <c r="K495" s="5">
        <v>1644</v>
      </c>
      <c r="L495" s="3">
        <v>10</v>
      </c>
      <c r="M495" s="3">
        <v>9</v>
      </c>
      <c r="N495" s="6">
        <v>0.59</v>
      </c>
      <c r="O495" s="3" t="s">
        <v>18</v>
      </c>
      <c r="P495" s="3" t="s">
        <v>17</v>
      </c>
    </row>
    <row r="496" spans="1:16" x14ac:dyDescent="0.3">
      <c r="A496" s="4">
        <v>46109</v>
      </c>
      <c r="B496" s="3" t="s">
        <v>411</v>
      </c>
      <c r="C496" s="3" t="s">
        <v>401</v>
      </c>
      <c r="D496" s="3" t="s">
        <v>402</v>
      </c>
      <c r="E496" s="3">
        <v>27</v>
      </c>
      <c r="F496" s="3">
        <v>0</v>
      </c>
      <c r="G496" s="6">
        <v>0.75</v>
      </c>
      <c r="H496" s="3">
        <v>12.4</v>
      </c>
      <c r="I496" s="3">
        <v>46</v>
      </c>
      <c r="J496" s="3">
        <v>114</v>
      </c>
      <c r="K496" s="5">
        <v>2166</v>
      </c>
      <c r="L496" s="3">
        <v>80</v>
      </c>
      <c r="M496" s="3">
        <v>1</v>
      </c>
      <c r="N496" s="6">
        <v>0.6</v>
      </c>
      <c r="O496" s="3" t="s">
        <v>26</v>
      </c>
      <c r="P496" s="3" t="s">
        <v>25</v>
      </c>
    </row>
    <row r="497" spans="1:16" x14ac:dyDescent="0.3">
      <c r="A497" s="4">
        <v>46109</v>
      </c>
      <c r="B497" s="3" t="s">
        <v>411</v>
      </c>
      <c r="C497" s="3" t="s">
        <v>401</v>
      </c>
      <c r="D497" s="3" t="s">
        <v>403</v>
      </c>
      <c r="E497" s="3">
        <v>29</v>
      </c>
      <c r="F497" s="3">
        <v>1</v>
      </c>
      <c r="G497" s="6">
        <v>0.74</v>
      </c>
      <c r="H497" s="3">
        <v>10.6</v>
      </c>
      <c r="I497" s="3">
        <v>174</v>
      </c>
      <c r="J497" s="3">
        <v>48</v>
      </c>
      <c r="K497" s="5">
        <v>1395</v>
      </c>
      <c r="L497" s="3">
        <v>86</v>
      </c>
      <c r="M497" s="3">
        <v>0</v>
      </c>
      <c r="N497" s="6">
        <v>0.56999999999999995</v>
      </c>
      <c r="O497" s="3" t="s">
        <v>29</v>
      </c>
      <c r="P497" s="3" t="s">
        <v>66</v>
      </c>
    </row>
    <row r="498" spans="1:16" x14ac:dyDescent="0.3">
      <c r="A498" s="4">
        <v>46109</v>
      </c>
      <c r="B498" s="3" t="s">
        <v>411</v>
      </c>
      <c r="C498" s="3" t="s">
        <v>404</v>
      </c>
      <c r="D498" s="3" t="s">
        <v>405</v>
      </c>
      <c r="E498" s="3">
        <v>36</v>
      </c>
      <c r="F498" s="3">
        <v>3</v>
      </c>
      <c r="G498" s="6">
        <v>0.77</v>
      </c>
      <c r="H498" s="3">
        <v>7.9</v>
      </c>
      <c r="I498" s="3">
        <v>294</v>
      </c>
      <c r="J498" s="3">
        <v>20</v>
      </c>
      <c r="K498" s="5">
        <v>1554</v>
      </c>
      <c r="L498" s="3">
        <v>34</v>
      </c>
      <c r="M498" s="3">
        <v>5</v>
      </c>
      <c r="N498" s="6">
        <v>0.75</v>
      </c>
      <c r="O498" s="3" t="s">
        <v>37</v>
      </c>
      <c r="P498" s="3" t="s">
        <v>36</v>
      </c>
    </row>
    <row r="499" spans="1:16" x14ac:dyDescent="0.3">
      <c r="A499" s="4">
        <v>46109</v>
      </c>
      <c r="B499" s="3" t="s">
        <v>411</v>
      </c>
      <c r="C499" s="3" t="s">
        <v>404</v>
      </c>
      <c r="D499" s="3" t="s">
        <v>406</v>
      </c>
      <c r="E499" s="3">
        <v>20</v>
      </c>
      <c r="F499" s="3">
        <v>1</v>
      </c>
      <c r="G499" s="6">
        <v>0.87</v>
      </c>
      <c r="H499" s="3">
        <v>17</v>
      </c>
      <c r="I499" s="3">
        <v>234</v>
      </c>
      <c r="J499" s="3">
        <v>149</v>
      </c>
      <c r="K499" s="5">
        <v>3497</v>
      </c>
      <c r="L499" s="3">
        <v>16</v>
      </c>
      <c r="M499" s="3">
        <v>1</v>
      </c>
      <c r="N499" s="6">
        <v>0.79</v>
      </c>
      <c r="O499" s="3" t="s">
        <v>29</v>
      </c>
      <c r="P499" s="3" t="s">
        <v>66</v>
      </c>
    </row>
    <row r="500" spans="1:16" x14ac:dyDescent="0.3">
      <c r="A500" s="4">
        <v>46110</v>
      </c>
      <c r="B500" s="3" t="s">
        <v>412</v>
      </c>
      <c r="C500" s="3" t="s">
        <v>398</v>
      </c>
      <c r="D500" s="3" t="s">
        <v>399</v>
      </c>
      <c r="E500" s="3">
        <v>30</v>
      </c>
      <c r="F500" s="3">
        <v>0</v>
      </c>
      <c r="G500" s="6">
        <v>0.73</v>
      </c>
      <c r="H500" s="3">
        <v>17.5</v>
      </c>
      <c r="I500" s="3">
        <v>205</v>
      </c>
      <c r="J500" s="3">
        <v>26</v>
      </c>
      <c r="K500" s="5">
        <v>1431</v>
      </c>
      <c r="L500" s="3">
        <v>1</v>
      </c>
      <c r="M500" s="3">
        <v>1</v>
      </c>
      <c r="N500" s="6">
        <v>0.74</v>
      </c>
      <c r="O500" s="3" t="s">
        <v>18</v>
      </c>
      <c r="P500" s="3" t="s">
        <v>55</v>
      </c>
    </row>
    <row r="501" spans="1:16" x14ac:dyDescent="0.3">
      <c r="A501" s="4">
        <v>46110</v>
      </c>
      <c r="B501" s="3" t="s">
        <v>412</v>
      </c>
      <c r="C501" s="3" t="s">
        <v>398</v>
      </c>
      <c r="D501" s="3" t="s">
        <v>400</v>
      </c>
      <c r="E501" s="3">
        <v>27</v>
      </c>
      <c r="F501" s="3">
        <v>0</v>
      </c>
      <c r="G501" s="6">
        <v>0.84</v>
      </c>
      <c r="H501" s="3">
        <v>15.1</v>
      </c>
      <c r="I501" s="3">
        <v>411</v>
      </c>
      <c r="J501" s="3">
        <v>22</v>
      </c>
      <c r="K501" s="5">
        <v>2482</v>
      </c>
      <c r="L501" s="3">
        <v>39</v>
      </c>
      <c r="M501" s="3">
        <v>3</v>
      </c>
      <c r="N501" s="6">
        <v>0.86</v>
      </c>
      <c r="O501" s="3" t="s">
        <v>26</v>
      </c>
      <c r="P501" s="3" t="s">
        <v>33</v>
      </c>
    </row>
    <row r="502" spans="1:16" x14ac:dyDescent="0.3">
      <c r="A502" s="4">
        <v>46110</v>
      </c>
      <c r="B502" s="3" t="s">
        <v>412</v>
      </c>
      <c r="C502" s="3" t="s">
        <v>401</v>
      </c>
      <c r="D502" s="3" t="s">
        <v>402</v>
      </c>
      <c r="E502" s="3">
        <v>37</v>
      </c>
      <c r="F502" s="3">
        <v>4</v>
      </c>
      <c r="G502" s="6">
        <v>0.9</v>
      </c>
      <c r="H502" s="3">
        <v>9.4</v>
      </c>
      <c r="I502" s="3">
        <v>98</v>
      </c>
      <c r="J502" s="3">
        <v>7</v>
      </c>
      <c r="K502" s="5">
        <v>2977</v>
      </c>
      <c r="L502" s="3">
        <v>40</v>
      </c>
      <c r="M502" s="3">
        <v>6</v>
      </c>
      <c r="N502" s="6">
        <v>0.84</v>
      </c>
      <c r="O502" s="3" t="s">
        <v>37</v>
      </c>
      <c r="P502" s="3" t="s">
        <v>36</v>
      </c>
    </row>
    <row r="503" spans="1:16" x14ac:dyDescent="0.3">
      <c r="A503" s="4">
        <v>46110</v>
      </c>
      <c r="B503" s="3" t="s">
        <v>412</v>
      </c>
      <c r="C503" s="3" t="s">
        <v>401</v>
      </c>
      <c r="D503" s="3" t="s">
        <v>403</v>
      </c>
      <c r="E503" s="3">
        <v>37</v>
      </c>
      <c r="F503" s="3">
        <v>1</v>
      </c>
      <c r="G503" s="6">
        <v>0.82</v>
      </c>
      <c r="H503" s="3">
        <v>9.4</v>
      </c>
      <c r="I503" s="3">
        <v>439</v>
      </c>
      <c r="J503" s="3">
        <v>51</v>
      </c>
      <c r="K503" s="5">
        <v>2808</v>
      </c>
      <c r="L503" s="3">
        <v>97</v>
      </c>
      <c r="M503" s="3">
        <v>0</v>
      </c>
      <c r="N503" s="6">
        <v>0.85</v>
      </c>
      <c r="O503" s="3" t="s">
        <v>13</v>
      </c>
      <c r="P503" s="3" t="s">
        <v>12</v>
      </c>
    </row>
    <row r="504" spans="1:16" x14ac:dyDescent="0.3">
      <c r="A504" s="4">
        <v>46110</v>
      </c>
      <c r="B504" s="3" t="s">
        <v>412</v>
      </c>
      <c r="C504" s="3" t="s">
        <v>404</v>
      </c>
      <c r="D504" s="3" t="s">
        <v>405</v>
      </c>
      <c r="E504" s="3">
        <v>31</v>
      </c>
      <c r="F504" s="3">
        <v>1</v>
      </c>
      <c r="G504" s="6">
        <v>0.9</v>
      </c>
      <c r="H504" s="3">
        <v>11.8</v>
      </c>
      <c r="I504" s="3">
        <v>358</v>
      </c>
      <c r="J504" s="3">
        <v>131</v>
      </c>
      <c r="K504" s="5">
        <v>4292</v>
      </c>
      <c r="L504" s="3">
        <v>118</v>
      </c>
      <c r="M504" s="3">
        <v>1</v>
      </c>
      <c r="N504" s="6">
        <v>0.76</v>
      </c>
      <c r="O504" s="3" t="s">
        <v>18</v>
      </c>
      <c r="P504" s="3" t="s">
        <v>55</v>
      </c>
    </row>
    <row r="505" spans="1:16" x14ac:dyDescent="0.3">
      <c r="A505" s="4">
        <v>46110</v>
      </c>
      <c r="B505" s="3" t="s">
        <v>412</v>
      </c>
      <c r="C505" s="3" t="s">
        <v>404</v>
      </c>
      <c r="D505" s="3" t="s">
        <v>406</v>
      </c>
      <c r="E505" s="3">
        <v>25</v>
      </c>
      <c r="F505" s="3">
        <v>2</v>
      </c>
      <c r="G505" s="6">
        <v>0.84</v>
      </c>
      <c r="H505" s="3">
        <v>15.1</v>
      </c>
      <c r="I505" s="3">
        <v>416</v>
      </c>
      <c r="J505" s="3">
        <v>79</v>
      </c>
      <c r="K505" s="5">
        <v>1948</v>
      </c>
      <c r="L505" s="3">
        <v>98</v>
      </c>
      <c r="M505" s="3">
        <v>2</v>
      </c>
      <c r="N505" s="6">
        <v>0.76</v>
      </c>
      <c r="O505" s="3" t="s">
        <v>13</v>
      </c>
      <c r="P505" s="3" t="s">
        <v>12</v>
      </c>
    </row>
    <row r="506" spans="1:16" x14ac:dyDescent="0.3">
      <c r="A506" s="4">
        <v>46111</v>
      </c>
      <c r="B506" s="3" t="s">
        <v>397</v>
      </c>
      <c r="C506" s="3" t="s">
        <v>398</v>
      </c>
      <c r="D506" s="3" t="s">
        <v>399</v>
      </c>
      <c r="E506" s="3">
        <v>30</v>
      </c>
      <c r="F506" s="3">
        <v>3</v>
      </c>
      <c r="G506" s="6">
        <v>0.83</v>
      </c>
      <c r="H506" s="3">
        <v>8.6</v>
      </c>
      <c r="I506" s="3">
        <v>314</v>
      </c>
      <c r="J506" s="3">
        <v>81</v>
      </c>
      <c r="K506" s="5">
        <v>2642</v>
      </c>
      <c r="L506" s="3">
        <v>79</v>
      </c>
      <c r="M506" s="3">
        <v>4</v>
      </c>
      <c r="N506" s="6">
        <v>0.69</v>
      </c>
      <c r="O506" s="3" t="s">
        <v>26</v>
      </c>
      <c r="P506" s="3" t="s">
        <v>33</v>
      </c>
    </row>
    <row r="507" spans="1:16" x14ac:dyDescent="0.3">
      <c r="A507" s="4">
        <v>46111</v>
      </c>
      <c r="B507" s="3" t="s">
        <v>397</v>
      </c>
      <c r="C507" s="3" t="s">
        <v>398</v>
      </c>
      <c r="D507" s="3" t="s">
        <v>400</v>
      </c>
      <c r="E507" s="3">
        <v>29</v>
      </c>
      <c r="F507" s="3">
        <v>2</v>
      </c>
      <c r="G507" s="6">
        <v>0.78</v>
      </c>
      <c r="H507" s="3">
        <v>18.2</v>
      </c>
      <c r="I507" s="3">
        <v>240</v>
      </c>
      <c r="J507" s="3">
        <v>115</v>
      </c>
      <c r="K507" s="5">
        <v>746</v>
      </c>
      <c r="L507" s="3">
        <v>107</v>
      </c>
      <c r="M507" s="3">
        <v>1</v>
      </c>
      <c r="N507" s="6">
        <v>0.76</v>
      </c>
      <c r="O507" s="3" t="s">
        <v>13</v>
      </c>
      <c r="P507" s="3" t="s">
        <v>21</v>
      </c>
    </row>
    <row r="508" spans="1:16" x14ac:dyDescent="0.3">
      <c r="A508" s="4">
        <v>46111</v>
      </c>
      <c r="B508" s="3" t="s">
        <v>397</v>
      </c>
      <c r="C508" s="3" t="s">
        <v>401</v>
      </c>
      <c r="D508" s="3" t="s">
        <v>402</v>
      </c>
      <c r="E508" s="3">
        <v>37</v>
      </c>
      <c r="F508" s="3">
        <v>0</v>
      </c>
      <c r="G508" s="6">
        <v>0.89</v>
      </c>
      <c r="H508" s="3">
        <v>18.3</v>
      </c>
      <c r="I508" s="3">
        <v>411</v>
      </c>
      <c r="J508" s="3">
        <v>130</v>
      </c>
      <c r="K508" s="5">
        <v>4300</v>
      </c>
      <c r="L508" s="3">
        <v>60</v>
      </c>
      <c r="M508" s="3">
        <v>0</v>
      </c>
      <c r="N508" s="6">
        <v>0.88</v>
      </c>
      <c r="O508" s="3" t="s">
        <v>18</v>
      </c>
      <c r="P508" s="3" t="s">
        <v>17</v>
      </c>
    </row>
    <row r="509" spans="1:16" x14ac:dyDescent="0.3">
      <c r="A509" s="4">
        <v>46111</v>
      </c>
      <c r="B509" s="3" t="s">
        <v>397</v>
      </c>
      <c r="C509" s="3" t="s">
        <v>401</v>
      </c>
      <c r="D509" s="3" t="s">
        <v>403</v>
      </c>
      <c r="E509" s="3">
        <v>36</v>
      </c>
      <c r="F509" s="3">
        <v>0</v>
      </c>
      <c r="G509" s="6">
        <v>0.79</v>
      </c>
      <c r="H509" s="3">
        <v>17.7</v>
      </c>
      <c r="I509" s="3">
        <v>429</v>
      </c>
      <c r="J509" s="3">
        <v>60</v>
      </c>
      <c r="K509" s="5">
        <v>4409</v>
      </c>
      <c r="L509" s="3">
        <v>0</v>
      </c>
      <c r="M509" s="3">
        <v>8</v>
      </c>
      <c r="N509" s="6">
        <v>0.81</v>
      </c>
      <c r="O509" s="3" t="s">
        <v>29</v>
      </c>
      <c r="P509" s="3" t="s">
        <v>28</v>
      </c>
    </row>
    <row r="510" spans="1:16" x14ac:dyDescent="0.3">
      <c r="A510" s="4">
        <v>46111</v>
      </c>
      <c r="B510" s="3" t="s">
        <v>397</v>
      </c>
      <c r="C510" s="3" t="s">
        <v>404</v>
      </c>
      <c r="D510" s="3" t="s">
        <v>405</v>
      </c>
      <c r="E510" s="3">
        <v>28</v>
      </c>
      <c r="F510" s="3">
        <v>1</v>
      </c>
      <c r="G510" s="6">
        <v>0.8</v>
      </c>
      <c r="H510" s="3">
        <v>10.199999999999999</v>
      </c>
      <c r="I510" s="3">
        <v>179</v>
      </c>
      <c r="J510" s="3">
        <v>64</v>
      </c>
      <c r="K510" s="5">
        <v>1640</v>
      </c>
      <c r="L510" s="3">
        <v>23</v>
      </c>
      <c r="M510" s="3">
        <v>1</v>
      </c>
      <c r="N510" s="6">
        <v>0.64</v>
      </c>
      <c r="O510" s="3" t="s">
        <v>13</v>
      </c>
      <c r="P510" s="3" t="s">
        <v>12</v>
      </c>
    </row>
    <row r="511" spans="1:16" x14ac:dyDescent="0.3">
      <c r="A511" s="4">
        <v>46111</v>
      </c>
      <c r="B511" s="3" t="s">
        <v>397</v>
      </c>
      <c r="C511" s="3" t="s">
        <v>404</v>
      </c>
      <c r="D511" s="3" t="s">
        <v>406</v>
      </c>
      <c r="E511" s="3">
        <v>37</v>
      </c>
      <c r="F511" s="3">
        <v>1</v>
      </c>
      <c r="G511" s="6">
        <v>0.75</v>
      </c>
      <c r="H511" s="3">
        <v>11</v>
      </c>
      <c r="I511" s="3">
        <v>412</v>
      </c>
      <c r="J511" s="3">
        <v>102</v>
      </c>
      <c r="K511" s="5">
        <v>2813</v>
      </c>
      <c r="L511" s="3">
        <v>28</v>
      </c>
      <c r="M511" s="3">
        <v>5</v>
      </c>
      <c r="N511" s="6">
        <v>0.69</v>
      </c>
      <c r="O511" s="3" t="s">
        <v>29</v>
      </c>
      <c r="P511" s="3" t="s">
        <v>66</v>
      </c>
    </row>
    <row r="512" spans="1:16" x14ac:dyDescent="0.3">
      <c r="A512" s="4">
        <v>46112</v>
      </c>
      <c r="B512" s="3" t="s">
        <v>407</v>
      </c>
      <c r="C512" s="3" t="s">
        <v>398</v>
      </c>
      <c r="D512" s="3" t="s">
        <v>399</v>
      </c>
      <c r="E512" s="3">
        <v>31</v>
      </c>
      <c r="F512" s="3">
        <v>3</v>
      </c>
      <c r="G512" s="6">
        <v>0.8</v>
      </c>
      <c r="H512" s="3">
        <v>8.9</v>
      </c>
      <c r="I512" s="3">
        <v>321</v>
      </c>
      <c r="J512" s="3">
        <v>123</v>
      </c>
      <c r="K512" s="5">
        <v>299</v>
      </c>
      <c r="L512" s="3">
        <v>58</v>
      </c>
      <c r="M512" s="3">
        <v>2</v>
      </c>
      <c r="N512" s="6">
        <v>0.62</v>
      </c>
      <c r="O512" s="3" t="s">
        <v>26</v>
      </c>
      <c r="P512" s="3" t="s">
        <v>33</v>
      </c>
    </row>
    <row r="513" spans="1:16" x14ac:dyDescent="0.3">
      <c r="A513" s="4">
        <v>46112</v>
      </c>
      <c r="B513" s="3" t="s">
        <v>407</v>
      </c>
      <c r="C513" s="3" t="s">
        <v>398</v>
      </c>
      <c r="D513" s="3" t="s">
        <v>400</v>
      </c>
      <c r="E513" s="3">
        <v>33</v>
      </c>
      <c r="F513" s="3">
        <v>3</v>
      </c>
      <c r="G513" s="6">
        <v>0.79</v>
      </c>
      <c r="H513" s="3">
        <v>9.4</v>
      </c>
      <c r="I513" s="3">
        <v>112</v>
      </c>
      <c r="J513" s="3">
        <v>134</v>
      </c>
      <c r="K513" s="5">
        <v>1001</v>
      </c>
      <c r="L513" s="3">
        <v>82</v>
      </c>
      <c r="M513" s="3">
        <v>5</v>
      </c>
      <c r="N513" s="6">
        <v>0.65</v>
      </c>
      <c r="O513" s="3" t="s">
        <v>26</v>
      </c>
      <c r="P513" s="3" t="s">
        <v>33</v>
      </c>
    </row>
    <row r="514" spans="1:16" x14ac:dyDescent="0.3">
      <c r="A514" s="4">
        <v>46112</v>
      </c>
      <c r="B514" s="3" t="s">
        <v>407</v>
      </c>
      <c r="C514" s="3" t="s">
        <v>401</v>
      </c>
      <c r="D514" s="3" t="s">
        <v>402</v>
      </c>
      <c r="E514" s="3">
        <v>26</v>
      </c>
      <c r="F514" s="3">
        <v>0</v>
      </c>
      <c r="G514" s="6">
        <v>0.83</v>
      </c>
      <c r="H514" s="3">
        <v>15.9</v>
      </c>
      <c r="I514" s="3">
        <v>211</v>
      </c>
      <c r="J514" s="3">
        <v>47</v>
      </c>
      <c r="K514" s="5">
        <v>4154</v>
      </c>
      <c r="L514" s="3">
        <v>51</v>
      </c>
      <c r="M514" s="3">
        <v>1</v>
      </c>
      <c r="N514" s="6">
        <v>0.88</v>
      </c>
      <c r="O514" s="3" t="s">
        <v>29</v>
      </c>
      <c r="P514" s="3" t="s">
        <v>28</v>
      </c>
    </row>
    <row r="515" spans="1:16" x14ac:dyDescent="0.3">
      <c r="A515" s="4">
        <v>46112</v>
      </c>
      <c r="B515" s="3" t="s">
        <v>407</v>
      </c>
      <c r="C515" s="3" t="s">
        <v>401</v>
      </c>
      <c r="D515" s="3" t="s">
        <v>403</v>
      </c>
      <c r="E515" s="3">
        <v>22</v>
      </c>
      <c r="F515" s="3">
        <v>1</v>
      </c>
      <c r="G515" s="6">
        <v>0.85</v>
      </c>
      <c r="H515" s="3">
        <v>17.899999999999999</v>
      </c>
      <c r="I515" s="3">
        <v>296</v>
      </c>
      <c r="J515" s="3">
        <v>80</v>
      </c>
      <c r="K515" s="5">
        <v>273</v>
      </c>
      <c r="L515" s="3">
        <v>57</v>
      </c>
      <c r="M515" s="3">
        <v>2</v>
      </c>
      <c r="N515" s="6">
        <v>0.76</v>
      </c>
      <c r="O515" s="3" t="s">
        <v>29</v>
      </c>
      <c r="P515" s="3" t="s">
        <v>66</v>
      </c>
    </row>
    <row r="516" spans="1:16" x14ac:dyDescent="0.3">
      <c r="A516" s="4">
        <v>46112</v>
      </c>
      <c r="B516" s="3" t="s">
        <v>407</v>
      </c>
      <c r="C516" s="3" t="s">
        <v>404</v>
      </c>
      <c r="D516" s="3" t="s">
        <v>405</v>
      </c>
      <c r="E516" s="3">
        <v>36</v>
      </c>
      <c r="F516" s="3">
        <v>0</v>
      </c>
      <c r="G516" s="6">
        <v>0.72</v>
      </c>
      <c r="H516" s="3">
        <v>14.4</v>
      </c>
      <c r="I516" s="3">
        <v>92</v>
      </c>
      <c r="J516" s="3">
        <v>17</v>
      </c>
      <c r="K516" s="5">
        <v>3335</v>
      </c>
      <c r="L516" s="3">
        <v>78</v>
      </c>
      <c r="M516" s="3">
        <v>2</v>
      </c>
      <c r="N516" s="6">
        <v>0.65</v>
      </c>
      <c r="O516" s="3" t="s">
        <v>29</v>
      </c>
      <c r="P516" s="3" t="s">
        <v>28</v>
      </c>
    </row>
    <row r="517" spans="1:16" x14ac:dyDescent="0.3">
      <c r="A517" s="4">
        <v>46112</v>
      </c>
      <c r="B517" s="3" t="s">
        <v>407</v>
      </c>
      <c r="C517" s="3" t="s">
        <v>404</v>
      </c>
      <c r="D517" s="3" t="s">
        <v>406</v>
      </c>
      <c r="E517" s="3">
        <v>36</v>
      </c>
      <c r="F517" s="3">
        <v>1</v>
      </c>
      <c r="G517" s="6">
        <v>0.75</v>
      </c>
      <c r="H517" s="3">
        <v>9.5</v>
      </c>
      <c r="I517" s="3">
        <v>196</v>
      </c>
      <c r="J517" s="3">
        <v>146</v>
      </c>
      <c r="K517" s="5">
        <v>4039</v>
      </c>
      <c r="L517" s="3">
        <v>86</v>
      </c>
      <c r="M517" s="3">
        <v>5</v>
      </c>
      <c r="N517" s="6">
        <v>0.56000000000000005</v>
      </c>
      <c r="O517" s="3" t="s">
        <v>37</v>
      </c>
      <c r="P517" s="3" t="s">
        <v>40</v>
      </c>
    </row>
    <row r="518" spans="1:16" x14ac:dyDescent="0.3">
      <c r="A518" s="4">
        <v>46113</v>
      </c>
      <c r="B518" s="3" t="s">
        <v>408</v>
      </c>
      <c r="C518" s="3" t="s">
        <v>398</v>
      </c>
      <c r="D518" s="3" t="s">
        <v>399</v>
      </c>
      <c r="E518" s="3">
        <v>29</v>
      </c>
      <c r="F518" s="3">
        <v>0</v>
      </c>
      <c r="G518" s="6">
        <v>0.82</v>
      </c>
      <c r="H518" s="3">
        <v>10.3</v>
      </c>
      <c r="I518" s="3">
        <v>138</v>
      </c>
      <c r="J518" s="3">
        <v>97</v>
      </c>
      <c r="K518" s="5">
        <v>3093</v>
      </c>
      <c r="L518" s="3">
        <v>2</v>
      </c>
      <c r="M518" s="3">
        <v>2</v>
      </c>
      <c r="N518" s="6">
        <v>0.86</v>
      </c>
      <c r="O518" s="3" t="s">
        <v>26</v>
      </c>
      <c r="P518" s="3" t="s">
        <v>25</v>
      </c>
    </row>
    <row r="519" spans="1:16" x14ac:dyDescent="0.3">
      <c r="A519" s="4">
        <v>46113</v>
      </c>
      <c r="B519" s="3" t="s">
        <v>408</v>
      </c>
      <c r="C519" s="3" t="s">
        <v>398</v>
      </c>
      <c r="D519" s="3" t="s">
        <v>400</v>
      </c>
      <c r="E519" s="3">
        <v>35</v>
      </c>
      <c r="F519" s="3">
        <v>0</v>
      </c>
      <c r="G519" s="6">
        <v>0.86</v>
      </c>
      <c r="H519" s="3">
        <v>11.5</v>
      </c>
      <c r="I519" s="3">
        <v>235</v>
      </c>
      <c r="J519" s="3">
        <v>145</v>
      </c>
      <c r="K519" s="5">
        <v>2194</v>
      </c>
      <c r="L519" s="3">
        <v>46</v>
      </c>
      <c r="M519" s="3">
        <v>0</v>
      </c>
      <c r="N519" s="6">
        <v>0.73</v>
      </c>
      <c r="O519" s="3" t="s">
        <v>29</v>
      </c>
      <c r="P519" s="3" t="s">
        <v>66</v>
      </c>
    </row>
    <row r="520" spans="1:16" x14ac:dyDescent="0.3">
      <c r="A520" s="4">
        <v>46113</v>
      </c>
      <c r="B520" s="3" t="s">
        <v>408</v>
      </c>
      <c r="C520" s="3" t="s">
        <v>401</v>
      </c>
      <c r="D520" s="3" t="s">
        <v>402</v>
      </c>
      <c r="E520" s="3">
        <v>29</v>
      </c>
      <c r="F520" s="3">
        <v>1</v>
      </c>
      <c r="G520" s="6">
        <v>0.87</v>
      </c>
      <c r="H520" s="3">
        <v>11.6</v>
      </c>
      <c r="I520" s="3">
        <v>107</v>
      </c>
      <c r="J520" s="3">
        <v>64</v>
      </c>
      <c r="K520" s="5">
        <v>726</v>
      </c>
      <c r="L520" s="3">
        <v>83</v>
      </c>
      <c r="M520" s="3">
        <v>6</v>
      </c>
      <c r="N520" s="6">
        <v>0.82</v>
      </c>
      <c r="O520" s="3" t="s">
        <v>13</v>
      </c>
      <c r="P520" s="3" t="s">
        <v>12</v>
      </c>
    </row>
    <row r="521" spans="1:16" x14ac:dyDescent="0.3">
      <c r="A521" s="4">
        <v>46113</v>
      </c>
      <c r="B521" s="3" t="s">
        <v>408</v>
      </c>
      <c r="C521" s="3" t="s">
        <v>401</v>
      </c>
      <c r="D521" s="3" t="s">
        <v>403</v>
      </c>
      <c r="E521" s="3">
        <v>29</v>
      </c>
      <c r="F521" s="3">
        <v>1</v>
      </c>
      <c r="G521" s="6">
        <v>0.89</v>
      </c>
      <c r="H521" s="3">
        <v>10.5</v>
      </c>
      <c r="I521" s="3">
        <v>95</v>
      </c>
      <c r="J521" s="3">
        <v>25</v>
      </c>
      <c r="K521" s="5">
        <v>3236</v>
      </c>
      <c r="L521" s="3">
        <v>29</v>
      </c>
      <c r="M521" s="3">
        <v>7</v>
      </c>
      <c r="N521" s="6">
        <v>0.76</v>
      </c>
      <c r="O521" s="3" t="s">
        <v>18</v>
      </c>
      <c r="P521" s="3" t="s">
        <v>55</v>
      </c>
    </row>
    <row r="522" spans="1:16" x14ac:dyDescent="0.3">
      <c r="A522" s="4">
        <v>46113</v>
      </c>
      <c r="B522" s="3" t="s">
        <v>408</v>
      </c>
      <c r="C522" s="3" t="s">
        <v>404</v>
      </c>
      <c r="D522" s="3" t="s">
        <v>405</v>
      </c>
      <c r="E522" s="3">
        <v>38</v>
      </c>
      <c r="F522" s="3">
        <v>3</v>
      </c>
      <c r="G522" s="6">
        <v>0.78</v>
      </c>
      <c r="H522" s="3">
        <v>9.6999999999999993</v>
      </c>
      <c r="I522" s="3">
        <v>219</v>
      </c>
      <c r="J522" s="3">
        <v>112</v>
      </c>
      <c r="K522" s="5">
        <v>762</v>
      </c>
      <c r="L522" s="3">
        <v>64</v>
      </c>
      <c r="M522" s="3">
        <v>9</v>
      </c>
      <c r="N522" s="6">
        <v>0.62</v>
      </c>
      <c r="O522" s="3" t="s">
        <v>26</v>
      </c>
      <c r="P522" s="3" t="s">
        <v>25</v>
      </c>
    </row>
    <row r="523" spans="1:16" x14ac:dyDescent="0.3">
      <c r="A523" s="4">
        <v>46113</v>
      </c>
      <c r="B523" s="3" t="s">
        <v>408</v>
      </c>
      <c r="C523" s="3" t="s">
        <v>404</v>
      </c>
      <c r="D523" s="3" t="s">
        <v>406</v>
      </c>
      <c r="E523" s="3">
        <v>35</v>
      </c>
      <c r="F523" s="3">
        <v>2</v>
      </c>
      <c r="G523" s="6">
        <v>0.81</v>
      </c>
      <c r="H523" s="3">
        <v>17.8</v>
      </c>
      <c r="I523" s="3">
        <v>389</v>
      </c>
      <c r="J523" s="3">
        <v>25</v>
      </c>
      <c r="K523" s="5">
        <v>3403</v>
      </c>
      <c r="L523" s="3">
        <v>116</v>
      </c>
      <c r="M523" s="3">
        <v>7</v>
      </c>
      <c r="N523" s="6">
        <v>0.69</v>
      </c>
      <c r="O523" s="3" t="s">
        <v>37</v>
      </c>
      <c r="P523" s="3" t="s">
        <v>36</v>
      </c>
    </row>
    <row r="524" spans="1:16" x14ac:dyDescent="0.3">
      <c r="A524" s="4">
        <v>46114</v>
      </c>
      <c r="B524" s="3" t="s">
        <v>409</v>
      </c>
      <c r="C524" s="3" t="s">
        <v>398</v>
      </c>
      <c r="D524" s="3" t="s">
        <v>399</v>
      </c>
      <c r="E524" s="3">
        <v>24</v>
      </c>
      <c r="F524" s="3">
        <v>1</v>
      </c>
      <c r="G524" s="6">
        <v>0.83</v>
      </c>
      <c r="H524" s="3">
        <v>9.3000000000000007</v>
      </c>
      <c r="I524" s="3">
        <v>183</v>
      </c>
      <c r="J524" s="3">
        <v>80</v>
      </c>
      <c r="K524" s="5">
        <v>1259</v>
      </c>
      <c r="L524" s="3">
        <v>103</v>
      </c>
      <c r="M524" s="3">
        <v>3</v>
      </c>
      <c r="N524" s="6">
        <v>0.87</v>
      </c>
      <c r="O524" s="3" t="s">
        <v>18</v>
      </c>
      <c r="P524" s="3" t="s">
        <v>55</v>
      </c>
    </row>
    <row r="525" spans="1:16" x14ac:dyDescent="0.3">
      <c r="A525" s="4">
        <v>46114</v>
      </c>
      <c r="B525" s="3" t="s">
        <v>409</v>
      </c>
      <c r="C525" s="3" t="s">
        <v>398</v>
      </c>
      <c r="D525" s="3" t="s">
        <v>400</v>
      </c>
      <c r="E525" s="3">
        <v>31</v>
      </c>
      <c r="F525" s="3">
        <v>0</v>
      </c>
      <c r="G525" s="6">
        <v>0.87</v>
      </c>
      <c r="H525" s="3">
        <v>7.6</v>
      </c>
      <c r="I525" s="3">
        <v>107</v>
      </c>
      <c r="J525" s="3">
        <v>66</v>
      </c>
      <c r="K525" s="5">
        <v>1075</v>
      </c>
      <c r="L525" s="3">
        <v>86</v>
      </c>
      <c r="M525" s="3">
        <v>1</v>
      </c>
      <c r="N525" s="6">
        <v>0.91</v>
      </c>
      <c r="O525" s="3" t="s">
        <v>37</v>
      </c>
      <c r="P525" s="3" t="s">
        <v>40</v>
      </c>
    </row>
    <row r="526" spans="1:16" x14ac:dyDescent="0.3">
      <c r="A526" s="4">
        <v>46114</v>
      </c>
      <c r="B526" s="3" t="s">
        <v>409</v>
      </c>
      <c r="C526" s="3" t="s">
        <v>401</v>
      </c>
      <c r="D526" s="3" t="s">
        <v>402</v>
      </c>
      <c r="E526" s="3">
        <v>35</v>
      </c>
      <c r="F526" s="3">
        <v>2</v>
      </c>
      <c r="G526" s="6">
        <v>0.77</v>
      </c>
      <c r="H526" s="3">
        <v>7.7</v>
      </c>
      <c r="I526" s="3">
        <v>351</v>
      </c>
      <c r="J526" s="3">
        <v>65</v>
      </c>
      <c r="K526" s="5">
        <v>4052</v>
      </c>
      <c r="L526" s="3">
        <v>23</v>
      </c>
      <c r="M526" s="3">
        <v>1</v>
      </c>
      <c r="N526" s="6">
        <v>0.76</v>
      </c>
      <c r="O526" s="3" t="s">
        <v>26</v>
      </c>
      <c r="P526" s="3" t="s">
        <v>33</v>
      </c>
    </row>
    <row r="527" spans="1:16" x14ac:dyDescent="0.3">
      <c r="A527" s="4">
        <v>46114</v>
      </c>
      <c r="B527" s="3" t="s">
        <v>409</v>
      </c>
      <c r="C527" s="3" t="s">
        <v>401</v>
      </c>
      <c r="D527" s="3" t="s">
        <v>403</v>
      </c>
      <c r="E527" s="3">
        <v>37</v>
      </c>
      <c r="F527" s="3">
        <v>0</v>
      </c>
      <c r="G527" s="6">
        <v>0.88</v>
      </c>
      <c r="H527" s="3">
        <v>18.100000000000001</v>
      </c>
      <c r="I527" s="3">
        <v>158</v>
      </c>
      <c r="J527" s="3">
        <v>21</v>
      </c>
      <c r="K527" s="5">
        <v>905</v>
      </c>
      <c r="L527" s="3">
        <v>4</v>
      </c>
      <c r="M527" s="3">
        <v>7</v>
      </c>
      <c r="N527" s="6">
        <v>0.75</v>
      </c>
      <c r="O527" s="3" t="s">
        <v>18</v>
      </c>
      <c r="P527" s="3" t="s">
        <v>55</v>
      </c>
    </row>
    <row r="528" spans="1:16" x14ac:dyDescent="0.3">
      <c r="A528" s="4">
        <v>46114</v>
      </c>
      <c r="B528" s="3" t="s">
        <v>409</v>
      </c>
      <c r="C528" s="3" t="s">
        <v>404</v>
      </c>
      <c r="D528" s="3" t="s">
        <v>405</v>
      </c>
      <c r="E528" s="3">
        <v>30</v>
      </c>
      <c r="F528" s="3">
        <v>1</v>
      </c>
      <c r="G528" s="6">
        <v>0.75</v>
      </c>
      <c r="H528" s="3">
        <v>15.7</v>
      </c>
      <c r="I528" s="3">
        <v>144</v>
      </c>
      <c r="J528" s="3">
        <v>2</v>
      </c>
      <c r="K528" s="5">
        <v>3612</v>
      </c>
      <c r="L528" s="3">
        <v>0</v>
      </c>
      <c r="M528" s="3">
        <v>1</v>
      </c>
      <c r="N528" s="6">
        <v>0.63</v>
      </c>
      <c r="O528" s="3" t="s">
        <v>18</v>
      </c>
      <c r="P528" s="3" t="s">
        <v>17</v>
      </c>
    </row>
    <row r="529" spans="1:16" x14ac:dyDescent="0.3">
      <c r="A529" s="4">
        <v>46114</v>
      </c>
      <c r="B529" s="3" t="s">
        <v>409</v>
      </c>
      <c r="C529" s="3" t="s">
        <v>404</v>
      </c>
      <c r="D529" s="3" t="s">
        <v>406</v>
      </c>
      <c r="E529" s="3">
        <v>33</v>
      </c>
      <c r="F529" s="3">
        <v>1</v>
      </c>
      <c r="G529" s="6">
        <v>0.89</v>
      </c>
      <c r="H529" s="3">
        <v>11.5</v>
      </c>
      <c r="I529" s="3">
        <v>280</v>
      </c>
      <c r="J529" s="3">
        <v>144</v>
      </c>
      <c r="K529" s="5">
        <v>1210</v>
      </c>
      <c r="L529" s="3">
        <v>105</v>
      </c>
      <c r="M529" s="3">
        <v>3</v>
      </c>
      <c r="N529" s="6">
        <v>0.73</v>
      </c>
      <c r="O529" s="3" t="s">
        <v>26</v>
      </c>
      <c r="P529" s="3" t="s">
        <v>25</v>
      </c>
    </row>
    <row r="530" spans="1:16" x14ac:dyDescent="0.3">
      <c r="A530" s="4">
        <v>46115</v>
      </c>
      <c r="B530" s="3" t="s">
        <v>410</v>
      </c>
      <c r="C530" s="3" t="s">
        <v>398</v>
      </c>
      <c r="D530" s="3" t="s">
        <v>399</v>
      </c>
      <c r="E530" s="3">
        <v>23</v>
      </c>
      <c r="F530" s="3">
        <v>0</v>
      </c>
      <c r="G530" s="6">
        <v>0.86</v>
      </c>
      <c r="H530" s="3">
        <v>15.6</v>
      </c>
      <c r="I530" s="3">
        <v>420</v>
      </c>
      <c r="J530" s="3">
        <v>35</v>
      </c>
      <c r="K530" s="5">
        <v>3062</v>
      </c>
      <c r="L530" s="3">
        <v>96</v>
      </c>
      <c r="M530" s="3">
        <v>0</v>
      </c>
      <c r="N530" s="6">
        <v>0.77</v>
      </c>
      <c r="O530" s="3" t="s">
        <v>37</v>
      </c>
      <c r="P530" s="3" t="s">
        <v>40</v>
      </c>
    </row>
    <row r="531" spans="1:16" x14ac:dyDescent="0.3">
      <c r="A531" s="4">
        <v>46115</v>
      </c>
      <c r="B531" s="3" t="s">
        <v>410</v>
      </c>
      <c r="C531" s="3" t="s">
        <v>398</v>
      </c>
      <c r="D531" s="3" t="s">
        <v>400</v>
      </c>
      <c r="E531" s="3">
        <v>26</v>
      </c>
      <c r="F531" s="3">
        <v>1</v>
      </c>
      <c r="G531" s="6">
        <v>0.81</v>
      </c>
      <c r="H531" s="3">
        <v>8.1</v>
      </c>
      <c r="I531" s="3">
        <v>170</v>
      </c>
      <c r="J531" s="3">
        <v>114</v>
      </c>
      <c r="K531" s="5">
        <v>478</v>
      </c>
      <c r="L531" s="3">
        <v>98</v>
      </c>
      <c r="M531" s="3">
        <v>0</v>
      </c>
      <c r="N531" s="6">
        <v>0.8</v>
      </c>
      <c r="O531" s="3" t="s">
        <v>37</v>
      </c>
      <c r="P531" s="3" t="s">
        <v>36</v>
      </c>
    </row>
    <row r="532" spans="1:16" x14ac:dyDescent="0.3">
      <c r="A532" s="4">
        <v>46115</v>
      </c>
      <c r="B532" s="3" t="s">
        <v>410</v>
      </c>
      <c r="C532" s="3" t="s">
        <v>401</v>
      </c>
      <c r="D532" s="3" t="s">
        <v>402</v>
      </c>
      <c r="E532" s="3">
        <v>25</v>
      </c>
      <c r="F532" s="3">
        <v>1</v>
      </c>
      <c r="G532" s="6">
        <v>0.78</v>
      </c>
      <c r="H532" s="3">
        <v>7.8</v>
      </c>
      <c r="I532" s="3">
        <v>233</v>
      </c>
      <c r="J532" s="3">
        <v>16</v>
      </c>
      <c r="K532" s="5">
        <v>3842</v>
      </c>
      <c r="L532" s="3">
        <v>88</v>
      </c>
      <c r="M532" s="3">
        <v>1</v>
      </c>
      <c r="N532" s="6">
        <v>0.8</v>
      </c>
      <c r="O532" s="3" t="s">
        <v>26</v>
      </c>
      <c r="P532" s="3" t="s">
        <v>25</v>
      </c>
    </row>
    <row r="533" spans="1:16" x14ac:dyDescent="0.3">
      <c r="A533" s="4">
        <v>46115</v>
      </c>
      <c r="B533" s="3" t="s">
        <v>410</v>
      </c>
      <c r="C533" s="3" t="s">
        <v>401</v>
      </c>
      <c r="D533" s="3" t="s">
        <v>403</v>
      </c>
      <c r="E533" s="3">
        <v>33</v>
      </c>
      <c r="F533" s="3">
        <v>1</v>
      </c>
      <c r="G533" s="6">
        <v>0.83</v>
      </c>
      <c r="H533" s="3">
        <v>11.6</v>
      </c>
      <c r="I533" s="3">
        <v>353</v>
      </c>
      <c r="J533" s="3">
        <v>122</v>
      </c>
      <c r="K533" s="5">
        <v>1473</v>
      </c>
      <c r="L533" s="3">
        <v>46</v>
      </c>
      <c r="M533" s="3">
        <v>1</v>
      </c>
      <c r="N533" s="6">
        <v>0.69</v>
      </c>
      <c r="O533" s="3" t="s">
        <v>18</v>
      </c>
      <c r="P533" s="3" t="s">
        <v>55</v>
      </c>
    </row>
    <row r="534" spans="1:16" x14ac:dyDescent="0.3">
      <c r="A534" s="4">
        <v>46115</v>
      </c>
      <c r="B534" s="3" t="s">
        <v>410</v>
      </c>
      <c r="C534" s="3" t="s">
        <v>404</v>
      </c>
      <c r="D534" s="3" t="s">
        <v>405</v>
      </c>
      <c r="E534" s="3">
        <v>30</v>
      </c>
      <c r="F534" s="3">
        <v>2</v>
      </c>
      <c r="G534" s="6">
        <v>0.89</v>
      </c>
      <c r="H534" s="3">
        <v>13</v>
      </c>
      <c r="I534" s="3">
        <v>409</v>
      </c>
      <c r="J534" s="3">
        <v>118</v>
      </c>
      <c r="K534" s="5">
        <v>910</v>
      </c>
      <c r="L534" s="3">
        <v>117</v>
      </c>
      <c r="M534" s="3">
        <v>0</v>
      </c>
      <c r="N534" s="6">
        <v>0.89</v>
      </c>
      <c r="O534" s="3" t="s">
        <v>37</v>
      </c>
      <c r="P534" s="3" t="s">
        <v>40</v>
      </c>
    </row>
    <row r="535" spans="1:16" x14ac:dyDescent="0.3">
      <c r="A535" s="4">
        <v>46115</v>
      </c>
      <c r="B535" s="3" t="s">
        <v>410</v>
      </c>
      <c r="C535" s="3" t="s">
        <v>404</v>
      </c>
      <c r="D535" s="3" t="s">
        <v>406</v>
      </c>
      <c r="E535" s="3">
        <v>29</v>
      </c>
      <c r="F535" s="3">
        <v>2</v>
      </c>
      <c r="G535" s="6">
        <v>0.87</v>
      </c>
      <c r="H535" s="3">
        <v>12.3</v>
      </c>
      <c r="I535" s="3">
        <v>40</v>
      </c>
      <c r="J535" s="3">
        <v>74</v>
      </c>
      <c r="K535" s="5">
        <v>2666</v>
      </c>
      <c r="L535" s="3">
        <v>65</v>
      </c>
      <c r="M535" s="3">
        <v>7</v>
      </c>
      <c r="N535" s="6">
        <v>0.87</v>
      </c>
      <c r="O535" s="3" t="s">
        <v>37</v>
      </c>
      <c r="P535" s="3" t="s">
        <v>36</v>
      </c>
    </row>
    <row r="536" spans="1:16" x14ac:dyDescent="0.3">
      <c r="A536" s="4">
        <v>46116</v>
      </c>
      <c r="B536" s="3" t="s">
        <v>411</v>
      </c>
      <c r="C536" s="3" t="s">
        <v>398</v>
      </c>
      <c r="D536" s="3" t="s">
        <v>399</v>
      </c>
      <c r="E536" s="3">
        <v>26</v>
      </c>
      <c r="F536" s="3">
        <v>0</v>
      </c>
      <c r="G536" s="6">
        <v>0.86</v>
      </c>
      <c r="H536" s="3">
        <v>9.1999999999999993</v>
      </c>
      <c r="I536" s="3">
        <v>63</v>
      </c>
      <c r="J536" s="3">
        <v>2</v>
      </c>
      <c r="K536" s="5">
        <v>3176</v>
      </c>
      <c r="L536" s="3">
        <v>84</v>
      </c>
      <c r="M536" s="3">
        <v>6</v>
      </c>
      <c r="N536" s="6">
        <v>0.84</v>
      </c>
      <c r="O536" s="3" t="s">
        <v>37</v>
      </c>
      <c r="P536" s="3" t="s">
        <v>40</v>
      </c>
    </row>
    <row r="537" spans="1:16" x14ac:dyDescent="0.3">
      <c r="A537" s="4">
        <v>46116</v>
      </c>
      <c r="B537" s="3" t="s">
        <v>411</v>
      </c>
      <c r="C537" s="3" t="s">
        <v>398</v>
      </c>
      <c r="D537" s="3" t="s">
        <v>400</v>
      </c>
      <c r="E537" s="3">
        <v>27</v>
      </c>
      <c r="F537" s="3">
        <v>0</v>
      </c>
      <c r="G537" s="6">
        <v>0.86</v>
      </c>
      <c r="H537" s="3">
        <v>8</v>
      </c>
      <c r="I537" s="3">
        <v>146</v>
      </c>
      <c r="J537" s="3">
        <v>87</v>
      </c>
      <c r="K537" s="5">
        <v>654</v>
      </c>
      <c r="L537" s="3">
        <v>81</v>
      </c>
      <c r="M537" s="3">
        <v>6</v>
      </c>
      <c r="N537" s="6">
        <v>0.86</v>
      </c>
      <c r="O537" s="3" t="s">
        <v>37</v>
      </c>
      <c r="P537" s="3" t="s">
        <v>40</v>
      </c>
    </row>
    <row r="538" spans="1:16" x14ac:dyDescent="0.3">
      <c r="A538" s="4">
        <v>46116</v>
      </c>
      <c r="B538" s="3" t="s">
        <v>411</v>
      </c>
      <c r="C538" s="3" t="s">
        <v>401</v>
      </c>
      <c r="D538" s="3" t="s">
        <v>402</v>
      </c>
      <c r="E538" s="3">
        <v>36</v>
      </c>
      <c r="F538" s="3">
        <v>1</v>
      </c>
      <c r="G538" s="6">
        <v>0.85</v>
      </c>
      <c r="H538" s="3">
        <v>11.8</v>
      </c>
      <c r="I538" s="3">
        <v>306</v>
      </c>
      <c r="J538" s="3">
        <v>148</v>
      </c>
      <c r="K538" s="5">
        <v>2271</v>
      </c>
      <c r="L538" s="3">
        <v>83</v>
      </c>
      <c r="M538" s="3">
        <v>8</v>
      </c>
      <c r="N538" s="6">
        <v>0.76</v>
      </c>
      <c r="O538" s="3" t="s">
        <v>18</v>
      </c>
      <c r="P538" s="3" t="s">
        <v>55</v>
      </c>
    </row>
    <row r="539" spans="1:16" x14ac:dyDescent="0.3">
      <c r="A539" s="4">
        <v>46116</v>
      </c>
      <c r="B539" s="3" t="s">
        <v>411</v>
      </c>
      <c r="C539" s="3" t="s">
        <v>401</v>
      </c>
      <c r="D539" s="3" t="s">
        <v>403</v>
      </c>
      <c r="E539" s="3">
        <v>31</v>
      </c>
      <c r="F539" s="3">
        <v>2</v>
      </c>
      <c r="G539" s="6">
        <v>0.77</v>
      </c>
      <c r="H539" s="3">
        <v>14.8</v>
      </c>
      <c r="I539" s="3">
        <v>280</v>
      </c>
      <c r="J539" s="3">
        <v>121</v>
      </c>
      <c r="K539" s="5">
        <v>3555</v>
      </c>
      <c r="L539" s="3">
        <v>94</v>
      </c>
      <c r="M539" s="3">
        <v>5</v>
      </c>
      <c r="N539" s="6">
        <v>0.61</v>
      </c>
      <c r="O539" s="3" t="s">
        <v>26</v>
      </c>
      <c r="P539" s="3" t="s">
        <v>25</v>
      </c>
    </row>
    <row r="540" spans="1:16" x14ac:dyDescent="0.3">
      <c r="A540" s="4">
        <v>46116</v>
      </c>
      <c r="B540" s="3" t="s">
        <v>411</v>
      </c>
      <c r="C540" s="3" t="s">
        <v>404</v>
      </c>
      <c r="D540" s="3" t="s">
        <v>405</v>
      </c>
      <c r="E540" s="3">
        <v>30</v>
      </c>
      <c r="F540" s="3">
        <v>1</v>
      </c>
      <c r="G540" s="6">
        <v>0.78</v>
      </c>
      <c r="H540" s="3">
        <v>10.199999999999999</v>
      </c>
      <c r="I540" s="3">
        <v>70</v>
      </c>
      <c r="J540" s="3">
        <v>84</v>
      </c>
      <c r="K540" s="5">
        <v>807</v>
      </c>
      <c r="L540" s="3">
        <v>104</v>
      </c>
      <c r="M540" s="3">
        <v>5</v>
      </c>
      <c r="N540" s="6">
        <v>0.78</v>
      </c>
      <c r="O540" s="3" t="s">
        <v>13</v>
      </c>
      <c r="P540" s="3" t="s">
        <v>12</v>
      </c>
    </row>
    <row r="541" spans="1:16" x14ac:dyDescent="0.3">
      <c r="A541" s="4">
        <v>46116</v>
      </c>
      <c r="B541" s="3" t="s">
        <v>411</v>
      </c>
      <c r="C541" s="3" t="s">
        <v>404</v>
      </c>
      <c r="D541" s="3" t="s">
        <v>406</v>
      </c>
      <c r="E541" s="3">
        <v>34</v>
      </c>
      <c r="F541" s="3">
        <v>1</v>
      </c>
      <c r="G541" s="6">
        <v>0.86</v>
      </c>
      <c r="H541" s="3">
        <v>8.1999999999999993</v>
      </c>
      <c r="I541" s="3">
        <v>330</v>
      </c>
      <c r="J541" s="3">
        <v>132</v>
      </c>
      <c r="K541" s="5">
        <v>3882</v>
      </c>
      <c r="L541" s="3">
        <v>69</v>
      </c>
      <c r="M541" s="3">
        <v>4</v>
      </c>
      <c r="N541" s="6">
        <v>0.72</v>
      </c>
      <c r="O541" s="3" t="s">
        <v>29</v>
      </c>
      <c r="P541" s="3" t="s">
        <v>28</v>
      </c>
    </row>
    <row r="542" spans="1:16" x14ac:dyDescent="0.3">
      <c r="A542" s="4">
        <v>46117</v>
      </c>
      <c r="B542" s="3" t="s">
        <v>412</v>
      </c>
      <c r="C542" s="3" t="s">
        <v>398</v>
      </c>
      <c r="D542" s="3" t="s">
        <v>399</v>
      </c>
      <c r="E542" s="3">
        <v>30</v>
      </c>
      <c r="F542" s="3">
        <v>0</v>
      </c>
      <c r="G542" s="6">
        <v>0.88</v>
      </c>
      <c r="H542" s="3">
        <v>11.2</v>
      </c>
      <c r="I542" s="3">
        <v>193</v>
      </c>
      <c r="J542" s="3">
        <v>94</v>
      </c>
      <c r="K542" s="5">
        <v>2523</v>
      </c>
      <c r="L542" s="3">
        <v>34</v>
      </c>
      <c r="M542" s="3">
        <v>6</v>
      </c>
      <c r="N542" s="6">
        <v>0.82</v>
      </c>
      <c r="O542" s="3" t="s">
        <v>13</v>
      </c>
      <c r="P542" s="3" t="s">
        <v>12</v>
      </c>
    </row>
    <row r="543" spans="1:16" x14ac:dyDescent="0.3">
      <c r="A543" s="4">
        <v>46117</v>
      </c>
      <c r="B543" s="3" t="s">
        <v>412</v>
      </c>
      <c r="C543" s="3" t="s">
        <v>398</v>
      </c>
      <c r="D543" s="3" t="s">
        <v>400</v>
      </c>
      <c r="E543" s="3">
        <v>28</v>
      </c>
      <c r="F543" s="3">
        <v>3</v>
      </c>
      <c r="G543" s="6">
        <v>0.75</v>
      </c>
      <c r="H543" s="3">
        <v>11.8</v>
      </c>
      <c r="I543" s="3">
        <v>398</v>
      </c>
      <c r="J543" s="3">
        <v>66</v>
      </c>
      <c r="K543" s="5">
        <v>3894</v>
      </c>
      <c r="L543" s="3">
        <v>92</v>
      </c>
      <c r="M543" s="3">
        <v>0</v>
      </c>
      <c r="N543" s="6">
        <v>0.54</v>
      </c>
      <c r="O543" s="3" t="s">
        <v>13</v>
      </c>
      <c r="P543" s="3" t="s">
        <v>21</v>
      </c>
    </row>
    <row r="544" spans="1:16" x14ac:dyDescent="0.3">
      <c r="A544" s="4">
        <v>46117</v>
      </c>
      <c r="B544" s="3" t="s">
        <v>412</v>
      </c>
      <c r="C544" s="3" t="s">
        <v>401</v>
      </c>
      <c r="D544" s="3" t="s">
        <v>402</v>
      </c>
      <c r="E544" s="3">
        <v>25</v>
      </c>
      <c r="F544" s="3">
        <v>3</v>
      </c>
      <c r="G544" s="6">
        <v>0.73</v>
      </c>
      <c r="H544" s="3">
        <v>13.8</v>
      </c>
      <c r="I544" s="3">
        <v>118</v>
      </c>
      <c r="J544" s="3">
        <v>133</v>
      </c>
      <c r="K544" s="5">
        <v>407</v>
      </c>
      <c r="L544" s="3">
        <v>6</v>
      </c>
      <c r="M544" s="3">
        <v>6</v>
      </c>
      <c r="N544" s="6">
        <v>0.69</v>
      </c>
      <c r="O544" s="3" t="s">
        <v>26</v>
      </c>
      <c r="P544" s="3" t="s">
        <v>25</v>
      </c>
    </row>
    <row r="545" spans="1:16" x14ac:dyDescent="0.3">
      <c r="A545" s="4">
        <v>46117</v>
      </c>
      <c r="B545" s="3" t="s">
        <v>412</v>
      </c>
      <c r="C545" s="3" t="s">
        <v>401</v>
      </c>
      <c r="D545" s="3" t="s">
        <v>403</v>
      </c>
      <c r="E545" s="3">
        <v>25</v>
      </c>
      <c r="F545" s="3">
        <v>0</v>
      </c>
      <c r="G545" s="6">
        <v>0.73</v>
      </c>
      <c r="H545" s="3">
        <v>9.4</v>
      </c>
      <c r="I545" s="3">
        <v>120</v>
      </c>
      <c r="J545" s="3">
        <v>39</v>
      </c>
      <c r="K545" s="5">
        <v>2704</v>
      </c>
      <c r="L545" s="3">
        <v>43</v>
      </c>
      <c r="M545" s="3">
        <v>5</v>
      </c>
      <c r="N545" s="6">
        <v>0.6</v>
      </c>
      <c r="O545" s="3" t="s">
        <v>37</v>
      </c>
      <c r="P545" s="3" t="s">
        <v>36</v>
      </c>
    </row>
    <row r="546" spans="1:16" x14ac:dyDescent="0.3">
      <c r="A546" s="4">
        <v>46117</v>
      </c>
      <c r="B546" s="3" t="s">
        <v>412</v>
      </c>
      <c r="C546" s="3" t="s">
        <v>404</v>
      </c>
      <c r="D546" s="3" t="s">
        <v>405</v>
      </c>
      <c r="E546" s="3">
        <v>34</v>
      </c>
      <c r="F546" s="3">
        <v>0</v>
      </c>
      <c r="G546" s="6">
        <v>0.85</v>
      </c>
      <c r="H546" s="3">
        <v>11.2</v>
      </c>
      <c r="I546" s="3">
        <v>390</v>
      </c>
      <c r="J546" s="3">
        <v>105</v>
      </c>
      <c r="K546" s="5">
        <v>3575</v>
      </c>
      <c r="L546" s="3">
        <v>8</v>
      </c>
      <c r="M546" s="3">
        <v>0</v>
      </c>
      <c r="N546" s="6">
        <v>0.77</v>
      </c>
      <c r="O546" s="3" t="s">
        <v>26</v>
      </c>
      <c r="P546" s="3" t="s">
        <v>33</v>
      </c>
    </row>
    <row r="547" spans="1:16" x14ac:dyDescent="0.3">
      <c r="A547" s="4">
        <v>46117</v>
      </c>
      <c r="B547" s="3" t="s">
        <v>412</v>
      </c>
      <c r="C547" s="3" t="s">
        <v>404</v>
      </c>
      <c r="D547" s="3" t="s">
        <v>406</v>
      </c>
      <c r="E547" s="3">
        <v>25</v>
      </c>
      <c r="F547" s="3">
        <v>2</v>
      </c>
      <c r="G547" s="6">
        <v>0.83</v>
      </c>
      <c r="H547" s="3">
        <v>12.6</v>
      </c>
      <c r="I547" s="3">
        <v>225</v>
      </c>
      <c r="J547" s="3">
        <v>122</v>
      </c>
      <c r="K547" s="5">
        <v>3167</v>
      </c>
      <c r="L547" s="3">
        <v>107</v>
      </c>
      <c r="M547" s="3">
        <v>1</v>
      </c>
      <c r="N547" s="6">
        <v>0.81</v>
      </c>
      <c r="O547" s="3" t="s">
        <v>29</v>
      </c>
      <c r="P547" s="3" t="s">
        <v>28</v>
      </c>
    </row>
    <row r="548" spans="1:16" x14ac:dyDescent="0.3">
      <c r="A548" s="4">
        <v>46118</v>
      </c>
      <c r="B548" s="3" t="s">
        <v>397</v>
      </c>
      <c r="C548" s="3" t="s">
        <v>398</v>
      </c>
      <c r="D548" s="3" t="s">
        <v>399</v>
      </c>
      <c r="E548" s="3">
        <v>37</v>
      </c>
      <c r="F548" s="3">
        <v>2</v>
      </c>
      <c r="G548" s="6">
        <v>0.82</v>
      </c>
      <c r="H548" s="3">
        <v>12.8</v>
      </c>
      <c r="I548" s="3">
        <v>411</v>
      </c>
      <c r="J548" s="3">
        <v>3</v>
      </c>
      <c r="K548" s="5">
        <v>3180</v>
      </c>
      <c r="L548" s="3">
        <v>89</v>
      </c>
      <c r="M548" s="3">
        <v>7</v>
      </c>
      <c r="N548" s="6">
        <v>0.82</v>
      </c>
      <c r="O548" s="3" t="s">
        <v>18</v>
      </c>
      <c r="P548" s="3" t="s">
        <v>55</v>
      </c>
    </row>
    <row r="549" spans="1:16" x14ac:dyDescent="0.3">
      <c r="A549" s="4">
        <v>46118</v>
      </c>
      <c r="B549" s="3" t="s">
        <v>397</v>
      </c>
      <c r="C549" s="3" t="s">
        <v>398</v>
      </c>
      <c r="D549" s="3" t="s">
        <v>400</v>
      </c>
      <c r="E549" s="3">
        <v>23</v>
      </c>
      <c r="F549" s="3">
        <v>1</v>
      </c>
      <c r="G549" s="6">
        <v>0.8</v>
      </c>
      <c r="H549" s="3">
        <v>18.100000000000001</v>
      </c>
      <c r="I549" s="3">
        <v>35</v>
      </c>
      <c r="J549" s="3">
        <v>26</v>
      </c>
      <c r="K549" s="5">
        <v>477</v>
      </c>
      <c r="L549" s="3">
        <v>52</v>
      </c>
      <c r="M549" s="3">
        <v>3</v>
      </c>
      <c r="N549" s="6">
        <v>0.7</v>
      </c>
      <c r="O549" s="3" t="s">
        <v>37</v>
      </c>
      <c r="P549" s="3" t="s">
        <v>36</v>
      </c>
    </row>
    <row r="550" spans="1:16" x14ac:dyDescent="0.3">
      <c r="A550" s="4">
        <v>46118</v>
      </c>
      <c r="B550" s="3" t="s">
        <v>397</v>
      </c>
      <c r="C550" s="3" t="s">
        <v>401</v>
      </c>
      <c r="D550" s="3" t="s">
        <v>402</v>
      </c>
      <c r="E550" s="3">
        <v>28</v>
      </c>
      <c r="F550" s="3">
        <v>1</v>
      </c>
      <c r="G550" s="6">
        <v>0.81</v>
      </c>
      <c r="H550" s="3">
        <v>12.8</v>
      </c>
      <c r="I550" s="3">
        <v>211</v>
      </c>
      <c r="J550" s="3">
        <v>108</v>
      </c>
      <c r="K550" s="5">
        <v>2673</v>
      </c>
      <c r="L550" s="3">
        <v>117</v>
      </c>
      <c r="M550" s="3">
        <v>7</v>
      </c>
      <c r="N550" s="6">
        <v>0.69</v>
      </c>
      <c r="O550" s="3" t="s">
        <v>29</v>
      </c>
      <c r="P550" s="3" t="s">
        <v>66</v>
      </c>
    </row>
    <row r="551" spans="1:16" x14ac:dyDescent="0.3">
      <c r="A551" s="4">
        <v>46118</v>
      </c>
      <c r="B551" s="3" t="s">
        <v>397</v>
      </c>
      <c r="C551" s="3" t="s">
        <v>401</v>
      </c>
      <c r="D551" s="3" t="s">
        <v>403</v>
      </c>
      <c r="E551" s="3">
        <v>31</v>
      </c>
      <c r="F551" s="3">
        <v>1</v>
      </c>
      <c r="G551" s="6">
        <v>0.87</v>
      </c>
      <c r="H551" s="3">
        <v>15.5</v>
      </c>
      <c r="I551" s="3">
        <v>424</v>
      </c>
      <c r="J551" s="3">
        <v>138</v>
      </c>
      <c r="K551" s="5">
        <v>3197</v>
      </c>
      <c r="L551" s="3">
        <v>3</v>
      </c>
      <c r="M551" s="3">
        <v>7</v>
      </c>
      <c r="N551" s="6">
        <v>0.84</v>
      </c>
      <c r="O551" s="3" t="s">
        <v>29</v>
      </c>
      <c r="P551" s="3" t="s">
        <v>28</v>
      </c>
    </row>
    <row r="552" spans="1:16" x14ac:dyDescent="0.3">
      <c r="A552" s="4">
        <v>46118</v>
      </c>
      <c r="B552" s="3" t="s">
        <v>397</v>
      </c>
      <c r="C552" s="3" t="s">
        <v>404</v>
      </c>
      <c r="D552" s="3" t="s">
        <v>405</v>
      </c>
      <c r="E552" s="3">
        <v>26</v>
      </c>
      <c r="F552" s="3">
        <v>3</v>
      </c>
      <c r="G552" s="6">
        <v>0.83</v>
      </c>
      <c r="H552" s="3">
        <v>16.100000000000001</v>
      </c>
      <c r="I552" s="3">
        <v>219</v>
      </c>
      <c r="J552" s="3">
        <v>137</v>
      </c>
      <c r="K552" s="5">
        <v>3395</v>
      </c>
      <c r="L552" s="3">
        <v>87</v>
      </c>
      <c r="M552" s="3">
        <v>6</v>
      </c>
      <c r="N552" s="6">
        <v>0.78</v>
      </c>
      <c r="O552" s="3" t="s">
        <v>29</v>
      </c>
      <c r="P552" s="3" t="s">
        <v>66</v>
      </c>
    </row>
    <row r="553" spans="1:16" x14ac:dyDescent="0.3">
      <c r="A553" s="4">
        <v>46118</v>
      </c>
      <c r="B553" s="3" t="s">
        <v>397</v>
      </c>
      <c r="C553" s="3" t="s">
        <v>404</v>
      </c>
      <c r="D553" s="3" t="s">
        <v>406</v>
      </c>
      <c r="E553" s="3">
        <v>24</v>
      </c>
      <c r="F553" s="3">
        <v>3</v>
      </c>
      <c r="G553" s="6">
        <v>0.72</v>
      </c>
      <c r="H553" s="3">
        <v>8.6</v>
      </c>
      <c r="I553" s="3">
        <v>70</v>
      </c>
      <c r="J553" s="3">
        <v>124</v>
      </c>
      <c r="K553" s="5">
        <v>621</v>
      </c>
      <c r="L553" s="3">
        <v>39</v>
      </c>
      <c r="M553" s="3">
        <v>2</v>
      </c>
      <c r="N553" s="6">
        <v>0.66</v>
      </c>
      <c r="O553" s="3" t="s">
        <v>18</v>
      </c>
      <c r="P553" s="3" t="s">
        <v>17</v>
      </c>
    </row>
    <row r="554" spans="1:16" x14ac:dyDescent="0.3">
      <c r="A554" s="4">
        <v>46119</v>
      </c>
      <c r="B554" s="3" t="s">
        <v>407</v>
      </c>
      <c r="C554" s="3" t="s">
        <v>398</v>
      </c>
      <c r="D554" s="3" t="s">
        <v>399</v>
      </c>
      <c r="E554" s="3">
        <v>35</v>
      </c>
      <c r="F554" s="3">
        <v>0</v>
      </c>
      <c r="G554" s="6">
        <v>0.85</v>
      </c>
      <c r="H554" s="3">
        <v>15.4</v>
      </c>
      <c r="I554" s="3">
        <v>395</v>
      </c>
      <c r="J554" s="3">
        <v>139</v>
      </c>
      <c r="K554" s="5">
        <v>3120</v>
      </c>
      <c r="L554" s="3">
        <v>99</v>
      </c>
      <c r="M554" s="3">
        <v>1</v>
      </c>
      <c r="N554" s="6">
        <v>0.76</v>
      </c>
      <c r="O554" s="3" t="s">
        <v>26</v>
      </c>
      <c r="P554" s="3" t="s">
        <v>25</v>
      </c>
    </row>
    <row r="555" spans="1:16" x14ac:dyDescent="0.3">
      <c r="A555" s="4">
        <v>46119</v>
      </c>
      <c r="B555" s="3" t="s">
        <v>407</v>
      </c>
      <c r="C555" s="3" t="s">
        <v>398</v>
      </c>
      <c r="D555" s="3" t="s">
        <v>400</v>
      </c>
      <c r="E555" s="3">
        <v>26</v>
      </c>
      <c r="F555" s="3">
        <v>2</v>
      </c>
      <c r="G555" s="6">
        <v>0.83</v>
      </c>
      <c r="H555" s="3">
        <v>15.4</v>
      </c>
      <c r="I555" s="3">
        <v>406</v>
      </c>
      <c r="J555" s="3">
        <v>128</v>
      </c>
      <c r="K555" s="5">
        <v>2240</v>
      </c>
      <c r="L555" s="3">
        <v>80</v>
      </c>
      <c r="M555" s="3">
        <v>1</v>
      </c>
      <c r="N555" s="6">
        <v>0.85</v>
      </c>
      <c r="O555" s="3" t="s">
        <v>37</v>
      </c>
      <c r="P555" s="3" t="s">
        <v>40</v>
      </c>
    </row>
    <row r="556" spans="1:16" x14ac:dyDescent="0.3">
      <c r="A556" s="4">
        <v>46119</v>
      </c>
      <c r="B556" s="3" t="s">
        <v>407</v>
      </c>
      <c r="C556" s="3" t="s">
        <v>401</v>
      </c>
      <c r="D556" s="3" t="s">
        <v>402</v>
      </c>
      <c r="E556" s="3">
        <v>31</v>
      </c>
      <c r="F556" s="3">
        <v>1</v>
      </c>
      <c r="G556" s="6">
        <v>0.76</v>
      </c>
      <c r="H556" s="3">
        <v>14.2</v>
      </c>
      <c r="I556" s="3">
        <v>376</v>
      </c>
      <c r="J556" s="3">
        <v>92</v>
      </c>
      <c r="K556" s="5">
        <v>3752</v>
      </c>
      <c r="L556" s="3">
        <v>37</v>
      </c>
      <c r="M556" s="3">
        <v>1</v>
      </c>
      <c r="N556" s="6">
        <v>0.75</v>
      </c>
      <c r="O556" s="3" t="s">
        <v>13</v>
      </c>
      <c r="P556" s="3" t="s">
        <v>12</v>
      </c>
    </row>
    <row r="557" spans="1:16" x14ac:dyDescent="0.3">
      <c r="A557" s="4">
        <v>46119</v>
      </c>
      <c r="B557" s="3" t="s">
        <v>407</v>
      </c>
      <c r="C557" s="3" t="s">
        <v>401</v>
      </c>
      <c r="D557" s="3" t="s">
        <v>403</v>
      </c>
      <c r="E557" s="3">
        <v>25</v>
      </c>
      <c r="F557" s="3">
        <v>1</v>
      </c>
      <c r="G557" s="6">
        <v>0.88</v>
      </c>
      <c r="H557" s="3">
        <v>16.399999999999999</v>
      </c>
      <c r="I557" s="3">
        <v>222</v>
      </c>
      <c r="J557" s="3">
        <v>64</v>
      </c>
      <c r="K557" s="5">
        <v>2397</v>
      </c>
      <c r="L557" s="3">
        <v>37</v>
      </c>
      <c r="M557" s="3">
        <v>6</v>
      </c>
      <c r="N557" s="6">
        <v>0.94</v>
      </c>
      <c r="O557" s="3" t="s">
        <v>29</v>
      </c>
      <c r="P557" s="3" t="s">
        <v>28</v>
      </c>
    </row>
    <row r="558" spans="1:16" x14ac:dyDescent="0.3">
      <c r="A558" s="4">
        <v>46119</v>
      </c>
      <c r="B558" s="3" t="s">
        <v>407</v>
      </c>
      <c r="C558" s="3" t="s">
        <v>404</v>
      </c>
      <c r="D558" s="3" t="s">
        <v>405</v>
      </c>
      <c r="E558" s="3">
        <v>36</v>
      </c>
      <c r="F558" s="3">
        <v>0</v>
      </c>
      <c r="G558" s="6">
        <v>0.78</v>
      </c>
      <c r="H558" s="3">
        <v>8</v>
      </c>
      <c r="I558" s="3">
        <v>393</v>
      </c>
      <c r="J558" s="3">
        <v>68</v>
      </c>
      <c r="K558" s="5">
        <v>3398</v>
      </c>
      <c r="L558" s="3">
        <v>106</v>
      </c>
      <c r="M558" s="3">
        <v>5</v>
      </c>
      <c r="N558" s="6">
        <v>0.82</v>
      </c>
      <c r="O558" s="3" t="s">
        <v>37</v>
      </c>
      <c r="P558" s="3" t="s">
        <v>36</v>
      </c>
    </row>
    <row r="559" spans="1:16" x14ac:dyDescent="0.3">
      <c r="A559" s="4">
        <v>46119</v>
      </c>
      <c r="B559" s="3" t="s">
        <v>407</v>
      </c>
      <c r="C559" s="3" t="s">
        <v>404</v>
      </c>
      <c r="D559" s="3" t="s">
        <v>406</v>
      </c>
      <c r="E559" s="3">
        <v>29</v>
      </c>
      <c r="F559" s="3">
        <v>1</v>
      </c>
      <c r="G559" s="6">
        <v>0.75</v>
      </c>
      <c r="H559" s="3">
        <v>12.9</v>
      </c>
      <c r="I559" s="3">
        <v>134</v>
      </c>
      <c r="J559" s="3">
        <v>97</v>
      </c>
      <c r="K559" s="5">
        <v>1474</v>
      </c>
      <c r="L559" s="3">
        <v>12</v>
      </c>
      <c r="M559" s="3">
        <v>0</v>
      </c>
      <c r="N559" s="6">
        <v>0.68</v>
      </c>
      <c r="O559" s="3" t="s">
        <v>13</v>
      </c>
      <c r="P559" s="3" t="s">
        <v>21</v>
      </c>
    </row>
    <row r="560" spans="1:16" x14ac:dyDescent="0.3">
      <c r="A560" s="4">
        <v>46120</v>
      </c>
      <c r="B560" s="3" t="s">
        <v>408</v>
      </c>
      <c r="C560" s="3" t="s">
        <v>398</v>
      </c>
      <c r="D560" s="3" t="s">
        <v>399</v>
      </c>
      <c r="E560" s="3">
        <v>31</v>
      </c>
      <c r="F560" s="3">
        <v>0</v>
      </c>
      <c r="G560" s="6">
        <v>0.74</v>
      </c>
      <c r="H560" s="3">
        <v>17.600000000000001</v>
      </c>
      <c r="I560" s="3">
        <v>189</v>
      </c>
      <c r="J560" s="3">
        <v>136</v>
      </c>
      <c r="K560" s="5">
        <v>4059</v>
      </c>
      <c r="L560" s="3">
        <v>65</v>
      </c>
      <c r="M560" s="3">
        <v>3</v>
      </c>
      <c r="N560" s="6">
        <v>0.75</v>
      </c>
      <c r="O560" s="3" t="s">
        <v>13</v>
      </c>
      <c r="P560" s="3" t="s">
        <v>21</v>
      </c>
    </row>
    <row r="561" spans="1:16" x14ac:dyDescent="0.3">
      <c r="A561" s="4">
        <v>46120</v>
      </c>
      <c r="B561" s="3" t="s">
        <v>408</v>
      </c>
      <c r="C561" s="3" t="s">
        <v>398</v>
      </c>
      <c r="D561" s="3" t="s">
        <v>400</v>
      </c>
      <c r="E561" s="3">
        <v>38</v>
      </c>
      <c r="F561" s="3">
        <v>3</v>
      </c>
      <c r="G561" s="6">
        <v>0.85</v>
      </c>
      <c r="H561" s="3">
        <v>14.4</v>
      </c>
      <c r="I561" s="3">
        <v>276</v>
      </c>
      <c r="J561" s="3">
        <v>25</v>
      </c>
      <c r="K561" s="5">
        <v>2124</v>
      </c>
      <c r="L561" s="3">
        <v>38</v>
      </c>
      <c r="M561" s="3">
        <v>7</v>
      </c>
      <c r="N561" s="6">
        <v>0.67</v>
      </c>
      <c r="O561" s="3" t="s">
        <v>18</v>
      </c>
      <c r="P561" s="3" t="s">
        <v>55</v>
      </c>
    </row>
    <row r="562" spans="1:16" x14ac:dyDescent="0.3">
      <c r="A562" s="4">
        <v>46120</v>
      </c>
      <c r="B562" s="3" t="s">
        <v>408</v>
      </c>
      <c r="C562" s="3" t="s">
        <v>401</v>
      </c>
      <c r="D562" s="3" t="s">
        <v>402</v>
      </c>
      <c r="E562" s="3">
        <v>26</v>
      </c>
      <c r="F562" s="3">
        <v>1</v>
      </c>
      <c r="G562" s="6">
        <v>0.85</v>
      </c>
      <c r="H562" s="3">
        <v>9.6999999999999993</v>
      </c>
      <c r="I562" s="3">
        <v>219</v>
      </c>
      <c r="J562" s="3">
        <v>143</v>
      </c>
      <c r="K562" s="5">
        <v>4183</v>
      </c>
      <c r="L562" s="3">
        <v>92</v>
      </c>
      <c r="M562" s="3">
        <v>2</v>
      </c>
      <c r="N562" s="6">
        <v>0.71</v>
      </c>
      <c r="O562" s="3" t="s">
        <v>18</v>
      </c>
      <c r="P562" s="3" t="s">
        <v>55</v>
      </c>
    </row>
    <row r="563" spans="1:16" x14ac:dyDescent="0.3">
      <c r="A563" s="4">
        <v>46120</v>
      </c>
      <c r="B563" s="3" t="s">
        <v>408</v>
      </c>
      <c r="C563" s="3" t="s">
        <v>401</v>
      </c>
      <c r="D563" s="3" t="s">
        <v>403</v>
      </c>
      <c r="E563" s="3">
        <v>27</v>
      </c>
      <c r="F563" s="3">
        <v>0</v>
      </c>
      <c r="G563" s="6">
        <v>0.84</v>
      </c>
      <c r="H563" s="3">
        <v>13.5</v>
      </c>
      <c r="I563" s="3">
        <v>408</v>
      </c>
      <c r="J563" s="3">
        <v>97</v>
      </c>
      <c r="K563" s="5">
        <v>3732</v>
      </c>
      <c r="L563" s="3">
        <v>27</v>
      </c>
      <c r="M563" s="3">
        <v>5</v>
      </c>
      <c r="N563" s="6">
        <v>0.81</v>
      </c>
      <c r="O563" s="3" t="s">
        <v>13</v>
      </c>
      <c r="P563" s="3" t="s">
        <v>21</v>
      </c>
    </row>
    <row r="564" spans="1:16" x14ac:dyDescent="0.3">
      <c r="A564" s="4">
        <v>46120</v>
      </c>
      <c r="B564" s="3" t="s">
        <v>408</v>
      </c>
      <c r="C564" s="3" t="s">
        <v>404</v>
      </c>
      <c r="D564" s="3" t="s">
        <v>405</v>
      </c>
      <c r="E564" s="3">
        <v>35</v>
      </c>
      <c r="F564" s="3">
        <v>0</v>
      </c>
      <c r="G564" s="6">
        <v>0.79</v>
      </c>
      <c r="H564" s="3">
        <v>10.9</v>
      </c>
      <c r="I564" s="3">
        <v>274</v>
      </c>
      <c r="J564" s="3">
        <v>34</v>
      </c>
      <c r="K564" s="5">
        <v>1966</v>
      </c>
      <c r="L564" s="3">
        <v>8</v>
      </c>
      <c r="M564" s="3">
        <v>3</v>
      </c>
      <c r="N564" s="6">
        <v>0.74</v>
      </c>
      <c r="O564" s="3" t="s">
        <v>18</v>
      </c>
      <c r="P564" s="3" t="s">
        <v>55</v>
      </c>
    </row>
    <row r="565" spans="1:16" x14ac:dyDescent="0.3">
      <c r="A565" s="4">
        <v>46120</v>
      </c>
      <c r="B565" s="3" t="s">
        <v>408</v>
      </c>
      <c r="C565" s="3" t="s">
        <v>404</v>
      </c>
      <c r="D565" s="3" t="s">
        <v>406</v>
      </c>
      <c r="E565" s="3">
        <v>33</v>
      </c>
      <c r="F565" s="3">
        <v>1</v>
      </c>
      <c r="G565" s="6">
        <v>0.78</v>
      </c>
      <c r="H565" s="3">
        <v>16</v>
      </c>
      <c r="I565" s="3">
        <v>391</v>
      </c>
      <c r="J565" s="3">
        <v>32</v>
      </c>
      <c r="K565" s="5">
        <v>1426</v>
      </c>
      <c r="L565" s="3">
        <v>78</v>
      </c>
      <c r="M565" s="3">
        <v>5</v>
      </c>
      <c r="N565" s="6">
        <v>0.79</v>
      </c>
      <c r="O565" s="3" t="s">
        <v>13</v>
      </c>
      <c r="P565" s="3" t="s">
        <v>12</v>
      </c>
    </row>
    <row r="566" spans="1:16" x14ac:dyDescent="0.3">
      <c r="A566" s="4">
        <v>46121</v>
      </c>
      <c r="B566" s="3" t="s">
        <v>409</v>
      </c>
      <c r="C566" s="3" t="s">
        <v>398</v>
      </c>
      <c r="D566" s="3" t="s">
        <v>399</v>
      </c>
      <c r="E566" s="3">
        <v>33</v>
      </c>
      <c r="F566" s="3">
        <v>2</v>
      </c>
      <c r="G566" s="6">
        <v>0.87</v>
      </c>
      <c r="H566" s="3">
        <v>8.5</v>
      </c>
      <c r="I566" s="3">
        <v>225</v>
      </c>
      <c r="J566" s="3">
        <v>9</v>
      </c>
      <c r="K566" s="5">
        <v>3699</v>
      </c>
      <c r="L566" s="3">
        <v>94</v>
      </c>
      <c r="M566" s="3">
        <v>7</v>
      </c>
      <c r="N566" s="6">
        <v>0.76</v>
      </c>
      <c r="O566" s="3" t="s">
        <v>29</v>
      </c>
      <c r="P566" s="3" t="s">
        <v>66</v>
      </c>
    </row>
    <row r="567" spans="1:16" x14ac:dyDescent="0.3">
      <c r="A567" s="4">
        <v>46121</v>
      </c>
      <c r="B567" s="3" t="s">
        <v>409</v>
      </c>
      <c r="C567" s="3" t="s">
        <v>398</v>
      </c>
      <c r="D567" s="3" t="s">
        <v>400</v>
      </c>
      <c r="E567" s="3">
        <v>30</v>
      </c>
      <c r="F567" s="3">
        <v>0</v>
      </c>
      <c r="G567" s="6">
        <v>0.89</v>
      </c>
      <c r="H567" s="3">
        <v>8.5</v>
      </c>
      <c r="I567" s="3">
        <v>294</v>
      </c>
      <c r="J567" s="3">
        <v>90</v>
      </c>
      <c r="K567" s="5">
        <v>3614</v>
      </c>
      <c r="L567" s="3">
        <v>10</v>
      </c>
      <c r="M567" s="3">
        <v>5</v>
      </c>
      <c r="N567" s="6">
        <v>0.96</v>
      </c>
      <c r="O567" s="3" t="s">
        <v>37</v>
      </c>
      <c r="P567" s="3" t="s">
        <v>36</v>
      </c>
    </row>
    <row r="568" spans="1:16" x14ac:dyDescent="0.3">
      <c r="A568" s="4">
        <v>46121</v>
      </c>
      <c r="B568" s="3" t="s">
        <v>409</v>
      </c>
      <c r="C568" s="3" t="s">
        <v>401</v>
      </c>
      <c r="D568" s="3" t="s">
        <v>402</v>
      </c>
      <c r="E568" s="3">
        <v>28</v>
      </c>
      <c r="F568" s="3">
        <v>0</v>
      </c>
      <c r="G568" s="6">
        <v>0.85</v>
      </c>
      <c r="H568" s="3">
        <v>18</v>
      </c>
      <c r="I568" s="3">
        <v>296</v>
      </c>
      <c r="J568" s="3">
        <v>42</v>
      </c>
      <c r="K568" s="5">
        <v>870</v>
      </c>
      <c r="L568" s="3">
        <v>88</v>
      </c>
      <c r="M568" s="3">
        <v>0</v>
      </c>
      <c r="N568" s="6">
        <v>0.84</v>
      </c>
      <c r="O568" s="3" t="s">
        <v>26</v>
      </c>
      <c r="P568" s="3" t="s">
        <v>33</v>
      </c>
    </row>
    <row r="569" spans="1:16" x14ac:dyDescent="0.3">
      <c r="A569" s="4">
        <v>46121</v>
      </c>
      <c r="B569" s="3" t="s">
        <v>409</v>
      </c>
      <c r="C569" s="3" t="s">
        <v>401</v>
      </c>
      <c r="D569" s="3" t="s">
        <v>403</v>
      </c>
      <c r="E569" s="3">
        <v>23</v>
      </c>
      <c r="F569" s="3">
        <v>2</v>
      </c>
      <c r="G569" s="6">
        <v>0.77</v>
      </c>
      <c r="H569" s="3">
        <v>7.9</v>
      </c>
      <c r="I569" s="3">
        <v>270</v>
      </c>
      <c r="J569" s="3">
        <v>38</v>
      </c>
      <c r="K569" s="5">
        <v>3846</v>
      </c>
      <c r="L569" s="3">
        <v>47</v>
      </c>
      <c r="M569" s="3">
        <v>5</v>
      </c>
      <c r="N569" s="6">
        <v>0.62</v>
      </c>
      <c r="O569" s="3" t="s">
        <v>37</v>
      </c>
      <c r="P569" s="3" t="s">
        <v>36</v>
      </c>
    </row>
    <row r="570" spans="1:16" x14ac:dyDescent="0.3">
      <c r="A570" s="4">
        <v>46121</v>
      </c>
      <c r="B570" s="3" t="s">
        <v>409</v>
      </c>
      <c r="C570" s="3" t="s">
        <v>404</v>
      </c>
      <c r="D570" s="3" t="s">
        <v>405</v>
      </c>
      <c r="E570" s="3">
        <v>32</v>
      </c>
      <c r="F570" s="3">
        <v>0</v>
      </c>
      <c r="G570" s="6">
        <v>0.8</v>
      </c>
      <c r="H570" s="3">
        <v>18.100000000000001</v>
      </c>
      <c r="I570" s="3">
        <v>302</v>
      </c>
      <c r="J570" s="3">
        <v>54</v>
      </c>
      <c r="K570" s="5">
        <v>4373</v>
      </c>
      <c r="L570" s="3">
        <v>118</v>
      </c>
      <c r="M570" s="3">
        <v>3</v>
      </c>
      <c r="N570" s="6">
        <v>0.8</v>
      </c>
      <c r="O570" s="3" t="s">
        <v>18</v>
      </c>
      <c r="P570" s="3" t="s">
        <v>17</v>
      </c>
    </row>
    <row r="571" spans="1:16" x14ac:dyDescent="0.3">
      <c r="A571" s="4">
        <v>46121</v>
      </c>
      <c r="B571" s="3" t="s">
        <v>409</v>
      </c>
      <c r="C571" s="3" t="s">
        <v>404</v>
      </c>
      <c r="D571" s="3" t="s">
        <v>406</v>
      </c>
      <c r="E571" s="3">
        <v>23</v>
      </c>
      <c r="F571" s="3">
        <v>0</v>
      </c>
      <c r="G571" s="6">
        <v>0.79</v>
      </c>
      <c r="H571" s="3">
        <v>14.5</v>
      </c>
      <c r="I571" s="3">
        <v>325</v>
      </c>
      <c r="J571" s="3">
        <v>23</v>
      </c>
      <c r="K571" s="5">
        <v>1407</v>
      </c>
      <c r="L571" s="3">
        <v>63</v>
      </c>
      <c r="M571" s="3">
        <v>2</v>
      </c>
      <c r="N571" s="6">
        <v>0.81</v>
      </c>
      <c r="O571" s="3" t="s">
        <v>37</v>
      </c>
      <c r="P571" s="3" t="s">
        <v>36</v>
      </c>
    </row>
    <row r="572" spans="1:16" x14ac:dyDescent="0.3">
      <c r="A572" s="4">
        <v>46122</v>
      </c>
      <c r="B572" s="3" t="s">
        <v>410</v>
      </c>
      <c r="C572" s="3" t="s">
        <v>398</v>
      </c>
      <c r="D572" s="3" t="s">
        <v>399</v>
      </c>
      <c r="E572" s="3">
        <v>30</v>
      </c>
      <c r="F572" s="3">
        <v>0</v>
      </c>
      <c r="G572" s="6">
        <v>0.88</v>
      </c>
      <c r="H572" s="3">
        <v>16.899999999999999</v>
      </c>
      <c r="I572" s="3">
        <v>395</v>
      </c>
      <c r="J572" s="3">
        <v>72</v>
      </c>
      <c r="K572" s="5">
        <v>2165</v>
      </c>
      <c r="L572" s="3">
        <v>18</v>
      </c>
      <c r="M572" s="3">
        <v>5</v>
      </c>
      <c r="N572" s="6">
        <v>0.94</v>
      </c>
      <c r="O572" s="3" t="s">
        <v>37</v>
      </c>
      <c r="P572" s="3" t="s">
        <v>40</v>
      </c>
    </row>
    <row r="573" spans="1:16" x14ac:dyDescent="0.3">
      <c r="A573" s="4">
        <v>46122</v>
      </c>
      <c r="B573" s="3" t="s">
        <v>410</v>
      </c>
      <c r="C573" s="3" t="s">
        <v>398</v>
      </c>
      <c r="D573" s="3" t="s">
        <v>400</v>
      </c>
      <c r="E573" s="3">
        <v>32</v>
      </c>
      <c r="F573" s="3">
        <v>2</v>
      </c>
      <c r="G573" s="6">
        <v>0.8</v>
      </c>
      <c r="H573" s="3">
        <v>17.7</v>
      </c>
      <c r="I573" s="3">
        <v>389</v>
      </c>
      <c r="J573" s="3">
        <v>128</v>
      </c>
      <c r="K573" s="5">
        <v>1492</v>
      </c>
      <c r="L573" s="3">
        <v>30</v>
      </c>
      <c r="M573" s="3">
        <v>6</v>
      </c>
      <c r="N573" s="6">
        <v>0.68</v>
      </c>
      <c r="O573" s="3" t="s">
        <v>37</v>
      </c>
      <c r="P573" s="3" t="s">
        <v>36</v>
      </c>
    </row>
    <row r="574" spans="1:16" x14ac:dyDescent="0.3">
      <c r="A574" s="4">
        <v>46122</v>
      </c>
      <c r="B574" s="3" t="s">
        <v>410</v>
      </c>
      <c r="C574" s="3" t="s">
        <v>401</v>
      </c>
      <c r="D574" s="3" t="s">
        <v>402</v>
      </c>
      <c r="E574" s="3">
        <v>32</v>
      </c>
      <c r="F574" s="3">
        <v>2</v>
      </c>
      <c r="G574" s="6">
        <v>0.85</v>
      </c>
      <c r="H574" s="3">
        <v>7.5</v>
      </c>
      <c r="I574" s="3">
        <v>269</v>
      </c>
      <c r="J574" s="3">
        <v>17</v>
      </c>
      <c r="K574" s="5">
        <v>1887</v>
      </c>
      <c r="L574" s="3">
        <v>110</v>
      </c>
      <c r="M574" s="3">
        <v>2</v>
      </c>
      <c r="N574" s="6">
        <v>0.74</v>
      </c>
      <c r="O574" s="3" t="s">
        <v>29</v>
      </c>
      <c r="P574" s="3" t="s">
        <v>66</v>
      </c>
    </row>
    <row r="575" spans="1:16" x14ac:dyDescent="0.3">
      <c r="A575" s="4">
        <v>46122</v>
      </c>
      <c r="B575" s="3" t="s">
        <v>410</v>
      </c>
      <c r="C575" s="3" t="s">
        <v>401</v>
      </c>
      <c r="D575" s="3" t="s">
        <v>403</v>
      </c>
      <c r="E575" s="3">
        <v>34</v>
      </c>
      <c r="F575" s="3">
        <v>2</v>
      </c>
      <c r="G575" s="6">
        <v>0.86</v>
      </c>
      <c r="H575" s="3">
        <v>18.3</v>
      </c>
      <c r="I575" s="3">
        <v>41</v>
      </c>
      <c r="J575" s="3">
        <v>73</v>
      </c>
      <c r="K575" s="5">
        <v>2683</v>
      </c>
      <c r="L575" s="3">
        <v>38</v>
      </c>
      <c r="M575" s="3">
        <v>2</v>
      </c>
      <c r="N575" s="6">
        <v>0.89</v>
      </c>
      <c r="O575" s="3" t="s">
        <v>29</v>
      </c>
      <c r="P575" s="3" t="s">
        <v>28</v>
      </c>
    </row>
    <row r="576" spans="1:16" x14ac:dyDescent="0.3">
      <c r="A576" s="4">
        <v>46122</v>
      </c>
      <c r="B576" s="3" t="s">
        <v>410</v>
      </c>
      <c r="C576" s="3" t="s">
        <v>404</v>
      </c>
      <c r="D576" s="3" t="s">
        <v>405</v>
      </c>
      <c r="E576" s="3">
        <v>38</v>
      </c>
      <c r="F576" s="3">
        <v>3</v>
      </c>
      <c r="G576" s="6">
        <v>0.88</v>
      </c>
      <c r="H576" s="3">
        <v>8.6</v>
      </c>
      <c r="I576" s="3">
        <v>248</v>
      </c>
      <c r="J576" s="3">
        <v>46</v>
      </c>
      <c r="K576" s="5">
        <v>779</v>
      </c>
      <c r="L576" s="3">
        <v>58</v>
      </c>
      <c r="M576" s="3">
        <v>5</v>
      </c>
      <c r="N576" s="6">
        <v>0.84</v>
      </c>
      <c r="O576" s="3" t="s">
        <v>29</v>
      </c>
      <c r="P576" s="3" t="s">
        <v>28</v>
      </c>
    </row>
    <row r="577" spans="1:16" x14ac:dyDescent="0.3">
      <c r="A577" s="4">
        <v>46122</v>
      </c>
      <c r="B577" s="3" t="s">
        <v>410</v>
      </c>
      <c r="C577" s="3" t="s">
        <v>404</v>
      </c>
      <c r="D577" s="3" t="s">
        <v>406</v>
      </c>
      <c r="E577" s="3">
        <v>30</v>
      </c>
      <c r="F577" s="3">
        <v>1</v>
      </c>
      <c r="G577" s="6">
        <v>0.77</v>
      </c>
      <c r="H577" s="3">
        <v>12.1</v>
      </c>
      <c r="I577" s="3">
        <v>435</v>
      </c>
      <c r="J577" s="3">
        <v>135</v>
      </c>
      <c r="K577" s="5">
        <v>587</v>
      </c>
      <c r="L577" s="3">
        <v>36</v>
      </c>
      <c r="M577" s="3">
        <v>6</v>
      </c>
      <c r="N577" s="6">
        <v>0.68</v>
      </c>
      <c r="O577" s="3" t="s">
        <v>13</v>
      </c>
      <c r="P577" s="3" t="s">
        <v>12</v>
      </c>
    </row>
    <row r="578" spans="1:16" x14ac:dyDescent="0.3">
      <c r="A578" s="4">
        <v>46123</v>
      </c>
      <c r="B578" s="3" t="s">
        <v>411</v>
      </c>
      <c r="C578" s="3" t="s">
        <v>398</v>
      </c>
      <c r="D578" s="3" t="s">
        <v>399</v>
      </c>
      <c r="E578" s="3">
        <v>25</v>
      </c>
      <c r="F578" s="3">
        <v>0</v>
      </c>
      <c r="G578" s="6">
        <v>0.76</v>
      </c>
      <c r="H578" s="3">
        <v>11.2</v>
      </c>
      <c r="I578" s="3">
        <v>338</v>
      </c>
      <c r="J578" s="3">
        <v>114</v>
      </c>
      <c r="K578" s="5">
        <v>3828</v>
      </c>
      <c r="L578" s="3">
        <v>93</v>
      </c>
      <c r="M578" s="3">
        <v>2</v>
      </c>
      <c r="N578" s="6">
        <v>0.82</v>
      </c>
      <c r="O578" s="3" t="s">
        <v>37</v>
      </c>
      <c r="P578" s="3" t="s">
        <v>40</v>
      </c>
    </row>
    <row r="579" spans="1:16" x14ac:dyDescent="0.3">
      <c r="A579" s="4">
        <v>46123</v>
      </c>
      <c r="B579" s="3" t="s">
        <v>411</v>
      </c>
      <c r="C579" s="3" t="s">
        <v>398</v>
      </c>
      <c r="D579" s="3" t="s">
        <v>400</v>
      </c>
      <c r="E579" s="3">
        <v>38</v>
      </c>
      <c r="F579" s="3">
        <v>1</v>
      </c>
      <c r="G579" s="6">
        <v>0.87</v>
      </c>
      <c r="H579" s="3">
        <v>15.7</v>
      </c>
      <c r="I579" s="3">
        <v>320</v>
      </c>
      <c r="J579" s="3">
        <v>37</v>
      </c>
      <c r="K579" s="5">
        <v>3033</v>
      </c>
      <c r="L579" s="3">
        <v>25</v>
      </c>
      <c r="M579" s="3">
        <v>0</v>
      </c>
      <c r="N579" s="6">
        <v>0.89</v>
      </c>
      <c r="O579" s="3" t="s">
        <v>37</v>
      </c>
      <c r="P579" s="3" t="s">
        <v>40</v>
      </c>
    </row>
    <row r="580" spans="1:16" x14ac:dyDescent="0.3">
      <c r="A580" s="4">
        <v>46123</v>
      </c>
      <c r="B580" s="3" t="s">
        <v>411</v>
      </c>
      <c r="C580" s="3" t="s">
        <v>401</v>
      </c>
      <c r="D580" s="3" t="s">
        <v>402</v>
      </c>
      <c r="E580" s="3">
        <v>24</v>
      </c>
      <c r="F580" s="3">
        <v>1</v>
      </c>
      <c r="G580" s="6">
        <v>0.73</v>
      </c>
      <c r="H580" s="3">
        <v>17</v>
      </c>
      <c r="I580" s="3">
        <v>241</v>
      </c>
      <c r="J580" s="3">
        <v>61</v>
      </c>
      <c r="K580" s="5">
        <v>3013</v>
      </c>
      <c r="L580" s="3">
        <v>4</v>
      </c>
      <c r="M580" s="3">
        <v>1</v>
      </c>
      <c r="N580" s="6">
        <v>0.64</v>
      </c>
      <c r="O580" s="3" t="s">
        <v>26</v>
      </c>
      <c r="P580" s="3" t="s">
        <v>33</v>
      </c>
    </row>
    <row r="581" spans="1:16" x14ac:dyDescent="0.3">
      <c r="A581" s="4">
        <v>46123</v>
      </c>
      <c r="B581" s="3" t="s">
        <v>411</v>
      </c>
      <c r="C581" s="3" t="s">
        <v>401</v>
      </c>
      <c r="D581" s="3" t="s">
        <v>403</v>
      </c>
      <c r="E581" s="3">
        <v>35</v>
      </c>
      <c r="F581" s="3">
        <v>0</v>
      </c>
      <c r="G581" s="6">
        <v>0.78</v>
      </c>
      <c r="H581" s="3">
        <v>18</v>
      </c>
      <c r="I581" s="3">
        <v>100</v>
      </c>
      <c r="J581" s="3">
        <v>18</v>
      </c>
      <c r="K581" s="5">
        <v>2260</v>
      </c>
      <c r="L581" s="3">
        <v>39</v>
      </c>
      <c r="M581" s="3">
        <v>6</v>
      </c>
      <c r="N581" s="6">
        <v>0.86</v>
      </c>
      <c r="O581" s="3" t="s">
        <v>13</v>
      </c>
      <c r="P581" s="3" t="s">
        <v>21</v>
      </c>
    </row>
    <row r="582" spans="1:16" x14ac:dyDescent="0.3">
      <c r="A582" s="4">
        <v>46123</v>
      </c>
      <c r="B582" s="3" t="s">
        <v>411</v>
      </c>
      <c r="C582" s="3" t="s">
        <v>404</v>
      </c>
      <c r="D582" s="3" t="s">
        <v>405</v>
      </c>
      <c r="E582" s="3">
        <v>35</v>
      </c>
      <c r="F582" s="3">
        <v>0</v>
      </c>
      <c r="G582" s="6">
        <v>0.73</v>
      </c>
      <c r="H582" s="3">
        <v>7.5</v>
      </c>
      <c r="I582" s="3">
        <v>342</v>
      </c>
      <c r="J582" s="3">
        <v>89</v>
      </c>
      <c r="K582" s="5">
        <v>1081</v>
      </c>
      <c r="L582" s="3">
        <v>5</v>
      </c>
      <c r="M582" s="3">
        <v>1</v>
      </c>
      <c r="N582" s="6">
        <v>0.68</v>
      </c>
      <c r="O582" s="3" t="s">
        <v>29</v>
      </c>
      <c r="P582" s="3" t="s">
        <v>66</v>
      </c>
    </row>
    <row r="583" spans="1:16" x14ac:dyDescent="0.3">
      <c r="A583" s="4">
        <v>46123</v>
      </c>
      <c r="B583" s="3" t="s">
        <v>411</v>
      </c>
      <c r="C583" s="3" t="s">
        <v>404</v>
      </c>
      <c r="D583" s="3" t="s">
        <v>406</v>
      </c>
      <c r="E583" s="3">
        <v>25</v>
      </c>
      <c r="F583" s="3">
        <v>0</v>
      </c>
      <c r="G583" s="6">
        <v>0.83</v>
      </c>
      <c r="H583" s="3">
        <v>10.9</v>
      </c>
      <c r="I583" s="3">
        <v>92</v>
      </c>
      <c r="J583" s="3">
        <v>110</v>
      </c>
      <c r="K583" s="5">
        <v>269</v>
      </c>
      <c r="L583" s="3">
        <v>21</v>
      </c>
      <c r="M583" s="3">
        <v>1</v>
      </c>
      <c r="N583" s="6">
        <v>0.74</v>
      </c>
      <c r="O583" s="3" t="s">
        <v>18</v>
      </c>
      <c r="P583" s="3" t="s">
        <v>17</v>
      </c>
    </row>
    <row r="584" spans="1:16" x14ac:dyDescent="0.3">
      <c r="A584" s="4">
        <v>46124</v>
      </c>
      <c r="B584" s="3" t="s">
        <v>412</v>
      </c>
      <c r="C584" s="3" t="s">
        <v>398</v>
      </c>
      <c r="D584" s="3" t="s">
        <v>399</v>
      </c>
      <c r="E584" s="3">
        <v>25</v>
      </c>
      <c r="F584" s="3">
        <v>1</v>
      </c>
      <c r="G584" s="6">
        <v>0.73</v>
      </c>
      <c r="H584" s="3">
        <v>18.399999999999999</v>
      </c>
      <c r="I584" s="3">
        <v>42</v>
      </c>
      <c r="J584" s="3">
        <v>84</v>
      </c>
      <c r="K584" s="5">
        <v>407</v>
      </c>
      <c r="L584" s="3">
        <v>47</v>
      </c>
      <c r="M584" s="3">
        <v>0</v>
      </c>
      <c r="N584" s="6">
        <v>0.65</v>
      </c>
      <c r="O584" s="3" t="s">
        <v>29</v>
      </c>
      <c r="P584" s="3" t="s">
        <v>28</v>
      </c>
    </row>
    <row r="585" spans="1:16" x14ac:dyDescent="0.3">
      <c r="A585" s="4">
        <v>46124</v>
      </c>
      <c r="B585" s="3" t="s">
        <v>412</v>
      </c>
      <c r="C585" s="3" t="s">
        <v>398</v>
      </c>
      <c r="D585" s="3" t="s">
        <v>400</v>
      </c>
      <c r="E585" s="3">
        <v>31</v>
      </c>
      <c r="F585" s="3">
        <v>0</v>
      </c>
      <c r="G585" s="6">
        <v>0.75</v>
      </c>
      <c r="H585" s="3">
        <v>17</v>
      </c>
      <c r="I585" s="3">
        <v>357</v>
      </c>
      <c r="J585" s="3">
        <v>143</v>
      </c>
      <c r="K585" s="5">
        <v>3291</v>
      </c>
      <c r="L585" s="3">
        <v>75</v>
      </c>
      <c r="M585" s="3">
        <v>4</v>
      </c>
      <c r="N585" s="6">
        <v>0.64</v>
      </c>
      <c r="O585" s="3" t="s">
        <v>37</v>
      </c>
      <c r="P585" s="3" t="s">
        <v>40</v>
      </c>
    </row>
    <row r="586" spans="1:16" x14ac:dyDescent="0.3">
      <c r="A586" s="4">
        <v>46124</v>
      </c>
      <c r="B586" s="3" t="s">
        <v>412</v>
      </c>
      <c r="C586" s="3" t="s">
        <v>401</v>
      </c>
      <c r="D586" s="3" t="s">
        <v>402</v>
      </c>
      <c r="E586" s="3">
        <v>27</v>
      </c>
      <c r="F586" s="3">
        <v>3</v>
      </c>
      <c r="G586" s="6">
        <v>0.73</v>
      </c>
      <c r="H586" s="3">
        <v>13.6</v>
      </c>
      <c r="I586" s="3">
        <v>156</v>
      </c>
      <c r="J586" s="3">
        <v>102</v>
      </c>
      <c r="K586" s="5">
        <v>329</v>
      </c>
      <c r="L586" s="3">
        <v>43</v>
      </c>
      <c r="M586" s="3">
        <v>5</v>
      </c>
      <c r="N586" s="6">
        <v>0.53</v>
      </c>
      <c r="O586" s="3" t="s">
        <v>13</v>
      </c>
      <c r="P586" s="3" t="s">
        <v>21</v>
      </c>
    </row>
    <row r="587" spans="1:16" x14ac:dyDescent="0.3">
      <c r="A587" s="4">
        <v>46124</v>
      </c>
      <c r="B587" s="3" t="s">
        <v>412</v>
      </c>
      <c r="C587" s="3" t="s">
        <v>401</v>
      </c>
      <c r="D587" s="3" t="s">
        <v>403</v>
      </c>
      <c r="E587" s="3">
        <v>34</v>
      </c>
      <c r="F587" s="3">
        <v>0</v>
      </c>
      <c r="G587" s="6">
        <v>0.82</v>
      </c>
      <c r="H587" s="3">
        <v>17.5</v>
      </c>
      <c r="I587" s="3">
        <v>110</v>
      </c>
      <c r="J587" s="3">
        <v>122</v>
      </c>
      <c r="K587" s="5">
        <v>1520</v>
      </c>
      <c r="L587" s="3">
        <v>55</v>
      </c>
      <c r="M587" s="3">
        <v>4</v>
      </c>
      <c r="N587" s="6">
        <v>0.8</v>
      </c>
      <c r="O587" s="3" t="s">
        <v>29</v>
      </c>
      <c r="P587" s="3" t="s">
        <v>66</v>
      </c>
    </row>
    <row r="588" spans="1:16" x14ac:dyDescent="0.3">
      <c r="A588" s="4">
        <v>46124</v>
      </c>
      <c r="B588" s="3" t="s">
        <v>412</v>
      </c>
      <c r="C588" s="3" t="s">
        <v>404</v>
      </c>
      <c r="D588" s="3" t="s">
        <v>405</v>
      </c>
      <c r="E588" s="3">
        <v>26</v>
      </c>
      <c r="F588" s="3">
        <v>2</v>
      </c>
      <c r="G588" s="6">
        <v>0.82</v>
      </c>
      <c r="H588" s="3">
        <v>15</v>
      </c>
      <c r="I588" s="3">
        <v>222</v>
      </c>
      <c r="J588" s="3">
        <v>32</v>
      </c>
      <c r="K588" s="5">
        <v>4218</v>
      </c>
      <c r="L588" s="3">
        <v>18</v>
      </c>
      <c r="M588" s="3">
        <v>3</v>
      </c>
      <c r="N588" s="6">
        <v>0.76</v>
      </c>
      <c r="O588" s="3" t="s">
        <v>37</v>
      </c>
      <c r="P588" s="3" t="s">
        <v>36</v>
      </c>
    </row>
    <row r="589" spans="1:16" x14ac:dyDescent="0.3">
      <c r="A589" s="4">
        <v>46124</v>
      </c>
      <c r="B589" s="3" t="s">
        <v>412</v>
      </c>
      <c r="C589" s="3" t="s">
        <v>404</v>
      </c>
      <c r="D589" s="3" t="s">
        <v>406</v>
      </c>
      <c r="E589" s="3">
        <v>20</v>
      </c>
      <c r="F589" s="3">
        <v>3</v>
      </c>
      <c r="G589" s="6">
        <v>0.77</v>
      </c>
      <c r="H589" s="3">
        <v>14.5</v>
      </c>
      <c r="I589" s="3">
        <v>241</v>
      </c>
      <c r="J589" s="3">
        <v>114</v>
      </c>
      <c r="K589" s="5">
        <v>1002</v>
      </c>
      <c r="L589" s="3">
        <v>32</v>
      </c>
      <c r="M589" s="3">
        <v>3</v>
      </c>
      <c r="N589" s="6">
        <v>0.74</v>
      </c>
      <c r="O589" s="3" t="s">
        <v>29</v>
      </c>
      <c r="P589" s="3" t="s">
        <v>66</v>
      </c>
    </row>
    <row r="590" spans="1:16" x14ac:dyDescent="0.3">
      <c r="A590" s="4">
        <v>46125</v>
      </c>
      <c r="B590" s="3" t="s">
        <v>397</v>
      </c>
      <c r="C590" s="3" t="s">
        <v>398</v>
      </c>
      <c r="D590" s="3" t="s">
        <v>399</v>
      </c>
      <c r="E590" s="3">
        <v>32</v>
      </c>
      <c r="F590" s="3">
        <v>1</v>
      </c>
      <c r="G590" s="6">
        <v>0.83</v>
      </c>
      <c r="H590" s="3">
        <v>14.7</v>
      </c>
      <c r="I590" s="3">
        <v>54</v>
      </c>
      <c r="J590" s="3">
        <v>136</v>
      </c>
      <c r="K590" s="5">
        <v>627</v>
      </c>
      <c r="L590" s="3">
        <v>38</v>
      </c>
      <c r="M590" s="3">
        <v>6</v>
      </c>
      <c r="N590" s="6">
        <v>0.84</v>
      </c>
      <c r="O590" s="3" t="s">
        <v>37</v>
      </c>
      <c r="P590" s="3" t="s">
        <v>40</v>
      </c>
    </row>
    <row r="591" spans="1:16" x14ac:dyDescent="0.3">
      <c r="A591" s="4">
        <v>46125</v>
      </c>
      <c r="B591" s="3" t="s">
        <v>397</v>
      </c>
      <c r="C591" s="3" t="s">
        <v>398</v>
      </c>
      <c r="D591" s="3" t="s">
        <v>400</v>
      </c>
      <c r="E591" s="3">
        <v>34</v>
      </c>
      <c r="F591" s="3">
        <v>0</v>
      </c>
      <c r="G591" s="6">
        <v>0.74</v>
      </c>
      <c r="H591" s="3">
        <v>17</v>
      </c>
      <c r="I591" s="3">
        <v>439</v>
      </c>
      <c r="J591" s="3">
        <v>110</v>
      </c>
      <c r="K591" s="5">
        <v>2601</v>
      </c>
      <c r="L591" s="3">
        <v>1</v>
      </c>
      <c r="M591" s="3">
        <v>5</v>
      </c>
      <c r="N591" s="6">
        <v>0.72</v>
      </c>
      <c r="O591" s="3" t="s">
        <v>37</v>
      </c>
      <c r="P591" s="3" t="s">
        <v>40</v>
      </c>
    </row>
    <row r="592" spans="1:16" x14ac:dyDescent="0.3">
      <c r="A592" s="4">
        <v>46125</v>
      </c>
      <c r="B592" s="3" t="s">
        <v>397</v>
      </c>
      <c r="C592" s="3" t="s">
        <v>401</v>
      </c>
      <c r="D592" s="3" t="s">
        <v>402</v>
      </c>
      <c r="E592" s="3">
        <v>32</v>
      </c>
      <c r="F592" s="3">
        <v>0</v>
      </c>
      <c r="G592" s="6">
        <v>0.89</v>
      </c>
      <c r="H592" s="3">
        <v>9.1</v>
      </c>
      <c r="I592" s="3">
        <v>440</v>
      </c>
      <c r="J592" s="3">
        <v>47</v>
      </c>
      <c r="K592" s="5">
        <v>867</v>
      </c>
      <c r="L592" s="3">
        <v>104</v>
      </c>
      <c r="M592" s="3">
        <v>5</v>
      </c>
      <c r="N592" s="6">
        <v>0.94</v>
      </c>
      <c r="O592" s="3" t="s">
        <v>37</v>
      </c>
      <c r="P592" s="3" t="s">
        <v>40</v>
      </c>
    </row>
    <row r="593" spans="1:16" x14ac:dyDescent="0.3">
      <c r="A593" s="4">
        <v>46125</v>
      </c>
      <c r="B593" s="3" t="s">
        <v>397</v>
      </c>
      <c r="C593" s="3" t="s">
        <v>401</v>
      </c>
      <c r="D593" s="3" t="s">
        <v>403</v>
      </c>
      <c r="E593" s="3">
        <v>36</v>
      </c>
      <c r="F593" s="3">
        <v>1</v>
      </c>
      <c r="G593" s="6">
        <v>0.87</v>
      </c>
      <c r="H593" s="3">
        <v>9.5</v>
      </c>
      <c r="I593" s="3">
        <v>339</v>
      </c>
      <c r="J593" s="3">
        <v>138</v>
      </c>
      <c r="K593" s="5">
        <v>4074</v>
      </c>
      <c r="L593" s="3">
        <v>9</v>
      </c>
      <c r="M593" s="3">
        <v>0</v>
      </c>
      <c r="N593" s="6">
        <v>0.79</v>
      </c>
      <c r="O593" s="3" t="s">
        <v>26</v>
      </c>
      <c r="P593" s="3" t="s">
        <v>25</v>
      </c>
    </row>
    <row r="594" spans="1:16" x14ac:dyDescent="0.3">
      <c r="A594" s="4">
        <v>46125</v>
      </c>
      <c r="B594" s="3" t="s">
        <v>397</v>
      </c>
      <c r="C594" s="3" t="s">
        <v>404</v>
      </c>
      <c r="D594" s="3" t="s">
        <v>405</v>
      </c>
      <c r="E594" s="3">
        <v>30</v>
      </c>
      <c r="F594" s="3">
        <v>0</v>
      </c>
      <c r="G594" s="6">
        <v>0.84</v>
      </c>
      <c r="H594" s="3">
        <v>18.5</v>
      </c>
      <c r="I594" s="3">
        <v>88</v>
      </c>
      <c r="J594" s="3">
        <v>3</v>
      </c>
      <c r="K594" s="5">
        <v>118</v>
      </c>
      <c r="L594" s="3">
        <v>69</v>
      </c>
      <c r="M594" s="3">
        <v>5</v>
      </c>
      <c r="N594" s="6">
        <v>0.78</v>
      </c>
      <c r="O594" s="3" t="s">
        <v>37</v>
      </c>
      <c r="P594" s="3" t="s">
        <v>36</v>
      </c>
    </row>
    <row r="595" spans="1:16" x14ac:dyDescent="0.3">
      <c r="A595" s="4">
        <v>46125</v>
      </c>
      <c r="B595" s="3" t="s">
        <v>397</v>
      </c>
      <c r="C595" s="3" t="s">
        <v>404</v>
      </c>
      <c r="D595" s="3" t="s">
        <v>406</v>
      </c>
      <c r="E595" s="3">
        <v>30</v>
      </c>
      <c r="F595" s="3">
        <v>1</v>
      </c>
      <c r="G595" s="6">
        <v>0.72</v>
      </c>
      <c r="H595" s="3">
        <v>8.3000000000000007</v>
      </c>
      <c r="I595" s="3">
        <v>54</v>
      </c>
      <c r="J595" s="3">
        <v>14</v>
      </c>
      <c r="K595" s="5">
        <v>2879</v>
      </c>
      <c r="L595" s="3">
        <v>80</v>
      </c>
      <c r="M595" s="3">
        <v>5</v>
      </c>
      <c r="N595" s="6">
        <v>0.59</v>
      </c>
      <c r="O595" s="3" t="s">
        <v>18</v>
      </c>
      <c r="P595" s="3" t="s">
        <v>17</v>
      </c>
    </row>
    <row r="596" spans="1:16" x14ac:dyDescent="0.3">
      <c r="A596" s="4">
        <v>46126</v>
      </c>
      <c r="B596" s="3" t="s">
        <v>407</v>
      </c>
      <c r="C596" s="3" t="s">
        <v>398</v>
      </c>
      <c r="D596" s="3" t="s">
        <v>399</v>
      </c>
      <c r="E596" s="3">
        <v>38</v>
      </c>
      <c r="F596" s="3">
        <v>0</v>
      </c>
      <c r="G596" s="6">
        <v>0.75</v>
      </c>
      <c r="H596" s="3">
        <v>9.1999999999999993</v>
      </c>
      <c r="I596" s="3">
        <v>199</v>
      </c>
      <c r="J596" s="3">
        <v>93</v>
      </c>
      <c r="K596" s="5">
        <v>3048</v>
      </c>
      <c r="L596" s="3">
        <v>45</v>
      </c>
      <c r="M596" s="3">
        <v>2</v>
      </c>
      <c r="N596" s="6">
        <v>0.74</v>
      </c>
      <c r="O596" s="3" t="s">
        <v>26</v>
      </c>
      <c r="P596" s="3" t="s">
        <v>33</v>
      </c>
    </row>
    <row r="597" spans="1:16" x14ac:dyDescent="0.3">
      <c r="A597" s="4">
        <v>46126</v>
      </c>
      <c r="B597" s="3" t="s">
        <v>407</v>
      </c>
      <c r="C597" s="3" t="s">
        <v>398</v>
      </c>
      <c r="D597" s="3" t="s">
        <v>400</v>
      </c>
      <c r="E597" s="3">
        <v>37</v>
      </c>
      <c r="F597" s="3">
        <v>1</v>
      </c>
      <c r="G597" s="6">
        <v>0.74</v>
      </c>
      <c r="H597" s="3">
        <v>12.8</v>
      </c>
      <c r="I597" s="3">
        <v>125</v>
      </c>
      <c r="J597" s="3">
        <v>61</v>
      </c>
      <c r="K597" s="5">
        <v>4358</v>
      </c>
      <c r="L597" s="3">
        <v>26</v>
      </c>
      <c r="M597" s="3">
        <v>3</v>
      </c>
      <c r="N597" s="6">
        <v>0.57999999999999996</v>
      </c>
      <c r="O597" s="3" t="s">
        <v>26</v>
      </c>
      <c r="P597" s="3" t="s">
        <v>33</v>
      </c>
    </row>
    <row r="598" spans="1:16" x14ac:dyDescent="0.3">
      <c r="A598" s="4">
        <v>46126</v>
      </c>
      <c r="B598" s="3" t="s">
        <v>407</v>
      </c>
      <c r="C598" s="3" t="s">
        <v>401</v>
      </c>
      <c r="D598" s="3" t="s">
        <v>402</v>
      </c>
      <c r="E598" s="3">
        <v>24</v>
      </c>
      <c r="F598" s="3">
        <v>1</v>
      </c>
      <c r="G598" s="6">
        <v>0.85</v>
      </c>
      <c r="H598" s="3">
        <v>12.7</v>
      </c>
      <c r="I598" s="3">
        <v>98</v>
      </c>
      <c r="J598" s="3">
        <v>94</v>
      </c>
      <c r="K598" s="5">
        <v>4232</v>
      </c>
      <c r="L598" s="3">
        <v>34</v>
      </c>
      <c r="M598" s="3">
        <v>1</v>
      </c>
      <c r="N598" s="6">
        <v>0.7</v>
      </c>
      <c r="O598" s="3" t="s">
        <v>13</v>
      </c>
      <c r="P598" s="3" t="s">
        <v>21</v>
      </c>
    </row>
    <row r="599" spans="1:16" x14ac:dyDescent="0.3">
      <c r="A599" s="4">
        <v>46126</v>
      </c>
      <c r="B599" s="3" t="s">
        <v>407</v>
      </c>
      <c r="C599" s="3" t="s">
        <v>401</v>
      </c>
      <c r="D599" s="3" t="s">
        <v>403</v>
      </c>
      <c r="E599" s="3">
        <v>23</v>
      </c>
      <c r="F599" s="3">
        <v>2</v>
      </c>
      <c r="G599" s="6">
        <v>0.84</v>
      </c>
      <c r="H599" s="3">
        <v>16.5</v>
      </c>
      <c r="I599" s="3">
        <v>387</v>
      </c>
      <c r="J599" s="3">
        <v>106</v>
      </c>
      <c r="K599" s="5">
        <v>1916</v>
      </c>
      <c r="L599" s="3">
        <v>81</v>
      </c>
      <c r="M599" s="3">
        <v>5</v>
      </c>
      <c r="N599" s="6">
        <v>0.65</v>
      </c>
      <c r="O599" s="3" t="s">
        <v>26</v>
      </c>
      <c r="P599" s="3" t="s">
        <v>33</v>
      </c>
    </row>
    <row r="600" spans="1:16" x14ac:dyDescent="0.3">
      <c r="A600" s="4">
        <v>46126</v>
      </c>
      <c r="B600" s="3" t="s">
        <v>407</v>
      </c>
      <c r="C600" s="3" t="s">
        <v>404</v>
      </c>
      <c r="D600" s="3" t="s">
        <v>405</v>
      </c>
      <c r="E600" s="3">
        <v>30</v>
      </c>
      <c r="F600" s="3">
        <v>1</v>
      </c>
      <c r="G600" s="6">
        <v>0.79</v>
      </c>
      <c r="H600" s="3">
        <v>17.2</v>
      </c>
      <c r="I600" s="3">
        <v>196</v>
      </c>
      <c r="J600" s="3">
        <v>92</v>
      </c>
      <c r="K600" s="5">
        <v>1254</v>
      </c>
      <c r="L600" s="3">
        <v>9</v>
      </c>
      <c r="M600" s="3">
        <v>7</v>
      </c>
      <c r="N600" s="6">
        <v>0.63</v>
      </c>
      <c r="O600" s="3" t="s">
        <v>29</v>
      </c>
      <c r="P600" s="3" t="s">
        <v>28</v>
      </c>
    </row>
    <row r="601" spans="1:16" x14ac:dyDescent="0.3">
      <c r="A601" s="4">
        <v>46126</v>
      </c>
      <c r="B601" s="3" t="s">
        <v>407</v>
      </c>
      <c r="C601" s="3" t="s">
        <v>404</v>
      </c>
      <c r="D601" s="3" t="s">
        <v>406</v>
      </c>
      <c r="E601" s="3">
        <v>36</v>
      </c>
      <c r="F601" s="3">
        <v>2</v>
      </c>
      <c r="G601" s="6">
        <v>0.83</v>
      </c>
      <c r="H601" s="3">
        <v>15.9</v>
      </c>
      <c r="I601" s="3">
        <v>185</v>
      </c>
      <c r="J601" s="3">
        <v>98</v>
      </c>
      <c r="K601" s="5">
        <v>53</v>
      </c>
      <c r="L601" s="3">
        <v>10</v>
      </c>
      <c r="M601" s="3">
        <v>8</v>
      </c>
      <c r="N601" s="6">
        <v>0.74</v>
      </c>
      <c r="O601" s="3" t="s">
        <v>26</v>
      </c>
      <c r="P601" s="3" t="s">
        <v>33</v>
      </c>
    </row>
    <row r="602" spans="1:16" x14ac:dyDescent="0.3">
      <c r="A602" s="4">
        <v>46127</v>
      </c>
      <c r="B602" s="3" t="s">
        <v>408</v>
      </c>
      <c r="C602" s="3" t="s">
        <v>398</v>
      </c>
      <c r="D602" s="3" t="s">
        <v>399</v>
      </c>
      <c r="E602" s="3">
        <v>35</v>
      </c>
      <c r="F602" s="3">
        <v>1</v>
      </c>
      <c r="G602" s="6">
        <v>0.73</v>
      </c>
      <c r="H602" s="3">
        <v>8.3000000000000007</v>
      </c>
      <c r="I602" s="3">
        <v>199</v>
      </c>
      <c r="J602" s="3">
        <v>100</v>
      </c>
      <c r="K602" s="5">
        <v>1492</v>
      </c>
      <c r="L602" s="3">
        <v>85</v>
      </c>
      <c r="M602" s="3">
        <v>7</v>
      </c>
      <c r="N602" s="6">
        <v>0.57999999999999996</v>
      </c>
      <c r="O602" s="3" t="s">
        <v>29</v>
      </c>
      <c r="P602" s="3" t="s">
        <v>28</v>
      </c>
    </row>
    <row r="603" spans="1:16" x14ac:dyDescent="0.3">
      <c r="A603" s="4">
        <v>46127</v>
      </c>
      <c r="B603" s="3" t="s">
        <v>408</v>
      </c>
      <c r="C603" s="3" t="s">
        <v>398</v>
      </c>
      <c r="D603" s="3" t="s">
        <v>400</v>
      </c>
      <c r="E603" s="3">
        <v>21</v>
      </c>
      <c r="F603" s="3">
        <v>2</v>
      </c>
      <c r="G603" s="6">
        <v>0.82</v>
      </c>
      <c r="H603" s="3">
        <v>7.9</v>
      </c>
      <c r="I603" s="3">
        <v>371</v>
      </c>
      <c r="J603" s="3">
        <v>130</v>
      </c>
      <c r="K603" s="5">
        <v>583</v>
      </c>
      <c r="L603" s="3">
        <v>117</v>
      </c>
      <c r="M603" s="3">
        <v>1</v>
      </c>
      <c r="N603" s="6">
        <v>0.69</v>
      </c>
      <c r="O603" s="3" t="s">
        <v>37</v>
      </c>
      <c r="P603" s="3" t="s">
        <v>36</v>
      </c>
    </row>
    <row r="604" spans="1:16" x14ac:dyDescent="0.3">
      <c r="A604" s="4">
        <v>46127</v>
      </c>
      <c r="B604" s="3" t="s">
        <v>408</v>
      </c>
      <c r="C604" s="3" t="s">
        <v>401</v>
      </c>
      <c r="D604" s="3" t="s">
        <v>402</v>
      </c>
      <c r="E604" s="3">
        <v>22</v>
      </c>
      <c r="F604" s="3">
        <v>0</v>
      </c>
      <c r="G604" s="6">
        <v>0.83</v>
      </c>
      <c r="H604" s="3">
        <v>9.6999999999999993</v>
      </c>
      <c r="I604" s="3">
        <v>148</v>
      </c>
      <c r="J604" s="3">
        <v>47</v>
      </c>
      <c r="K604" s="5">
        <v>933</v>
      </c>
      <c r="L604" s="3">
        <v>55</v>
      </c>
      <c r="M604" s="3">
        <v>1</v>
      </c>
      <c r="N604" s="6">
        <v>0.78</v>
      </c>
      <c r="O604" s="3" t="s">
        <v>29</v>
      </c>
      <c r="P604" s="3" t="s">
        <v>28</v>
      </c>
    </row>
    <row r="605" spans="1:16" x14ac:dyDescent="0.3">
      <c r="A605" s="4">
        <v>46127</v>
      </c>
      <c r="B605" s="3" t="s">
        <v>408</v>
      </c>
      <c r="C605" s="3" t="s">
        <v>401</v>
      </c>
      <c r="D605" s="3" t="s">
        <v>403</v>
      </c>
      <c r="E605" s="3">
        <v>29</v>
      </c>
      <c r="F605" s="3">
        <v>1</v>
      </c>
      <c r="G605" s="6">
        <v>0.86</v>
      </c>
      <c r="H605" s="3">
        <v>13.1</v>
      </c>
      <c r="I605" s="3">
        <v>206</v>
      </c>
      <c r="J605" s="3">
        <v>126</v>
      </c>
      <c r="K605" s="5">
        <v>1279</v>
      </c>
      <c r="L605" s="3">
        <v>1</v>
      </c>
      <c r="M605" s="3">
        <v>5</v>
      </c>
      <c r="N605" s="6">
        <v>0.74</v>
      </c>
      <c r="O605" s="3" t="s">
        <v>26</v>
      </c>
      <c r="P605" s="3" t="s">
        <v>25</v>
      </c>
    </row>
    <row r="606" spans="1:16" x14ac:dyDescent="0.3">
      <c r="A606" s="4">
        <v>46127</v>
      </c>
      <c r="B606" s="3" t="s">
        <v>408</v>
      </c>
      <c r="C606" s="3" t="s">
        <v>404</v>
      </c>
      <c r="D606" s="3" t="s">
        <v>405</v>
      </c>
      <c r="E606" s="3">
        <v>29</v>
      </c>
      <c r="F606" s="3">
        <v>1</v>
      </c>
      <c r="G606" s="6">
        <v>0.86</v>
      </c>
      <c r="H606" s="3">
        <v>13.6</v>
      </c>
      <c r="I606" s="3">
        <v>389</v>
      </c>
      <c r="J606" s="3">
        <v>34</v>
      </c>
      <c r="K606" s="5">
        <v>1788</v>
      </c>
      <c r="L606" s="3">
        <v>69</v>
      </c>
      <c r="M606" s="3">
        <v>5</v>
      </c>
      <c r="N606" s="6">
        <v>0.85</v>
      </c>
      <c r="O606" s="3" t="s">
        <v>37</v>
      </c>
      <c r="P606" s="3" t="s">
        <v>36</v>
      </c>
    </row>
    <row r="607" spans="1:16" x14ac:dyDescent="0.3">
      <c r="A607" s="4">
        <v>46127</v>
      </c>
      <c r="B607" s="3" t="s">
        <v>408</v>
      </c>
      <c r="C607" s="3" t="s">
        <v>404</v>
      </c>
      <c r="D607" s="3" t="s">
        <v>406</v>
      </c>
      <c r="E607" s="3">
        <v>20</v>
      </c>
      <c r="F607" s="3">
        <v>1</v>
      </c>
      <c r="G607" s="6">
        <v>0.79</v>
      </c>
      <c r="H607" s="3">
        <v>14.2</v>
      </c>
      <c r="I607" s="3">
        <v>142</v>
      </c>
      <c r="J607" s="3">
        <v>69</v>
      </c>
      <c r="K607" s="5">
        <v>477</v>
      </c>
      <c r="L607" s="3">
        <v>35</v>
      </c>
      <c r="M607" s="3">
        <v>3</v>
      </c>
      <c r="N607" s="6">
        <v>0.65</v>
      </c>
      <c r="O607" s="3" t="s">
        <v>13</v>
      </c>
      <c r="P607" s="3" t="s">
        <v>12</v>
      </c>
    </row>
    <row r="608" spans="1:16" x14ac:dyDescent="0.3">
      <c r="A608" s="4">
        <v>46128</v>
      </c>
      <c r="B608" s="3" t="s">
        <v>409</v>
      </c>
      <c r="C608" s="3" t="s">
        <v>398</v>
      </c>
      <c r="D608" s="3" t="s">
        <v>399</v>
      </c>
      <c r="E608" s="3">
        <v>20</v>
      </c>
      <c r="F608" s="3">
        <v>4</v>
      </c>
      <c r="G608" s="6">
        <v>0.74</v>
      </c>
      <c r="H608" s="3">
        <v>18.100000000000001</v>
      </c>
      <c r="I608" s="3">
        <v>154</v>
      </c>
      <c r="J608" s="3">
        <v>32</v>
      </c>
      <c r="K608" s="5">
        <v>30</v>
      </c>
      <c r="L608" s="3">
        <v>3</v>
      </c>
      <c r="M608" s="3">
        <v>1</v>
      </c>
      <c r="N608" s="6">
        <v>0.55000000000000004</v>
      </c>
      <c r="O608" s="3" t="s">
        <v>26</v>
      </c>
      <c r="P608" s="3" t="s">
        <v>33</v>
      </c>
    </row>
    <row r="609" spans="1:16" x14ac:dyDescent="0.3">
      <c r="A609" s="4">
        <v>46128</v>
      </c>
      <c r="B609" s="3" t="s">
        <v>409</v>
      </c>
      <c r="C609" s="3" t="s">
        <v>398</v>
      </c>
      <c r="D609" s="3" t="s">
        <v>400</v>
      </c>
      <c r="E609" s="3">
        <v>34</v>
      </c>
      <c r="F609" s="3">
        <v>2</v>
      </c>
      <c r="G609" s="6">
        <v>0.79</v>
      </c>
      <c r="H609" s="3">
        <v>13.9</v>
      </c>
      <c r="I609" s="3">
        <v>413</v>
      </c>
      <c r="J609" s="3">
        <v>107</v>
      </c>
      <c r="K609" s="5">
        <v>741</v>
      </c>
      <c r="L609" s="3">
        <v>80</v>
      </c>
      <c r="M609" s="3">
        <v>6</v>
      </c>
      <c r="N609" s="6">
        <v>0.73</v>
      </c>
      <c r="O609" s="3" t="s">
        <v>29</v>
      </c>
      <c r="P609" s="3" t="s">
        <v>28</v>
      </c>
    </row>
    <row r="610" spans="1:16" x14ac:dyDescent="0.3">
      <c r="A610" s="4">
        <v>46128</v>
      </c>
      <c r="B610" s="3" t="s">
        <v>409</v>
      </c>
      <c r="C610" s="3" t="s">
        <v>401</v>
      </c>
      <c r="D610" s="3" t="s">
        <v>402</v>
      </c>
      <c r="E610" s="3">
        <v>20</v>
      </c>
      <c r="F610" s="3">
        <v>1</v>
      </c>
      <c r="G610" s="6">
        <v>0.79</v>
      </c>
      <c r="H610" s="3">
        <v>13.8</v>
      </c>
      <c r="I610" s="3">
        <v>271</v>
      </c>
      <c r="J610" s="3">
        <v>66</v>
      </c>
      <c r="K610" s="5">
        <v>2915</v>
      </c>
      <c r="L610" s="3">
        <v>89</v>
      </c>
      <c r="M610" s="3">
        <v>0</v>
      </c>
      <c r="N610" s="6">
        <v>0.67</v>
      </c>
      <c r="O610" s="3" t="s">
        <v>13</v>
      </c>
      <c r="P610" s="3" t="s">
        <v>12</v>
      </c>
    </row>
    <row r="611" spans="1:16" x14ac:dyDescent="0.3">
      <c r="A611" s="4">
        <v>46128</v>
      </c>
      <c r="B611" s="3" t="s">
        <v>409</v>
      </c>
      <c r="C611" s="3" t="s">
        <v>401</v>
      </c>
      <c r="D611" s="3" t="s">
        <v>403</v>
      </c>
      <c r="E611" s="3">
        <v>28</v>
      </c>
      <c r="F611" s="3">
        <v>2</v>
      </c>
      <c r="G611" s="6">
        <v>0.85</v>
      </c>
      <c r="H611" s="3">
        <v>11.7</v>
      </c>
      <c r="I611" s="3">
        <v>192</v>
      </c>
      <c r="J611" s="3">
        <v>113</v>
      </c>
      <c r="K611" s="5">
        <v>2938</v>
      </c>
      <c r="L611" s="3">
        <v>92</v>
      </c>
      <c r="M611" s="3">
        <v>1</v>
      </c>
      <c r="N611" s="6">
        <v>0.85</v>
      </c>
      <c r="O611" s="3" t="s">
        <v>29</v>
      </c>
      <c r="P611" s="3" t="s">
        <v>66</v>
      </c>
    </row>
    <row r="612" spans="1:16" x14ac:dyDescent="0.3">
      <c r="A612" s="4">
        <v>46128</v>
      </c>
      <c r="B612" s="3" t="s">
        <v>409</v>
      </c>
      <c r="C612" s="3" t="s">
        <v>404</v>
      </c>
      <c r="D612" s="3" t="s">
        <v>405</v>
      </c>
      <c r="E612" s="3">
        <v>38</v>
      </c>
      <c r="F612" s="3">
        <v>3</v>
      </c>
      <c r="G612" s="6">
        <v>0.79</v>
      </c>
      <c r="H612" s="3">
        <v>10.1</v>
      </c>
      <c r="I612" s="3">
        <v>401</v>
      </c>
      <c r="J612" s="3">
        <v>126</v>
      </c>
      <c r="K612" s="5">
        <v>2220</v>
      </c>
      <c r="L612" s="3">
        <v>32</v>
      </c>
      <c r="M612" s="3">
        <v>9</v>
      </c>
      <c r="N612" s="6">
        <v>0.71</v>
      </c>
      <c r="O612" s="3" t="s">
        <v>37</v>
      </c>
      <c r="P612" s="3" t="s">
        <v>36</v>
      </c>
    </row>
    <row r="613" spans="1:16" x14ac:dyDescent="0.3">
      <c r="A613" s="4">
        <v>46128</v>
      </c>
      <c r="B613" s="3" t="s">
        <v>409</v>
      </c>
      <c r="C613" s="3" t="s">
        <v>404</v>
      </c>
      <c r="D613" s="3" t="s">
        <v>406</v>
      </c>
      <c r="E613" s="3">
        <v>20</v>
      </c>
      <c r="F613" s="3">
        <v>1</v>
      </c>
      <c r="G613" s="6">
        <v>0.74</v>
      </c>
      <c r="H613" s="3">
        <v>8.6</v>
      </c>
      <c r="I613" s="3">
        <v>320</v>
      </c>
      <c r="J613" s="3">
        <v>105</v>
      </c>
      <c r="K613" s="5">
        <v>4333</v>
      </c>
      <c r="L613" s="3">
        <v>42</v>
      </c>
      <c r="M613" s="3">
        <v>1</v>
      </c>
      <c r="N613" s="6">
        <v>0.74</v>
      </c>
      <c r="O613" s="3" t="s">
        <v>26</v>
      </c>
      <c r="P613" s="3" t="s">
        <v>25</v>
      </c>
    </row>
    <row r="614" spans="1:16" x14ac:dyDescent="0.3">
      <c r="A614" s="4">
        <v>46129</v>
      </c>
      <c r="B614" s="3" t="s">
        <v>410</v>
      </c>
      <c r="C614" s="3" t="s">
        <v>398</v>
      </c>
      <c r="D614" s="3" t="s">
        <v>399</v>
      </c>
      <c r="E614" s="3">
        <v>35</v>
      </c>
      <c r="F614" s="3">
        <v>0</v>
      </c>
      <c r="G614" s="6">
        <v>0.8</v>
      </c>
      <c r="H614" s="3">
        <v>14.8</v>
      </c>
      <c r="I614" s="3">
        <v>250</v>
      </c>
      <c r="J614" s="3">
        <v>128</v>
      </c>
      <c r="K614" s="5">
        <v>2007</v>
      </c>
      <c r="L614" s="3">
        <v>87</v>
      </c>
      <c r="M614" s="3">
        <v>1</v>
      </c>
      <c r="N614" s="6">
        <v>0.79</v>
      </c>
      <c r="O614" s="3" t="s">
        <v>13</v>
      </c>
      <c r="P614" s="3" t="s">
        <v>21</v>
      </c>
    </row>
    <row r="615" spans="1:16" x14ac:dyDescent="0.3">
      <c r="A615" s="4">
        <v>46129</v>
      </c>
      <c r="B615" s="3" t="s">
        <v>410</v>
      </c>
      <c r="C615" s="3" t="s">
        <v>398</v>
      </c>
      <c r="D615" s="3" t="s">
        <v>400</v>
      </c>
      <c r="E615" s="3">
        <v>29</v>
      </c>
      <c r="F615" s="3">
        <v>0</v>
      </c>
      <c r="G615" s="6">
        <v>0.84</v>
      </c>
      <c r="H615" s="3">
        <v>14.4</v>
      </c>
      <c r="I615" s="3">
        <v>52</v>
      </c>
      <c r="J615" s="3">
        <v>89</v>
      </c>
      <c r="K615" s="5">
        <v>237</v>
      </c>
      <c r="L615" s="3">
        <v>27</v>
      </c>
      <c r="M615" s="3">
        <v>6</v>
      </c>
      <c r="N615" s="6">
        <v>0.68</v>
      </c>
      <c r="O615" s="3" t="s">
        <v>29</v>
      </c>
      <c r="P615" s="3" t="s">
        <v>66</v>
      </c>
    </row>
    <row r="616" spans="1:16" x14ac:dyDescent="0.3">
      <c r="A616" s="4">
        <v>46129</v>
      </c>
      <c r="B616" s="3" t="s">
        <v>410</v>
      </c>
      <c r="C616" s="3" t="s">
        <v>401</v>
      </c>
      <c r="D616" s="3" t="s">
        <v>402</v>
      </c>
      <c r="E616" s="3">
        <v>23</v>
      </c>
      <c r="F616" s="3">
        <v>0</v>
      </c>
      <c r="G616" s="6">
        <v>0.78</v>
      </c>
      <c r="H616" s="3">
        <v>10.6</v>
      </c>
      <c r="I616" s="3">
        <v>270</v>
      </c>
      <c r="J616" s="3">
        <v>147</v>
      </c>
      <c r="K616" s="5">
        <v>3842</v>
      </c>
      <c r="L616" s="3">
        <v>3</v>
      </c>
      <c r="M616" s="3">
        <v>2</v>
      </c>
      <c r="N616" s="6">
        <v>0.74</v>
      </c>
      <c r="O616" s="3" t="s">
        <v>37</v>
      </c>
      <c r="P616" s="3" t="s">
        <v>36</v>
      </c>
    </row>
    <row r="617" spans="1:16" x14ac:dyDescent="0.3">
      <c r="A617" s="4">
        <v>46129</v>
      </c>
      <c r="B617" s="3" t="s">
        <v>410</v>
      </c>
      <c r="C617" s="3" t="s">
        <v>401</v>
      </c>
      <c r="D617" s="3" t="s">
        <v>403</v>
      </c>
      <c r="E617" s="3">
        <v>25</v>
      </c>
      <c r="F617" s="3">
        <v>0</v>
      </c>
      <c r="G617" s="6">
        <v>0.73</v>
      </c>
      <c r="H617" s="3">
        <v>15</v>
      </c>
      <c r="I617" s="3">
        <v>382</v>
      </c>
      <c r="J617" s="3">
        <v>39</v>
      </c>
      <c r="K617" s="5">
        <v>545</v>
      </c>
      <c r="L617" s="3">
        <v>71</v>
      </c>
      <c r="M617" s="3">
        <v>3</v>
      </c>
      <c r="N617" s="6">
        <v>0.78</v>
      </c>
      <c r="O617" s="3" t="s">
        <v>13</v>
      </c>
      <c r="P617" s="3" t="s">
        <v>12</v>
      </c>
    </row>
    <row r="618" spans="1:16" x14ac:dyDescent="0.3">
      <c r="A618" s="4">
        <v>46129</v>
      </c>
      <c r="B618" s="3" t="s">
        <v>410</v>
      </c>
      <c r="C618" s="3" t="s">
        <v>404</v>
      </c>
      <c r="D618" s="3" t="s">
        <v>405</v>
      </c>
      <c r="E618" s="3">
        <v>25</v>
      </c>
      <c r="F618" s="3">
        <v>2</v>
      </c>
      <c r="G618" s="6">
        <v>0.88</v>
      </c>
      <c r="H618" s="3">
        <v>18.399999999999999</v>
      </c>
      <c r="I618" s="3">
        <v>361</v>
      </c>
      <c r="J618" s="3">
        <v>100</v>
      </c>
      <c r="K618" s="5">
        <v>1652</v>
      </c>
      <c r="L618" s="3">
        <v>62</v>
      </c>
      <c r="M618" s="3">
        <v>5</v>
      </c>
      <c r="N618" s="6">
        <v>0.88</v>
      </c>
      <c r="O618" s="3" t="s">
        <v>18</v>
      </c>
      <c r="P618" s="3" t="s">
        <v>17</v>
      </c>
    </row>
    <row r="619" spans="1:16" x14ac:dyDescent="0.3">
      <c r="A619" s="4">
        <v>46129</v>
      </c>
      <c r="B619" s="3" t="s">
        <v>410</v>
      </c>
      <c r="C619" s="3" t="s">
        <v>404</v>
      </c>
      <c r="D619" s="3" t="s">
        <v>406</v>
      </c>
      <c r="E619" s="3">
        <v>36</v>
      </c>
      <c r="F619" s="3">
        <v>0</v>
      </c>
      <c r="G619" s="6">
        <v>0.73</v>
      </c>
      <c r="H619" s="3">
        <v>8.1</v>
      </c>
      <c r="I619" s="3">
        <v>352</v>
      </c>
      <c r="J619" s="3">
        <v>67</v>
      </c>
      <c r="K619" s="5">
        <v>3562</v>
      </c>
      <c r="L619" s="3">
        <v>66</v>
      </c>
      <c r="M619" s="3">
        <v>0</v>
      </c>
      <c r="N619" s="6">
        <v>0.56999999999999995</v>
      </c>
      <c r="O619" s="3" t="s">
        <v>26</v>
      </c>
      <c r="P619" s="3" t="s">
        <v>25</v>
      </c>
    </row>
    <row r="620" spans="1:16" x14ac:dyDescent="0.3">
      <c r="A620" s="4">
        <v>46130</v>
      </c>
      <c r="B620" s="3" t="s">
        <v>411</v>
      </c>
      <c r="C620" s="3" t="s">
        <v>398</v>
      </c>
      <c r="D620" s="3" t="s">
        <v>399</v>
      </c>
      <c r="E620" s="3">
        <v>20</v>
      </c>
      <c r="F620" s="3">
        <v>4</v>
      </c>
      <c r="G620" s="6">
        <v>0.89</v>
      </c>
      <c r="H620" s="3">
        <v>11.7</v>
      </c>
      <c r="I620" s="3">
        <v>201</v>
      </c>
      <c r="J620" s="3">
        <v>49</v>
      </c>
      <c r="K620" s="5">
        <v>4467</v>
      </c>
      <c r="L620" s="3">
        <v>95</v>
      </c>
      <c r="M620" s="3">
        <v>1</v>
      </c>
      <c r="N620" s="6">
        <v>0.66</v>
      </c>
      <c r="O620" s="3" t="s">
        <v>13</v>
      </c>
      <c r="P620" s="3" t="s">
        <v>12</v>
      </c>
    </row>
    <row r="621" spans="1:16" x14ac:dyDescent="0.3">
      <c r="A621" s="4">
        <v>46130</v>
      </c>
      <c r="B621" s="3" t="s">
        <v>411</v>
      </c>
      <c r="C621" s="3" t="s">
        <v>398</v>
      </c>
      <c r="D621" s="3" t="s">
        <v>400</v>
      </c>
      <c r="E621" s="3">
        <v>20</v>
      </c>
      <c r="F621" s="3">
        <v>0</v>
      </c>
      <c r="G621" s="6">
        <v>0.81</v>
      </c>
      <c r="H621" s="3">
        <v>18.2</v>
      </c>
      <c r="I621" s="3">
        <v>118</v>
      </c>
      <c r="J621" s="3">
        <v>64</v>
      </c>
      <c r="K621" s="5">
        <v>546</v>
      </c>
      <c r="L621" s="3">
        <v>7</v>
      </c>
      <c r="M621" s="3">
        <v>4</v>
      </c>
      <c r="N621" s="6">
        <v>0.85</v>
      </c>
      <c r="O621" s="3" t="s">
        <v>37</v>
      </c>
      <c r="P621" s="3" t="s">
        <v>40</v>
      </c>
    </row>
    <row r="622" spans="1:16" x14ac:dyDescent="0.3">
      <c r="A622" s="4">
        <v>46130</v>
      </c>
      <c r="B622" s="3" t="s">
        <v>411</v>
      </c>
      <c r="C622" s="3" t="s">
        <v>401</v>
      </c>
      <c r="D622" s="3" t="s">
        <v>402</v>
      </c>
      <c r="E622" s="3">
        <v>24</v>
      </c>
      <c r="F622" s="3">
        <v>1</v>
      </c>
      <c r="G622" s="6">
        <v>0.79</v>
      </c>
      <c r="H622" s="3">
        <v>7.7</v>
      </c>
      <c r="I622" s="3">
        <v>38</v>
      </c>
      <c r="J622" s="3">
        <v>20</v>
      </c>
      <c r="K622" s="5">
        <v>4378</v>
      </c>
      <c r="L622" s="3">
        <v>49</v>
      </c>
      <c r="M622" s="3">
        <v>4</v>
      </c>
      <c r="N622" s="6">
        <v>0.7</v>
      </c>
      <c r="O622" s="3" t="s">
        <v>18</v>
      </c>
      <c r="P622" s="3" t="s">
        <v>55</v>
      </c>
    </row>
    <row r="623" spans="1:16" x14ac:dyDescent="0.3">
      <c r="A623" s="4">
        <v>46130</v>
      </c>
      <c r="B623" s="3" t="s">
        <v>411</v>
      </c>
      <c r="C623" s="3" t="s">
        <v>401</v>
      </c>
      <c r="D623" s="3" t="s">
        <v>403</v>
      </c>
      <c r="E623" s="3">
        <v>21</v>
      </c>
      <c r="F623" s="3">
        <v>0</v>
      </c>
      <c r="G623" s="6">
        <v>0.82</v>
      </c>
      <c r="H623" s="3">
        <v>7.8</v>
      </c>
      <c r="I623" s="3">
        <v>67</v>
      </c>
      <c r="J623" s="3">
        <v>20</v>
      </c>
      <c r="K623" s="5">
        <v>1464</v>
      </c>
      <c r="L623" s="3">
        <v>112</v>
      </c>
      <c r="M623" s="3">
        <v>4</v>
      </c>
      <c r="N623" s="6">
        <v>0.72</v>
      </c>
      <c r="O623" s="3" t="s">
        <v>29</v>
      </c>
      <c r="P623" s="3" t="s">
        <v>66</v>
      </c>
    </row>
    <row r="624" spans="1:16" x14ac:dyDescent="0.3">
      <c r="A624" s="4">
        <v>46130</v>
      </c>
      <c r="B624" s="3" t="s">
        <v>411</v>
      </c>
      <c r="C624" s="3" t="s">
        <v>404</v>
      </c>
      <c r="D624" s="3" t="s">
        <v>405</v>
      </c>
      <c r="E624" s="3">
        <v>26</v>
      </c>
      <c r="F624" s="3">
        <v>3</v>
      </c>
      <c r="G624" s="6">
        <v>0.72</v>
      </c>
      <c r="H624" s="3">
        <v>13.1</v>
      </c>
      <c r="I624" s="3">
        <v>386</v>
      </c>
      <c r="J624" s="3">
        <v>140</v>
      </c>
      <c r="K624" s="5">
        <v>2632</v>
      </c>
      <c r="L624" s="3">
        <v>116</v>
      </c>
      <c r="M624" s="3">
        <v>5</v>
      </c>
      <c r="N624" s="6">
        <v>0.56000000000000005</v>
      </c>
      <c r="O624" s="3" t="s">
        <v>29</v>
      </c>
      <c r="P624" s="3" t="s">
        <v>66</v>
      </c>
    </row>
    <row r="625" spans="1:16" x14ac:dyDescent="0.3">
      <c r="A625" s="4">
        <v>46130</v>
      </c>
      <c r="B625" s="3" t="s">
        <v>411</v>
      </c>
      <c r="C625" s="3" t="s">
        <v>404</v>
      </c>
      <c r="D625" s="3" t="s">
        <v>406</v>
      </c>
      <c r="E625" s="3">
        <v>36</v>
      </c>
      <c r="F625" s="3">
        <v>3</v>
      </c>
      <c r="G625" s="6">
        <v>0.88</v>
      </c>
      <c r="H625" s="3">
        <v>13</v>
      </c>
      <c r="I625" s="3">
        <v>158</v>
      </c>
      <c r="J625" s="3">
        <v>107</v>
      </c>
      <c r="K625" s="5">
        <v>3478</v>
      </c>
      <c r="L625" s="3">
        <v>55</v>
      </c>
      <c r="M625" s="3">
        <v>9</v>
      </c>
      <c r="N625" s="6">
        <v>0.71</v>
      </c>
      <c r="O625" s="3" t="s">
        <v>37</v>
      </c>
      <c r="P625" s="3" t="s">
        <v>40</v>
      </c>
    </row>
    <row r="626" spans="1:16" x14ac:dyDescent="0.3">
      <c r="A626" s="4">
        <v>46131</v>
      </c>
      <c r="B626" s="3" t="s">
        <v>412</v>
      </c>
      <c r="C626" s="3" t="s">
        <v>398</v>
      </c>
      <c r="D626" s="3" t="s">
        <v>399</v>
      </c>
      <c r="E626" s="3">
        <v>25</v>
      </c>
      <c r="F626" s="3">
        <v>0</v>
      </c>
      <c r="G626" s="6">
        <v>0.85</v>
      </c>
      <c r="H626" s="3">
        <v>13.7</v>
      </c>
      <c r="I626" s="3">
        <v>409</v>
      </c>
      <c r="J626" s="3">
        <v>55</v>
      </c>
      <c r="K626" s="5">
        <v>3678</v>
      </c>
      <c r="L626" s="3">
        <v>120</v>
      </c>
      <c r="M626" s="3">
        <v>5</v>
      </c>
      <c r="N626" s="6">
        <v>0.88</v>
      </c>
      <c r="O626" s="3" t="s">
        <v>26</v>
      </c>
      <c r="P626" s="3" t="s">
        <v>33</v>
      </c>
    </row>
    <row r="627" spans="1:16" x14ac:dyDescent="0.3">
      <c r="A627" s="4">
        <v>46131</v>
      </c>
      <c r="B627" s="3" t="s">
        <v>412</v>
      </c>
      <c r="C627" s="3" t="s">
        <v>398</v>
      </c>
      <c r="D627" s="3" t="s">
        <v>400</v>
      </c>
      <c r="E627" s="3">
        <v>22</v>
      </c>
      <c r="F627" s="3">
        <v>0</v>
      </c>
      <c r="G627" s="6">
        <v>0.76</v>
      </c>
      <c r="H627" s="3">
        <v>13.1</v>
      </c>
      <c r="I627" s="3">
        <v>240</v>
      </c>
      <c r="J627" s="3">
        <v>38</v>
      </c>
      <c r="K627" s="5">
        <v>2077</v>
      </c>
      <c r="L627" s="3">
        <v>65</v>
      </c>
      <c r="M627" s="3">
        <v>1</v>
      </c>
      <c r="N627" s="6">
        <v>0.74</v>
      </c>
      <c r="O627" s="3" t="s">
        <v>37</v>
      </c>
      <c r="P627" s="3" t="s">
        <v>40</v>
      </c>
    </row>
    <row r="628" spans="1:16" x14ac:dyDescent="0.3">
      <c r="A628" s="4">
        <v>46131</v>
      </c>
      <c r="B628" s="3" t="s">
        <v>412</v>
      </c>
      <c r="C628" s="3" t="s">
        <v>401</v>
      </c>
      <c r="D628" s="3" t="s">
        <v>402</v>
      </c>
      <c r="E628" s="3">
        <v>31</v>
      </c>
      <c r="F628" s="3">
        <v>1</v>
      </c>
      <c r="G628" s="6">
        <v>0.82</v>
      </c>
      <c r="H628" s="3">
        <v>14.4</v>
      </c>
      <c r="I628" s="3">
        <v>369</v>
      </c>
      <c r="J628" s="3">
        <v>20</v>
      </c>
      <c r="K628" s="5">
        <v>3948</v>
      </c>
      <c r="L628" s="3">
        <v>1</v>
      </c>
      <c r="M628" s="3">
        <v>3</v>
      </c>
      <c r="N628" s="6">
        <v>0.85</v>
      </c>
      <c r="O628" s="3" t="s">
        <v>18</v>
      </c>
      <c r="P628" s="3" t="s">
        <v>55</v>
      </c>
    </row>
    <row r="629" spans="1:16" x14ac:dyDescent="0.3">
      <c r="A629" s="4">
        <v>46131</v>
      </c>
      <c r="B629" s="3" t="s">
        <v>412</v>
      </c>
      <c r="C629" s="3" t="s">
        <v>401</v>
      </c>
      <c r="D629" s="3" t="s">
        <v>403</v>
      </c>
      <c r="E629" s="3">
        <v>20</v>
      </c>
      <c r="F629" s="3">
        <v>1</v>
      </c>
      <c r="G629" s="6">
        <v>0.86</v>
      </c>
      <c r="H629" s="3">
        <v>16.2</v>
      </c>
      <c r="I629" s="3">
        <v>413</v>
      </c>
      <c r="J629" s="3">
        <v>88</v>
      </c>
      <c r="K629" s="5">
        <v>1437</v>
      </c>
      <c r="L629" s="3">
        <v>69</v>
      </c>
      <c r="M629" s="3">
        <v>5</v>
      </c>
      <c r="N629" s="6">
        <v>0.69</v>
      </c>
      <c r="O629" s="3" t="s">
        <v>37</v>
      </c>
      <c r="P629" s="3" t="s">
        <v>36</v>
      </c>
    </row>
    <row r="630" spans="1:16" x14ac:dyDescent="0.3">
      <c r="A630" s="4">
        <v>46131</v>
      </c>
      <c r="B630" s="3" t="s">
        <v>412</v>
      </c>
      <c r="C630" s="3" t="s">
        <v>404</v>
      </c>
      <c r="D630" s="3" t="s">
        <v>405</v>
      </c>
      <c r="E630" s="3">
        <v>38</v>
      </c>
      <c r="F630" s="3">
        <v>4</v>
      </c>
      <c r="G630" s="6">
        <v>0.88</v>
      </c>
      <c r="H630" s="3">
        <v>10.3</v>
      </c>
      <c r="I630" s="3">
        <v>53</v>
      </c>
      <c r="J630" s="3">
        <v>116</v>
      </c>
      <c r="K630" s="5">
        <v>1080</v>
      </c>
      <c r="L630" s="3">
        <v>104</v>
      </c>
      <c r="M630" s="3">
        <v>8</v>
      </c>
      <c r="N630" s="6">
        <v>0.81</v>
      </c>
      <c r="O630" s="3" t="s">
        <v>26</v>
      </c>
      <c r="P630" s="3" t="s">
        <v>33</v>
      </c>
    </row>
    <row r="631" spans="1:16" x14ac:dyDescent="0.3">
      <c r="A631" s="4">
        <v>46131</v>
      </c>
      <c r="B631" s="3" t="s">
        <v>412</v>
      </c>
      <c r="C631" s="3" t="s">
        <v>404</v>
      </c>
      <c r="D631" s="3" t="s">
        <v>406</v>
      </c>
      <c r="E631" s="3">
        <v>24</v>
      </c>
      <c r="F631" s="3">
        <v>2</v>
      </c>
      <c r="G631" s="6">
        <v>0.81</v>
      </c>
      <c r="H631" s="3">
        <v>8</v>
      </c>
      <c r="I631" s="3">
        <v>98</v>
      </c>
      <c r="J631" s="3">
        <v>36</v>
      </c>
      <c r="K631" s="5">
        <v>3006</v>
      </c>
      <c r="L631" s="3">
        <v>75</v>
      </c>
      <c r="M631" s="3">
        <v>2</v>
      </c>
      <c r="N631" s="6">
        <v>0.71</v>
      </c>
      <c r="O631" s="3" t="s">
        <v>18</v>
      </c>
      <c r="P631" s="3" t="s">
        <v>17</v>
      </c>
    </row>
    <row r="632" spans="1:16" x14ac:dyDescent="0.3">
      <c r="A632" s="4">
        <v>46132</v>
      </c>
      <c r="B632" s="3" t="s">
        <v>397</v>
      </c>
      <c r="C632" s="3" t="s">
        <v>398</v>
      </c>
      <c r="D632" s="3" t="s">
        <v>399</v>
      </c>
      <c r="E632" s="3">
        <v>29</v>
      </c>
      <c r="F632" s="3">
        <v>4</v>
      </c>
      <c r="G632" s="6">
        <v>0.85</v>
      </c>
      <c r="H632" s="3">
        <v>10.5</v>
      </c>
      <c r="I632" s="3">
        <v>248</v>
      </c>
      <c r="J632" s="3">
        <v>113</v>
      </c>
      <c r="K632" s="5">
        <v>2319</v>
      </c>
      <c r="L632" s="3">
        <v>30</v>
      </c>
      <c r="M632" s="3">
        <v>5</v>
      </c>
      <c r="N632" s="6">
        <v>0.87</v>
      </c>
      <c r="O632" s="3" t="s">
        <v>18</v>
      </c>
      <c r="P632" s="3" t="s">
        <v>55</v>
      </c>
    </row>
    <row r="633" spans="1:16" x14ac:dyDescent="0.3">
      <c r="A633" s="4">
        <v>46132</v>
      </c>
      <c r="B633" s="3" t="s">
        <v>397</v>
      </c>
      <c r="C633" s="3" t="s">
        <v>398</v>
      </c>
      <c r="D633" s="3" t="s">
        <v>400</v>
      </c>
      <c r="E633" s="3">
        <v>31</v>
      </c>
      <c r="F633" s="3">
        <v>1</v>
      </c>
      <c r="G633" s="6">
        <v>0.85</v>
      </c>
      <c r="H633" s="3">
        <v>16.600000000000001</v>
      </c>
      <c r="I633" s="3">
        <v>324</v>
      </c>
      <c r="J633" s="3">
        <v>78</v>
      </c>
      <c r="K633" s="5">
        <v>4499</v>
      </c>
      <c r="L633" s="3">
        <v>109</v>
      </c>
      <c r="M633" s="3">
        <v>2</v>
      </c>
      <c r="N633" s="6">
        <v>0.65</v>
      </c>
      <c r="O633" s="3" t="s">
        <v>13</v>
      </c>
      <c r="P633" s="3" t="s">
        <v>12</v>
      </c>
    </row>
    <row r="634" spans="1:16" x14ac:dyDescent="0.3">
      <c r="A634" s="4">
        <v>46132</v>
      </c>
      <c r="B634" s="3" t="s">
        <v>397</v>
      </c>
      <c r="C634" s="3" t="s">
        <v>401</v>
      </c>
      <c r="D634" s="3" t="s">
        <v>402</v>
      </c>
      <c r="E634" s="3">
        <v>30</v>
      </c>
      <c r="F634" s="3">
        <v>1</v>
      </c>
      <c r="G634" s="6">
        <v>0.86</v>
      </c>
      <c r="H634" s="3">
        <v>11</v>
      </c>
      <c r="I634" s="3">
        <v>170</v>
      </c>
      <c r="J634" s="3">
        <v>117</v>
      </c>
      <c r="K634" s="5">
        <v>2663</v>
      </c>
      <c r="L634" s="3">
        <v>99</v>
      </c>
      <c r="M634" s="3">
        <v>4</v>
      </c>
      <c r="N634" s="6">
        <v>0.74</v>
      </c>
      <c r="O634" s="3" t="s">
        <v>37</v>
      </c>
      <c r="P634" s="3" t="s">
        <v>40</v>
      </c>
    </row>
    <row r="635" spans="1:16" x14ac:dyDescent="0.3">
      <c r="A635" s="4">
        <v>46132</v>
      </c>
      <c r="B635" s="3" t="s">
        <v>397</v>
      </c>
      <c r="C635" s="3" t="s">
        <v>401</v>
      </c>
      <c r="D635" s="3" t="s">
        <v>403</v>
      </c>
      <c r="E635" s="3">
        <v>32</v>
      </c>
      <c r="F635" s="3">
        <v>1</v>
      </c>
      <c r="G635" s="6">
        <v>0.75</v>
      </c>
      <c r="H635" s="3">
        <v>11.7</v>
      </c>
      <c r="I635" s="3">
        <v>440</v>
      </c>
      <c r="J635" s="3">
        <v>139</v>
      </c>
      <c r="K635" s="5">
        <v>2406</v>
      </c>
      <c r="L635" s="3">
        <v>37</v>
      </c>
      <c r="M635" s="3">
        <v>3</v>
      </c>
      <c r="N635" s="6">
        <v>0.81</v>
      </c>
      <c r="O635" s="3" t="s">
        <v>18</v>
      </c>
      <c r="P635" s="3" t="s">
        <v>17</v>
      </c>
    </row>
    <row r="636" spans="1:16" x14ac:dyDescent="0.3">
      <c r="A636" s="4">
        <v>46132</v>
      </c>
      <c r="B636" s="3" t="s">
        <v>397</v>
      </c>
      <c r="C636" s="3" t="s">
        <v>404</v>
      </c>
      <c r="D636" s="3" t="s">
        <v>405</v>
      </c>
      <c r="E636" s="3">
        <v>24</v>
      </c>
      <c r="F636" s="3">
        <v>0</v>
      </c>
      <c r="G636" s="6">
        <v>0.77</v>
      </c>
      <c r="H636" s="3">
        <v>10.3</v>
      </c>
      <c r="I636" s="3">
        <v>421</v>
      </c>
      <c r="J636" s="3">
        <v>10</v>
      </c>
      <c r="K636" s="5">
        <v>2972</v>
      </c>
      <c r="L636" s="3">
        <v>85</v>
      </c>
      <c r="M636" s="3">
        <v>2</v>
      </c>
      <c r="N636" s="6">
        <v>0.63</v>
      </c>
      <c r="O636" s="3" t="s">
        <v>13</v>
      </c>
      <c r="P636" s="3" t="s">
        <v>21</v>
      </c>
    </row>
    <row r="637" spans="1:16" x14ac:dyDescent="0.3">
      <c r="A637" s="4">
        <v>46132</v>
      </c>
      <c r="B637" s="3" t="s">
        <v>397</v>
      </c>
      <c r="C637" s="3" t="s">
        <v>404</v>
      </c>
      <c r="D637" s="3" t="s">
        <v>406</v>
      </c>
      <c r="E637" s="3">
        <v>35</v>
      </c>
      <c r="F637" s="3">
        <v>0</v>
      </c>
      <c r="G637" s="6">
        <v>0.75</v>
      </c>
      <c r="H637" s="3">
        <v>12.3</v>
      </c>
      <c r="I637" s="3">
        <v>56</v>
      </c>
      <c r="J637" s="3">
        <v>44</v>
      </c>
      <c r="K637" s="5">
        <v>3268</v>
      </c>
      <c r="L637" s="3">
        <v>79</v>
      </c>
      <c r="M637" s="3">
        <v>5</v>
      </c>
      <c r="N637" s="6">
        <v>0.6</v>
      </c>
      <c r="O637" s="3" t="s">
        <v>26</v>
      </c>
      <c r="P637" s="3" t="s">
        <v>25</v>
      </c>
    </row>
    <row r="638" spans="1:16" x14ac:dyDescent="0.3">
      <c r="A638" s="4">
        <v>46133</v>
      </c>
      <c r="B638" s="3" t="s">
        <v>407</v>
      </c>
      <c r="C638" s="3" t="s">
        <v>398</v>
      </c>
      <c r="D638" s="3" t="s">
        <v>399</v>
      </c>
      <c r="E638" s="3">
        <v>32</v>
      </c>
      <c r="F638" s="3">
        <v>0</v>
      </c>
      <c r="G638" s="6">
        <v>0.77</v>
      </c>
      <c r="H638" s="3">
        <v>10.3</v>
      </c>
      <c r="I638" s="3">
        <v>262</v>
      </c>
      <c r="J638" s="3">
        <v>93</v>
      </c>
      <c r="K638" s="5">
        <v>3234</v>
      </c>
      <c r="L638" s="3">
        <v>61</v>
      </c>
      <c r="M638" s="3">
        <v>8</v>
      </c>
      <c r="N638" s="6">
        <v>0.71</v>
      </c>
      <c r="O638" s="3" t="s">
        <v>29</v>
      </c>
      <c r="P638" s="3" t="s">
        <v>66</v>
      </c>
    </row>
    <row r="639" spans="1:16" x14ac:dyDescent="0.3">
      <c r="A639" s="4">
        <v>46133</v>
      </c>
      <c r="B639" s="3" t="s">
        <v>407</v>
      </c>
      <c r="C639" s="3" t="s">
        <v>398</v>
      </c>
      <c r="D639" s="3" t="s">
        <v>400</v>
      </c>
      <c r="E639" s="3">
        <v>34</v>
      </c>
      <c r="F639" s="3">
        <v>0</v>
      </c>
      <c r="G639" s="6">
        <v>0.75</v>
      </c>
      <c r="H639" s="3">
        <v>16.600000000000001</v>
      </c>
      <c r="I639" s="3">
        <v>139</v>
      </c>
      <c r="J639" s="3">
        <v>68</v>
      </c>
      <c r="K639" s="5">
        <v>1718</v>
      </c>
      <c r="L639" s="3">
        <v>46</v>
      </c>
      <c r="M639" s="3">
        <v>6</v>
      </c>
      <c r="N639" s="6">
        <v>0.72</v>
      </c>
      <c r="O639" s="3" t="s">
        <v>37</v>
      </c>
      <c r="P639" s="3" t="s">
        <v>40</v>
      </c>
    </row>
    <row r="640" spans="1:16" x14ac:dyDescent="0.3">
      <c r="A640" s="4">
        <v>46133</v>
      </c>
      <c r="B640" s="3" t="s">
        <v>407</v>
      </c>
      <c r="C640" s="3" t="s">
        <v>401</v>
      </c>
      <c r="D640" s="3" t="s">
        <v>402</v>
      </c>
      <c r="E640" s="3">
        <v>34</v>
      </c>
      <c r="F640" s="3">
        <v>0</v>
      </c>
      <c r="G640" s="6">
        <v>0.83</v>
      </c>
      <c r="H640" s="3">
        <v>12.2</v>
      </c>
      <c r="I640" s="3">
        <v>143</v>
      </c>
      <c r="J640" s="3">
        <v>128</v>
      </c>
      <c r="K640" s="5">
        <v>896</v>
      </c>
      <c r="L640" s="3">
        <v>90</v>
      </c>
      <c r="M640" s="3">
        <v>1</v>
      </c>
      <c r="N640" s="6">
        <v>0.87</v>
      </c>
      <c r="O640" s="3" t="s">
        <v>13</v>
      </c>
      <c r="P640" s="3" t="s">
        <v>12</v>
      </c>
    </row>
    <row r="641" spans="1:16" x14ac:dyDescent="0.3">
      <c r="A641" s="4">
        <v>46133</v>
      </c>
      <c r="B641" s="3" t="s">
        <v>407</v>
      </c>
      <c r="C641" s="3" t="s">
        <v>401</v>
      </c>
      <c r="D641" s="3" t="s">
        <v>403</v>
      </c>
      <c r="E641" s="3">
        <v>36</v>
      </c>
      <c r="F641" s="3">
        <v>0</v>
      </c>
      <c r="G641" s="6">
        <v>0.8</v>
      </c>
      <c r="H641" s="3">
        <v>18.2</v>
      </c>
      <c r="I641" s="3">
        <v>316</v>
      </c>
      <c r="J641" s="3">
        <v>35</v>
      </c>
      <c r="K641" s="5">
        <v>1733</v>
      </c>
      <c r="L641" s="3">
        <v>91</v>
      </c>
      <c r="M641" s="3">
        <v>7</v>
      </c>
      <c r="N641" s="6">
        <v>0.82</v>
      </c>
      <c r="O641" s="3" t="s">
        <v>37</v>
      </c>
      <c r="P641" s="3" t="s">
        <v>40</v>
      </c>
    </row>
    <row r="642" spans="1:16" x14ac:dyDescent="0.3">
      <c r="A642" s="4">
        <v>46133</v>
      </c>
      <c r="B642" s="3" t="s">
        <v>407</v>
      </c>
      <c r="C642" s="3" t="s">
        <v>404</v>
      </c>
      <c r="D642" s="3" t="s">
        <v>405</v>
      </c>
      <c r="E642" s="3">
        <v>32</v>
      </c>
      <c r="F642" s="3">
        <v>2</v>
      </c>
      <c r="G642" s="6">
        <v>0.89</v>
      </c>
      <c r="H642" s="3">
        <v>17.2</v>
      </c>
      <c r="I642" s="3">
        <v>413</v>
      </c>
      <c r="J642" s="3">
        <v>14</v>
      </c>
      <c r="K642" s="5">
        <v>2760</v>
      </c>
      <c r="L642" s="3">
        <v>65</v>
      </c>
      <c r="M642" s="3">
        <v>2</v>
      </c>
      <c r="N642" s="6">
        <v>0.93</v>
      </c>
      <c r="O642" s="3" t="s">
        <v>18</v>
      </c>
      <c r="P642" s="3" t="s">
        <v>17</v>
      </c>
    </row>
    <row r="643" spans="1:16" x14ac:dyDescent="0.3">
      <c r="A643" s="4">
        <v>46133</v>
      </c>
      <c r="B643" s="3" t="s">
        <v>407</v>
      </c>
      <c r="C643" s="3" t="s">
        <v>404</v>
      </c>
      <c r="D643" s="3" t="s">
        <v>406</v>
      </c>
      <c r="E643" s="3">
        <v>27</v>
      </c>
      <c r="F643" s="3">
        <v>0</v>
      </c>
      <c r="G643" s="6">
        <v>0.84</v>
      </c>
      <c r="H643" s="3">
        <v>7.8</v>
      </c>
      <c r="I643" s="3">
        <v>396</v>
      </c>
      <c r="J643" s="3">
        <v>3</v>
      </c>
      <c r="K643" s="5">
        <v>2341</v>
      </c>
      <c r="L643" s="3">
        <v>30</v>
      </c>
      <c r="M643" s="3">
        <v>6</v>
      </c>
      <c r="N643" s="6">
        <v>0.74</v>
      </c>
      <c r="O643" s="3" t="s">
        <v>29</v>
      </c>
      <c r="P643" s="3" t="s">
        <v>66</v>
      </c>
    </row>
    <row r="644" spans="1:16" x14ac:dyDescent="0.3">
      <c r="A644" s="4">
        <v>46134</v>
      </c>
      <c r="B644" s="3" t="s">
        <v>408</v>
      </c>
      <c r="C644" s="3" t="s">
        <v>398</v>
      </c>
      <c r="D644" s="3" t="s">
        <v>399</v>
      </c>
      <c r="E644" s="3">
        <v>24</v>
      </c>
      <c r="F644" s="3">
        <v>0</v>
      </c>
      <c r="G644" s="6">
        <v>0.82</v>
      </c>
      <c r="H644" s="3">
        <v>8</v>
      </c>
      <c r="I644" s="3">
        <v>269</v>
      </c>
      <c r="J644" s="3">
        <v>16</v>
      </c>
      <c r="K644" s="5">
        <v>2607</v>
      </c>
      <c r="L644" s="3">
        <v>87</v>
      </c>
      <c r="M644" s="3">
        <v>3</v>
      </c>
      <c r="N644" s="6">
        <v>0.68</v>
      </c>
      <c r="O644" s="3" t="s">
        <v>29</v>
      </c>
      <c r="P644" s="3" t="s">
        <v>28</v>
      </c>
    </row>
    <row r="645" spans="1:16" x14ac:dyDescent="0.3">
      <c r="A645" s="4">
        <v>46134</v>
      </c>
      <c r="B645" s="3" t="s">
        <v>408</v>
      </c>
      <c r="C645" s="3" t="s">
        <v>398</v>
      </c>
      <c r="D645" s="3" t="s">
        <v>400</v>
      </c>
      <c r="E645" s="3">
        <v>27</v>
      </c>
      <c r="F645" s="3">
        <v>0</v>
      </c>
      <c r="G645" s="6">
        <v>0.74</v>
      </c>
      <c r="H645" s="3">
        <v>16.3</v>
      </c>
      <c r="I645" s="3">
        <v>404</v>
      </c>
      <c r="J645" s="3">
        <v>140</v>
      </c>
      <c r="K645" s="5">
        <v>2860</v>
      </c>
      <c r="L645" s="3">
        <v>35</v>
      </c>
      <c r="M645" s="3">
        <v>6</v>
      </c>
      <c r="N645" s="6">
        <v>0.57999999999999996</v>
      </c>
      <c r="O645" s="3" t="s">
        <v>13</v>
      </c>
      <c r="P645" s="3" t="s">
        <v>12</v>
      </c>
    </row>
    <row r="646" spans="1:16" x14ac:dyDescent="0.3">
      <c r="A646" s="4">
        <v>46134</v>
      </c>
      <c r="B646" s="3" t="s">
        <v>408</v>
      </c>
      <c r="C646" s="3" t="s">
        <v>401</v>
      </c>
      <c r="D646" s="3" t="s">
        <v>402</v>
      </c>
      <c r="E646" s="3">
        <v>31</v>
      </c>
      <c r="F646" s="3">
        <v>0</v>
      </c>
      <c r="G646" s="6">
        <v>0.89</v>
      </c>
      <c r="H646" s="3">
        <v>11.8</v>
      </c>
      <c r="I646" s="3">
        <v>31</v>
      </c>
      <c r="J646" s="3">
        <v>103</v>
      </c>
      <c r="K646" s="5">
        <v>545</v>
      </c>
      <c r="L646" s="3">
        <v>97</v>
      </c>
      <c r="M646" s="3">
        <v>3</v>
      </c>
      <c r="N646" s="6">
        <v>0.73</v>
      </c>
      <c r="O646" s="3" t="s">
        <v>18</v>
      </c>
      <c r="P646" s="3" t="s">
        <v>17</v>
      </c>
    </row>
    <row r="647" spans="1:16" x14ac:dyDescent="0.3">
      <c r="A647" s="4">
        <v>46134</v>
      </c>
      <c r="B647" s="3" t="s">
        <v>408</v>
      </c>
      <c r="C647" s="3" t="s">
        <v>401</v>
      </c>
      <c r="D647" s="3" t="s">
        <v>403</v>
      </c>
      <c r="E647" s="3">
        <v>30</v>
      </c>
      <c r="F647" s="3">
        <v>0</v>
      </c>
      <c r="G647" s="6">
        <v>0.86</v>
      </c>
      <c r="H647" s="3">
        <v>14.5</v>
      </c>
      <c r="I647" s="3">
        <v>374</v>
      </c>
      <c r="J647" s="3">
        <v>92</v>
      </c>
      <c r="K647" s="5">
        <v>2669</v>
      </c>
      <c r="L647" s="3">
        <v>109</v>
      </c>
      <c r="M647" s="3">
        <v>1</v>
      </c>
      <c r="N647" s="6">
        <v>0.7</v>
      </c>
      <c r="O647" s="3" t="s">
        <v>13</v>
      </c>
      <c r="P647" s="3" t="s">
        <v>21</v>
      </c>
    </row>
    <row r="648" spans="1:16" x14ac:dyDescent="0.3">
      <c r="A648" s="4">
        <v>46134</v>
      </c>
      <c r="B648" s="3" t="s">
        <v>408</v>
      </c>
      <c r="C648" s="3" t="s">
        <v>404</v>
      </c>
      <c r="D648" s="3" t="s">
        <v>405</v>
      </c>
      <c r="E648" s="3">
        <v>30</v>
      </c>
      <c r="F648" s="3">
        <v>0</v>
      </c>
      <c r="G648" s="6">
        <v>0.78</v>
      </c>
      <c r="H648" s="3">
        <v>9.1</v>
      </c>
      <c r="I648" s="3">
        <v>197</v>
      </c>
      <c r="J648" s="3">
        <v>23</v>
      </c>
      <c r="K648" s="5">
        <v>3366</v>
      </c>
      <c r="L648" s="3">
        <v>81</v>
      </c>
      <c r="M648" s="3">
        <v>5</v>
      </c>
      <c r="N648" s="6">
        <v>0.64</v>
      </c>
      <c r="O648" s="3" t="s">
        <v>37</v>
      </c>
      <c r="P648" s="3" t="s">
        <v>40</v>
      </c>
    </row>
    <row r="649" spans="1:16" x14ac:dyDescent="0.3">
      <c r="A649" s="4">
        <v>46134</v>
      </c>
      <c r="B649" s="3" t="s">
        <v>408</v>
      </c>
      <c r="C649" s="3" t="s">
        <v>404</v>
      </c>
      <c r="D649" s="3" t="s">
        <v>406</v>
      </c>
      <c r="E649" s="3">
        <v>23</v>
      </c>
      <c r="F649" s="3">
        <v>0</v>
      </c>
      <c r="G649" s="6">
        <v>0.73</v>
      </c>
      <c r="H649" s="3">
        <v>16.399999999999999</v>
      </c>
      <c r="I649" s="3">
        <v>330</v>
      </c>
      <c r="J649" s="3">
        <v>123</v>
      </c>
      <c r="K649" s="5">
        <v>1487</v>
      </c>
      <c r="L649" s="3">
        <v>1</v>
      </c>
      <c r="M649" s="3">
        <v>0</v>
      </c>
      <c r="N649" s="6">
        <v>0.71</v>
      </c>
      <c r="O649" s="3" t="s">
        <v>37</v>
      </c>
      <c r="P649" s="3" t="s">
        <v>36</v>
      </c>
    </row>
    <row r="650" spans="1:16" x14ac:dyDescent="0.3">
      <c r="A650" s="4">
        <v>46135</v>
      </c>
      <c r="B650" s="3" t="s">
        <v>409</v>
      </c>
      <c r="C650" s="3" t="s">
        <v>398</v>
      </c>
      <c r="D650" s="3" t="s">
        <v>399</v>
      </c>
      <c r="E650" s="3">
        <v>37</v>
      </c>
      <c r="F650" s="3">
        <v>2</v>
      </c>
      <c r="G650" s="6">
        <v>0.77</v>
      </c>
      <c r="H650" s="3">
        <v>8.3000000000000007</v>
      </c>
      <c r="I650" s="3">
        <v>222</v>
      </c>
      <c r="J650" s="3">
        <v>48</v>
      </c>
      <c r="K650" s="5">
        <v>3210</v>
      </c>
      <c r="L650" s="3">
        <v>101</v>
      </c>
      <c r="M650" s="3">
        <v>7</v>
      </c>
      <c r="N650" s="6">
        <v>0.7</v>
      </c>
      <c r="O650" s="3" t="s">
        <v>26</v>
      </c>
      <c r="P650" s="3" t="s">
        <v>25</v>
      </c>
    </row>
    <row r="651" spans="1:16" x14ac:dyDescent="0.3">
      <c r="A651" s="4">
        <v>46135</v>
      </c>
      <c r="B651" s="3" t="s">
        <v>409</v>
      </c>
      <c r="C651" s="3" t="s">
        <v>398</v>
      </c>
      <c r="D651" s="3" t="s">
        <v>400</v>
      </c>
      <c r="E651" s="3">
        <v>32</v>
      </c>
      <c r="F651" s="3">
        <v>2</v>
      </c>
      <c r="G651" s="6">
        <v>0.75</v>
      </c>
      <c r="H651" s="3">
        <v>14.2</v>
      </c>
      <c r="I651" s="3">
        <v>88</v>
      </c>
      <c r="J651" s="3">
        <v>145</v>
      </c>
      <c r="K651" s="5">
        <v>1071</v>
      </c>
      <c r="L651" s="3">
        <v>73</v>
      </c>
      <c r="M651" s="3">
        <v>0</v>
      </c>
      <c r="N651" s="6">
        <v>0.64</v>
      </c>
      <c r="O651" s="3" t="s">
        <v>18</v>
      </c>
      <c r="P651" s="3" t="s">
        <v>55</v>
      </c>
    </row>
    <row r="652" spans="1:16" x14ac:dyDescent="0.3">
      <c r="A652" s="4">
        <v>46135</v>
      </c>
      <c r="B652" s="3" t="s">
        <v>409</v>
      </c>
      <c r="C652" s="3" t="s">
        <v>401</v>
      </c>
      <c r="D652" s="3" t="s">
        <v>402</v>
      </c>
      <c r="E652" s="3">
        <v>28</v>
      </c>
      <c r="F652" s="3">
        <v>0</v>
      </c>
      <c r="G652" s="6">
        <v>0.81</v>
      </c>
      <c r="H652" s="3">
        <v>18.3</v>
      </c>
      <c r="I652" s="3">
        <v>32</v>
      </c>
      <c r="J652" s="3">
        <v>117</v>
      </c>
      <c r="K652" s="5">
        <v>2072</v>
      </c>
      <c r="L652" s="3">
        <v>4</v>
      </c>
      <c r="M652" s="3">
        <v>5</v>
      </c>
      <c r="N652" s="6">
        <v>0.68</v>
      </c>
      <c r="O652" s="3" t="s">
        <v>37</v>
      </c>
      <c r="P652" s="3" t="s">
        <v>40</v>
      </c>
    </row>
    <row r="653" spans="1:16" x14ac:dyDescent="0.3">
      <c r="A653" s="4">
        <v>46135</v>
      </c>
      <c r="B653" s="3" t="s">
        <v>409</v>
      </c>
      <c r="C653" s="3" t="s">
        <v>401</v>
      </c>
      <c r="D653" s="3" t="s">
        <v>403</v>
      </c>
      <c r="E653" s="3">
        <v>30</v>
      </c>
      <c r="F653" s="3">
        <v>2</v>
      </c>
      <c r="G653" s="6">
        <v>0.86</v>
      </c>
      <c r="H653" s="3">
        <v>17.2</v>
      </c>
      <c r="I653" s="3">
        <v>177</v>
      </c>
      <c r="J653" s="3">
        <v>139</v>
      </c>
      <c r="K653" s="5">
        <v>640</v>
      </c>
      <c r="L653" s="3">
        <v>70</v>
      </c>
      <c r="M653" s="3">
        <v>5</v>
      </c>
      <c r="N653" s="6">
        <v>0.82</v>
      </c>
      <c r="O653" s="3" t="s">
        <v>37</v>
      </c>
      <c r="P653" s="3" t="s">
        <v>40</v>
      </c>
    </row>
    <row r="654" spans="1:16" x14ac:dyDescent="0.3">
      <c r="A654" s="4">
        <v>46135</v>
      </c>
      <c r="B654" s="3" t="s">
        <v>409</v>
      </c>
      <c r="C654" s="3" t="s">
        <v>404</v>
      </c>
      <c r="D654" s="3" t="s">
        <v>405</v>
      </c>
      <c r="E654" s="3">
        <v>27</v>
      </c>
      <c r="F654" s="3">
        <v>0</v>
      </c>
      <c r="G654" s="6">
        <v>0.87</v>
      </c>
      <c r="H654" s="3">
        <v>11.5</v>
      </c>
      <c r="I654" s="3">
        <v>115</v>
      </c>
      <c r="J654" s="3">
        <v>70</v>
      </c>
      <c r="K654" s="5">
        <v>3042</v>
      </c>
      <c r="L654" s="3">
        <v>96</v>
      </c>
      <c r="M654" s="3">
        <v>4</v>
      </c>
      <c r="N654" s="6">
        <v>0.88</v>
      </c>
      <c r="O654" s="3" t="s">
        <v>13</v>
      </c>
      <c r="P654" s="3" t="s">
        <v>12</v>
      </c>
    </row>
    <row r="655" spans="1:16" x14ac:dyDescent="0.3">
      <c r="A655" s="4">
        <v>46135</v>
      </c>
      <c r="B655" s="3" t="s">
        <v>409</v>
      </c>
      <c r="C655" s="3" t="s">
        <v>404</v>
      </c>
      <c r="D655" s="3" t="s">
        <v>406</v>
      </c>
      <c r="E655" s="3">
        <v>24</v>
      </c>
      <c r="F655" s="3">
        <v>0</v>
      </c>
      <c r="G655" s="6">
        <v>0.75</v>
      </c>
      <c r="H655" s="3">
        <v>13.6</v>
      </c>
      <c r="I655" s="3">
        <v>339</v>
      </c>
      <c r="J655" s="3">
        <v>30</v>
      </c>
      <c r="K655" s="5">
        <v>499</v>
      </c>
      <c r="L655" s="3">
        <v>76</v>
      </c>
      <c r="M655" s="3">
        <v>1</v>
      </c>
      <c r="N655" s="6">
        <v>0.73</v>
      </c>
      <c r="O655" s="3" t="s">
        <v>26</v>
      </c>
      <c r="P655" s="3" t="s">
        <v>33</v>
      </c>
    </row>
    <row r="656" spans="1:16" x14ac:dyDescent="0.3">
      <c r="A656" s="4">
        <v>46136</v>
      </c>
      <c r="B656" s="3" t="s">
        <v>410</v>
      </c>
      <c r="C656" s="3" t="s">
        <v>398</v>
      </c>
      <c r="D656" s="3" t="s">
        <v>399</v>
      </c>
      <c r="E656" s="3">
        <v>25</v>
      </c>
      <c r="F656" s="3">
        <v>0</v>
      </c>
      <c r="G656" s="6">
        <v>0.89</v>
      </c>
      <c r="H656" s="3">
        <v>10.6</v>
      </c>
      <c r="I656" s="3">
        <v>152</v>
      </c>
      <c r="J656" s="3">
        <v>56</v>
      </c>
      <c r="K656" s="5">
        <v>1641</v>
      </c>
      <c r="L656" s="3">
        <v>76</v>
      </c>
      <c r="M656" s="3">
        <v>4</v>
      </c>
      <c r="N656" s="6">
        <v>0.79</v>
      </c>
      <c r="O656" s="3" t="s">
        <v>29</v>
      </c>
      <c r="P656" s="3" t="s">
        <v>66</v>
      </c>
    </row>
    <row r="657" spans="1:16" x14ac:dyDescent="0.3">
      <c r="A657" s="4">
        <v>46136</v>
      </c>
      <c r="B657" s="3" t="s">
        <v>410</v>
      </c>
      <c r="C657" s="3" t="s">
        <v>398</v>
      </c>
      <c r="D657" s="3" t="s">
        <v>400</v>
      </c>
      <c r="E657" s="3">
        <v>21</v>
      </c>
      <c r="F657" s="3">
        <v>0</v>
      </c>
      <c r="G657" s="6">
        <v>0.73</v>
      </c>
      <c r="H657" s="3">
        <v>15</v>
      </c>
      <c r="I657" s="3">
        <v>268</v>
      </c>
      <c r="J657" s="3">
        <v>53</v>
      </c>
      <c r="K657" s="5">
        <v>396</v>
      </c>
      <c r="L657" s="3">
        <v>28</v>
      </c>
      <c r="M657" s="3">
        <v>0</v>
      </c>
      <c r="N657" s="6">
        <v>0.67</v>
      </c>
      <c r="O657" s="3" t="s">
        <v>26</v>
      </c>
      <c r="P657" s="3" t="s">
        <v>25</v>
      </c>
    </row>
    <row r="658" spans="1:16" x14ac:dyDescent="0.3">
      <c r="A658" s="4">
        <v>46136</v>
      </c>
      <c r="B658" s="3" t="s">
        <v>410</v>
      </c>
      <c r="C658" s="3" t="s">
        <v>401</v>
      </c>
      <c r="D658" s="3" t="s">
        <v>402</v>
      </c>
      <c r="E658" s="3">
        <v>24</v>
      </c>
      <c r="F658" s="3">
        <v>1</v>
      </c>
      <c r="G658" s="6">
        <v>0.78</v>
      </c>
      <c r="H658" s="3">
        <v>15</v>
      </c>
      <c r="I658" s="3">
        <v>301</v>
      </c>
      <c r="J658" s="3">
        <v>118</v>
      </c>
      <c r="K658" s="5">
        <v>1182</v>
      </c>
      <c r="L658" s="3">
        <v>3</v>
      </c>
      <c r="M658" s="3">
        <v>4</v>
      </c>
      <c r="N658" s="6">
        <v>0.79</v>
      </c>
      <c r="O658" s="3" t="s">
        <v>29</v>
      </c>
      <c r="P658" s="3" t="s">
        <v>66</v>
      </c>
    </row>
    <row r="659" spans="1:16" x14ac:dyDescent="0.3">
      <c r="A659" s="4">
        <v>46136</v>
      </c>
      <c r="B659" s="3" t="s">
        <v>410</v>
      </c>
      <c r="C659" s="3" t="s">
        <v>401</v>
      </c>
      <c r="D659" s="3" t="s">
        <v>403</v>
      </c>
      <c r="E659" s="3">
        <v>23</v>
      </c>
      <c r="F659" s="3">
        <v>0</v>
      </c>
      <c r="G659" s="6">
        <v>0.75</v>
      </c>
      <c r="H659" s="3">
        <v>16.7</v>
      </c>
      <c r="I659" s="3">
        <v>271</v>
      </c>
      <c r="J659" s="3">
        <v>10</v>
      </c>
      <c r="K659" s="5">
        <v>4041</v>
      </c>
      <c r="L659" s="3">
        <v>116</v>
      </c>
      <c r="M659" s="3">
        <v>5</v>
      </c>
      <c r="N659" s="6">
        <v>0.65</v>
      </c>
      <c r="O659" s="3" t="s">
        <v>26</v>
      </c>
      <c r="P659" s="3" t="s">
        <v>25</v>
      </c>
    </row>
    <row r="660" spans="1:16" x14ac:dyDescent="0.3">
      <c r="A660" s="4">
        <v>46136</v>
      </c>
      <c r="B660" s="3" t="s">
        <v>410</v>
      </c>
      <c r="C660" s="3" t="s">
        <v>404</v>
      </c>
      <c r="D660" s="3" t="s">
        <v>405</v>
      </c>
      <c r="E660" s="3">
        <v>33</v>
      </c>
      <c r="F660" s="3">
        <v>0</v>
      </c>
      <c r="G660" s="6">
        <v>0.73</v>
      </c>
      <c r="H660" s="3">
        <v>8.6999999999999993</v>
      </c>
      <c r="I660" s="3">
        <v>249</v>
      </c>
      <c r="J660" s="3">
        <v>32</v>
      </c>
      <c r="K660" s="5">
        <v>2616</v>
      </c>
      <c r="L660" s="3">
        <v>107</v>
      </c>
      <c r="M660" s="3">
        <v>2</v>
      </c>
      <c r="N660" s="6">
        <v>0.64</v>
      </c>
      <c r="O660" s="3" t="s">
        <v>29</v>
      </c>
      <c r="P660" s="3" t="s">
        <v>66</v>
      </c>
    </row>
    <row r="661" spans="1:16" x14ac:dyDescent="0.3">
      <c r="A661" s="4">
        <v>46136</v>
      </c>
      <c r="B661" s="3" t="s">
        <v>410</v>
      </c>
      <c r="C661" s="3" t="s">
        <v>404</v>
      </c>
      <c r="D661" s="3" t="s">
        <v>406</v>
      </c>
      <c r="E661" s="3">
        <v>26</v>
      </c>
      <c r="F661" s="3">
        <v>0</v>
      </c>
      <c r="G661" s="6">
        <v>0.8</v>
      </c>
      <c r="H661" s="3">
        <v>17.399999999999999</v>
      </c>
      <c r="I661" s="3">
        <v>288</v>
      </c>
      <c r="J661" s="3">
        <v>42</v>
      </c>
      <c r="K661" s="5">
        <v>2018</v>
      </c>
      <c r="L661" s="3">
        <v>52</v>
      </c>
      <c r="M661" s="3">
        <v>2</v>
      </c>
      <c r="N661" s="6">
        <v>0.78</v>
      </c>
      <c r="O661" s="3" t="s">
        <v>29</v>
      </c>
      <c r="P661" s="3" t="s">
        <v>28</v>
      </c>
    </row>
    <row r="662" spans="1:16" x14ac:dyDescent="0.3">
      <c r="A662" s="4">
        <v>46137</v>
      </c>
      <c r="B662" s="3" t="s">
        <v>411</v>
      </c>
      <c r="C662" s="3" t="s">
        <v>398</v>
      </c>
      <c r="D662" s="3" t="s">
        <v>399</v>
      </c>
      <c r="E662" s="3">
        <v>24</v>
      </c>
      <c r="F662" s="3">
        <v>0</v>
      </c>
      <c r="G662" s="6">
        <v>0.73</v>
      </c>
      <c r="H662" s="3">
        <v>8.8000000000000007</v>
      </c>
      <c r="I662" s="3">
        <v>260</v>
      </c>
      <c r="J662" s="3">
        <v>65</v>
      </c>
      <c r="K662" s="5">
        <v>3974</v>
      </c>
      <c r="L662" s="3">
        <v>23</v>
      </c>
      <c r="M662" s="3">
        <v>2</v>
      </c>
      <c r="N662" s="6">
        <v>0.65</v>
      </c>
      <c r="O662" s="3" t="s">
        <v>37</v>
      </c>
      <c r="P662" s="3" t="s">
        <v>36</v>
      </c>
    </row>
    <row r="663" spans="1:16" x14ac:dyDescent="0.3">
      <c r="A663" s="4">
        <v>46137</v>
      </c>
      <c r="B663" s="3" t="s">
        <v>411</v>
      </c>
      <c r="C663" s="3" t="s">
        <v>398</v>
      </c>
      <c r="D663" s="3" t="s">
        <v>400</v>
      </c>
      <c r="E663" s="3">
        <v>38</v>
      </c>
      <c r="F663" s="3">
        <v>0</v>
      </c>
      <c r="G663" s="6">
        <v>0.73</v>
      </c>
      <c r="H663" s="3">
        <v>12.1</v>
      </c>
      <c r="I663" s="3">
        <v>218</v>
      </c>
      <c r="J663" s="3">
        <v>119</v>
      </c>
      <c r="K663" s="5">
        <v>747</v>
      </c>
      <c r="L663" s="3">
        <v>82</v>
      </c>
      <c r="M663" s="3">
        <v>6</v>
      </c>
      <c r="N663" s="6">
        <v>0.6</v>
      </c>
      <c r="O663" s="3" t="s">
        <v>29</v>
      </c>
      <c r="P663" s="3" t="s">
        <v>28</v>
      </c>
    </row>
    <row r="664" spans="1:16" x14ac:dyDescent="0.3">
      <c r="A664" s="4">
        <v>46137</v>
      </c>
      <c r="B664" s="3" t="s">
        <v>411</v>
      </c>
      <c r="C664" s="3" t="s">
        <v>401</v>
      </c>
      <c r="D664" s="3" t="s">
        <v>402</v>
      </c>
      <c r="E664" s="3">
        <v>28</v>
      </c>
      <c r="F664" s="3">
        <v>0</v>
      </c>
      <c r="G664" s="6">
        <v>0.8</v>
      </c>
      <c r="H664" s="3">
        <v>15.1</v>
      </c>
      <c r="I664" s="3">
        <v>53</v>
      </c>
      <c r="J664" s="3">
        <v>93</v>
      </c>
      <c r="K664" s="5">
        <v>3095</v>
      </c>
      <c r="L664" s="3">
        <v>93</v>
      </c>
      <c r="M664" s="3">
        <v>5</v>
      </c>
      <c r="N664" s="6">
        <v>0.62</v>
      </c>
      <c r="O664" s="3" t="s">
        <v>13</v>
      </c>
      <c r="P664" s="3" t="s">
        <v>21</v>
      </c>
    </row>
    <row r="665" spans="1:16" x14ac:dyDescent="0.3">
      <c r="A665" s="4">
        <v>46137</v>
      </c>
      <c r="B665" s="3" t="s">
        <v>411</v>
      </c>
      <c r="C665" s="3" t="s">
        <v>401</v>
      </c>
      <c r="D665" s="3" t="s">
        <v>403</v>
      </c>
      <c r="E665" s="3">
        <v>37</v>
      </c>
      <c r="F665" s="3">
        <v>1</v>
      </c>
      <c r="G665" s="6">
        <v>0.84</v>
      </c>
      <c r="H665" s="3">
        <v>13</v>
      </c>
      <c r="I665" s="3">
        <v>432</v>
      </c>
      <c r="J665" s="3">
        <v>16</v>
      </c>
      <c r="K665" s="5">
        <v>4232</v>
      </c>
      <c r="L665" s="3">
        <v>105</v>
      </c>
      <c r="M665" s="3">
        <v>8</v>
      </c>
      <c r="N665" s="6">
        <v>0.75</v>
      </c>
      <c r="O665" s="3" t="s">
        <v>29</v>
      </c>
      <c r="P665" s="3" t="s">
        <v>66</v>
      </c>
    </row>
    <row r="666" spans="1:16" x14ac:dyDescent="0.3">
      <c r="A666" s="4">
        <v>46137</v>
      </c>
      <c r="B666" s="3" t="s">
        <v>411</v>
      </c>
      <c r="C666" s="3" t="s">
        <v>404</v>
      </c>
      <c r="D666" s="3" t="s">
        <v>405</v>
      </c>
      <c r="E666" s="3">
        <v>37</v>
      </c>
      <c r="F666" s="3">
        <v>0</v>
      </c>
      <c r="G666" s="6">
        <v>0.75</v>
      </c>
      <c r="H666" s="3">
        <v>15.6</v>
      </c>
      <c r="I666" s="3">
        <v>140</v>
      </c>
      <c r="J666" s="3">
        <v>70</v>
      </c>
      <c r="K666" s="5">
        <v>2382</v>
      </c>
      <c r="L666" s="3">
        <v>46</v>
      </c>
      <c r="M666" s="3">
        <v>6</v>
      </c>
      <c r="N666" s="6">
        <v>0.63</v>
      </c>
      <c r="O666" s="3" t="s">
        <v>13</v>
      </c>
      <c r="P666" s="3" t="s">
        <v>21</v>
      </c>
    </row>
    <row r="667" spans="1:16" x14ac:dyDescent="0.3">
      <c r="A667" s="4">
        <v>46137</v>
      </c>
      <c r="B667" s="3" t="s">
        <v>411</v>
      </c>
      <c r="C667" s="3" t="s">
        <v>404</v>
      </c>
      <c r="D667" s="3" t="s">
        <v>406</v>
      </c>
      <c r="E667" s="3">
        <v>20</v>
      </c>
      <c r="F667" s="3">
        <v>1</v>
      </c>
      <c r="G667" s="6">
        <v>0.83</v>
      </c>
      <c r="H667" s="3">
        <v>17.3</v>
      </c>
      <c r="I667" s="3">
        <v>390</v>
      </c>
      <c r="J667" s="3">
        <v>30</v>
      </c>
      <c r="K667" s="5">
        <v>1498</v>
      </c>
      <c r="L667" s="3">
        <v>108</v>
      </c>
      <c r="M667" s="3">
        <v>5</v>
      </c>
      <c r="N667" s="6">
        <v>0.65</v>
      </c>
      <c r="O667" s="3" t="s">
        <v>26</v>
      </c>
      <c r="P667" s="3" t="s">
        <v>33</v>
      </c>
    </row>
    <row r="668" spans="1:16" x14ac:dyDescent="0.3">
      <c r="A668" s="4">
        <v>46138</v>
      </c>
      <c r="B668" s="3" t="s">
        <v>412</v>
      </c>
      <c r="C668" s="3" t="s">
        <v>398</v>
      </c>
      <c r="D668" s="3" t="s">
        <v>399</v>
      </c>
      <c r="E668" s="3">
        <v>21</v>
      </c>
      <c r="F668" s="3">
        <v>0</v>
      </c>
      <c r="G668" s="6">
        <v>0.73</v>
      </c>
      <c r="H668" s="3">
        <v>14.8</v>
      </c>
      <c r="I668" s="3">
        <v>158</v>
      </c>
      <c r="J668" s="3">
        <v>148</v>
      </c>
      <c r="K668" s="5">
        <v>1982</v>
      </c>
      <c r="L668" s="3">
        <v>69</v>
      </c>
      <c r="M668" s="3">
        <v>0</v>
      </c>
      <c r="N668" s="6">
        <v>0.67</v>
      </c>
      <c r="O668" s="3" t="s">
        <v>13</v>
      </c>
      <c r="P668" s="3" t="s">
        <v>12</v>
      </c>
    </row>
    <row r="669" spans="1:16" x14ac:dyDescent="0.3">
      <c r="A669" s="4">
        <v>46138</v>
      </c>
      <c r="B669" s="3" t="s">
        <v>412</v>
      </c>
      <c r="C669" s="3" t="s">
        <v>398</v>
      </c>
      <c r="D669" s="3" t="s">
        <v>400</v>
      </c>
      <c r="E669" s="3">
        <v>32</v>
      </c>
      <c r="F669" s="3">
        <v>2</v>
      </c>
      <c r="G669" s="6">
        <v>0.83</v>
      </c>
      <c r="H669" s="3">
        <v>10.1</v>
      </c>
      <c r="I669" s="3">
        <v>301</v>
      </c>
      <c r="J669" s="3">
        <v>58</v>
      </c>
      <c r="K669" s="5">
        <v>4394</v>
      </c>
      <c r="L669" s="3">
        <v>99</v>
      </c>
      <c r="M669" s="3">
        <v>2</v>
      </c>
      <c r="N669" s="6">
        <v>0.71</v>
      </c>
      <c r="O669" s="3" t="s">
        <v>37</v>
      </c>
      <c r="P669" s="3" t="s">
        <v>40</v>
      </c>
    </row>
    <row r="670" spans="1:16" x14ac:dyDescent="0.3">
      <c r="A670" s="4">
        <v>46138</v>
      </c>
      <c r="B670" s="3" t="s">
        <v>412</v>
      </c>
      <c r="C670" s="3" t="s">
        <v>401</v>
      </c>
      <c r="D670" s="3" t="s">
        <v>402</v>
      </c>
      <c r="E670" s="3">
        <v>37</v>
      </c>
      <c r="F670" s="3">
        <v>2</v>
      </c>
      <c r="G670" s="6">
        <v>0.72</v>
      </c>
      <c r="H670" s="3">
        <v>16.7</v>
      </c>
      <c r="I670" s="3">
        <v>363</v>
      </c>
      <c r="J670" s="3">
        <v>72</v>
      </c>
      <c r="K670" s="5">
        <v>158</v>
      </c>
      <c r="L670" s="3">
        <v>92</v>
      </c>
      <c r="M670" s="3">
        <v>7</v>
      </c>
      <c r="N670" s="6">
        <v>0.61</v>
      </c>
      <c r="O670" s="3" t="s">
        <v>29</v>
      </c>
      <c r="P670" s="3" t="s">
        <v>28</v>
      </c>
    </row>
    <row r="671" spans="1:16" x14ac:dyDescent="0.3">
      <c r="A671" s="4">
        <v>46138</v>
      </c>
      <c r="B671" s="3" t="s">
        <v>412</v>
      </c>
      <c r="C671" s="3" t="s">
        <v>401</v>
      </c>
      <c r="D671" s="3" t="s">
        <v>403</v>
      </c>
      <c r="E671" s="3">
        <v>27</v>
      </c>
      <c r="F671" s="3">
        <v>0</v>
      </c>
      <c r="G671" s="6">
        <v>0.86</v>
      </c>
      <c r="H671" s="3">
        <v>17</v>
      </c>
      <c r="I671" s="3">
        <v>209</v>
      </c>
      <c r="J671" s="3">
        <v>113</v>
      </c>
      <c r="K671" s="5">
        <v>2021</v>
      </c>
      <c r="L671" s="3">
        <v>72</v>
      </c>
      <c r="M671" s="3">
        <v>5</v>
      </c>
      <c r="N671" s="6">
        <v>0.93</v>
      </c>
      <c r="O671" s="3" t="s">
        <v>26</v>
      </c>
      <c r="P671" s="3" t="s">
        <v>33</v>
      </c>
    </row>
    <row r="672" spans="1:16" x14ac:dyDescent="0.3">
      <c r="A672" s="4">
        <v>46138</v>
      </c>
      <c r="B672" s="3" t="s">
        <v>412</v>
      </c>
      <c r="C672" s="3" t="s">
        <v>404</v>
      </c>
      <c r="D672" s="3" t="s">
        <v>405</v>
      </c>
      <c r="E672" s="3">
        <v>20</v>
      </c>
      <c r="F672" s="3">
        <v>0</v>
      </c>
      <c r="G672" s="6">
        <v>0.81</v>
      </c>
      <c r="H672" s="3">
        <v>11.6</v>
      </c>
      <c r="I672" s="3">
        <v>186</v>
      </c>
      <c r="J672" s="3">
        <v>118</v>
      </c>
      <c r="K672" s="5">
        <v>3428</v>
      </c>
      <c r="L672" s="3">
        <v>51</v>
      </c>
      <c r="M672" s="3">
        <v>5</v>
      </c>
      <c r="N672" s="6">
        <v>0.87</v>
      </c>
      <c r="O672" s="3" t="s">
        <v>26</v>
      </c>
      <c r="P672" s="3" t="s">
        <v>33</v>
      </c>
    </row>
    <row r="673" spans="1:16" x14ac:dyDescent="0.3">
      <c r="A673" s="4">
        <v>46138</v>
      </c>
      <c r="B673" s="3" t="s">
        <v>412</v>
      </c>
      <c r="C673" s="3" t="s">
        <v>404</v>
      </c>
      <c r="D673" s="3" t="s">
        <v>406</v>
      </c>
      <c r="E673" s="3">
        <v>20</v>
      </c>
      <c r="F673" s="3">
        <v>2</v>
      </c>
      <c r="G673" s="6">
        <v>0.73</v>
      </c>
      <c r="H673" s="3">
        <v>10</v>
      </c>
      <c r="I673" s="3">
        <v>387</v>
      </c>
      <c r="J673" s="3">
        <v>40</v>
      </c>
      <c r="K673" s="5">
        <v>278</v>
      </c>
      <c r="L673" s="3">
        <v>15</v>
      </c>
      <c r="M673" s="3">
        <v>5</v>
      </c>
      <c r="N673" s="6">
        <v>0.67</v>
      </c>
      <c r="O673" s="3" t="s">
        <v>37</v>
      </c>
      <c r="P673" s="3" t="s">
        <v>36</v>
      </c>
    </row>
    <row r="674" spans="1:16" x14ac:dyDescent="0.3">
      <c r="A674" s="4">
        <v>46139</v>
      </c>
      <c r="B674" s="3" t="s">
        <v>397</v>
      </c>
      <c r="C674" s="3" t="s">
        <v>398</v>
      </c>
      <c r="D674" s="3" t="s">
        <v>399</v>
      </c>
      <c r="E674" s="3">
        <v>34</v>
      </c>
      <c r="F674" s="3">
        <v>1</v>
      </c>
      <c r="G674" s="6">
        <v>0.76</v>
      </c>
      <c r="H674" s="3">
        <v>17.8</v>
      </c>
      <c r="I674" s="3">
        <v>303</v>
      </c>
      <c r="J674" s="3">
        <v>53</v>
      </c>
      <c r="K674" s="5">
        <v>2201</v>
      </c>
      <c r="L674" s="3">
        <v>20</v>
      </c>
      <c r="M674" s="3">
        <v>3</v>
      </c>
      <c r="N674" s="6">
        <v>0.61</v>
      </c>
      <c r="O674" s="3" t="s">
        <v>18</v>
      </c>
      <c r="P674" s="3" t="s">
        <v>55</v>
      </c>
    </row>
    <row r="675" spans="1:16" x14ac:dyDescent="0.3">
      <c r="A675" s="4">
        <v>46139</v>
      </c>
      <c r="B675" s="3" t="s">
        <v>397</v>
      </c>
      <c r="C675" s="3" t="s">
        <v>398</v>
      </c>
      <c r="D675" s="3" t="s">
        <v>400</v>
      </c>
      <c r="E675" s="3">
        <v>31</v>
      </c>
      <c r="F675" s="3">
        <v>2</v>
      </c>
      <c r="G675" s="6">
        <v>0.85</v>
      </c>
      <c r="H675" s="3">
        <v>9.6</v>
      </c>
      <c r="I675" s="3">
        <v>202</v>
      </c>
      <c r="J675" s="3">
        <v>145</v>
      </c>
      <c r="K675" s="5">
        <v>2292</v>
      </c>
      <c r="L675" s="3">
        <v>94</v>
      </c>
      <c r="M675" s="3">
        <v>7</v>
      </c>
      <c r="N675" s="6">
        <v>0.69</v>
      </c>
      <c r="O675" s="3" t="s">
        <v>26</v>
      </c>
      <c r="P675" s="3" t="s">
        <v>25</v>
      </c>
    </row>
    <row r="676" spans="1:16" x14ac:dyDescent="0.3">
      <c r="A676" s="4">
        <v>46139</v>
      </c>
      <c r="B676" s="3" t="s">
        <v>397</v>
      </c>
      <c r="C676" s="3" t="s">
        <v>401</v>
      </c>
      <c r="D676" s="3" t="s">
        <v>402</v>
      </c>
      <c r="E676" s="3">
        <v>23</v>
      </c>
      <c r="F676" s="3">
        <v>1</v>
      </c>
      <c r="G676" s="6">
        <v>0.75</v>
      </c>
      <c r="H676" s="3">
        <v>17</v>
      </c>
      <c r="I676" s="3">
        <v>403</v>
      </c>
      <c r="J676" s="3">
        <v>11</v>
      </c>
      <c r="K676" s="5">
        <v>629</v>
      </c>
      <c r="L676" s="3">
        <v>6</v>
      </c>
      <c r="M676" s="3">
        <v>1</v>
      </c>
      <c r="N676" s="6">
        <v>0.68</v>
      </c>
      <c r="O676" s="3" t="s">
        <v>13</v>
      </c>
      <c r="P676" s="3" t="s">
        <v>12</v>
      </c>
    </row>
    <row r="677" spans="1:16" x14ac:dyDescent="0.3">
      <c r="A677" s="4">
        <v>46139</v>
      </c>
      <c r="B677" s="3" t="s">
        <v>397</v>
      </c>
      <c r="C677" s="3" t="s">
        <v>401</v>
      </c>
      <c r="D677" s="3" t="s">
        <v>403</v>
      </c>
      <c r="E677" s="3">
        <v>35</v>
      </c>
      <c r="F677" s="3">
        <v>4</v>
      </c>
      <c r="G677" s="6">
        <v>0.82</v>
      </c>
      <c r="H677" s="3">
        <v>9.1</v>
      </c>
      <c r="I677" s="3">
        <v>418</v>
      </c>
      <c r="J677" s="3">
        <v>91</v>
      </c>
      <c r="K677" s="5">
        <v>4133</v>
      </c>
      <c r="L677" s="3">
        <v>57</v>
      </c>
      <c r="M677" s="3">
        <v>5</v>
      </c>
      <c r="N677" s="6">
        <v>0.77</v>
      </c>
      <c r="O677" s="3" t="s">
        <v>29</v>
      </c>
      <c r="P677" s="3" t="s">
        <v>66</v>
      </c>
    </row>
    <row r="678" spans="1:16" x14ac:dyDescent="0.3">
      <c r="A678" s="4">
        <v>46139</v>
      </c>
      <c r="B678" s="3" t="s">
        <v>397</v>
      </c>
      <c r="C678" s="3" t="s">
        <v>404</v>
      </c>
      <c r="D678" s="3" t="s">
        <v>405</v>
      </c>
      <c r="E678" s="3">
        <v>32</v>
      </c>
      <c r="F678" s="3">
        <v>1</v>
      </c>
      <c r="G678" s="6">
        <v>0.78</v>
      </c>
      <c r="H678" s="3">
        <v>15.3</v>
      </c>
      <c r="I678" s="3">
        <v>236</v>
      </c>
      <c r="J678" s="3">
        <v>46</v>
      </c>
      <c r="K678" s="5">
        <v>1893</v>
      </c>
      <c r="L678" s="3">
        <v>75</v>
      </c>
      <c r="M678" s="3">
        <v>3</v>
      </c>
      <c r="N678" s="6">
        <v>0.62</v>
      </c>
      <c r="O678" s="3" t="s">
        <v>13</v>
      </c>
      <c r="P678" s="3" t="s">
        <v>12</v>
      </c>
    </row>
    <row r="679" spans="1:16" x14ac:dyDescent="0.3">
      <c r="A679" s="4">
        <v>46139</v>
      </c>
      <c r="B679" s="3" t="s">
        <v>397</v>
      </c>
      <c r="C679" s="3" t="s">
        <v>404</v>
      </c>
      <c r="D679" s="3" t="s">
        <v>406</v>
      </c>
      <c r="E679" s="3">
        <v>28</v>
      </c>
      <c r="F679" s="3">
        <v>0</v>
      </c>
      <c r="G679" s="6">
        <v>0.86</v>
      </c>
      <c r="H679" s="3">
        <v>15.7</v>
      </c>
      <c r="I679" s="3">
        <v>327</v>
      </c>
      <c r="J679" s="3">
        <v>33</v>
      </c>
      <c r="K679" s="5">
        <v>1546</v>
      </c>
      <c r="L679" s="3">
        <v>11</v>
      </c>
      <c r="M679" s="3">
        <v>5</v>
      </c>
      <c r="N679" s="6">
        <v>0.82</v>
      </c>
      <c r="O679" s="3" t="s">
        <v>26</v>
      </c>
      <c r="P679" s="3" t="s">
        <v>33</v>
      </c>
    </row>
    <row r="680" spans="1:16" x14ac:dyDescent="0.3">
      <c r="A680" s="4">
        <v>46140</v>
      </c>
      <c r="B680" s="3" t="s">
        <v>407</v>
      </c>
      <c r="C680" s="3" t="s">
        <v>398</v>
      </c>
      <c r="D680" s="3" t="s">
        <v>399</v>
      </c>
      <c r="E680" s="3">
        <v>20</v>
      </c>
      <c r="F680" s="3">
        <v>2</v>
      </c>
      <c r="G680" s="6">
        <v>0.86</v>
      </c>
      <c r="H680" s="3">
        <v>9.1</v>
      </c>
      <c r="I680" s="3">
        <v>448</v>
      </c>
      <c r="J680" s="3">
        <v>11</v>
      </c>
      <c r="K680" s="5">
        <v>1646</v>
      </c>
      <c r="L680" s="3">
        <v>109</v>
      </c>
      <c r="M680" s="3">
        <v>2</v>
      </c>
      <c r="N680" s="6">
        <v>0.84</v>
      </c>
      <c r="O680" s="3" t="s">
        <v>13</v>
      </c>
      <c r="P680" s="3" t="s">
        <v>12</v>
      </c>
    </row>
    <row r="681" spans="1:16" x14ac:dyDescent="0.3">
      <c r="A681" s="4">
        <v>46140</v>
      </c>
      <c r="B681" s="3" t="s">
        <v>407</v>
      </c>
      <c r="C681" s="3" t="s">
        <v>398</v>
      </c>
      <c r="D681" s="3" t="s">
        <v>400</v>
      </c>
      <c r="E681" s="3">
        <v>25</v>
      </c>
      <c r="F681" s="3">
        <v>0</v>
      </c>
      <c r="G681" s="6">
        <v>0.89</v>
      </c>
      <c r="H681" s="3">
        <v>16.8</v>
      </c>
      <c r="I681" s="3">
        <v>136</v>
      </c>
      <c r="J681" s="3">
        <v>52</v>
      </c>
      <c r="K681" s="5">
        <v>592</v>
      </c>
      <c r="L681" s="3">
        <v>9</v>
      </c>
      <c r="M681" s="3">
        <v>0</v>
      </c>
      <c r="N681" s="6">
        <v>0.84</v>
      </c>
      <c r="O681" s="3" t="s">
        <v>37</v>
      </c>
      <c r="P681" s="3" t="s">
        <v>36</v>
      </c>
    </row>
    <row r="682" spans="1:16" x14ac:dyDescent="0.3">
      <c r="A682" s="4">
        <v>46140</v>
      </c>
      <c r="B682" s="3" t="s">
        <v>407</v>
      </c>
      <c r="C682" s="3" t="s">
        <v>401</v>
      </c>
      <c r="D682" s="3" t="s">
        <v>402</v>
      </c>
      <c r="E682" s="3">
        <v>27</v>
      </c>
      <c r="F682" s="3">
        <v>0</v>
      </c>
      <c r="G682" s="6">
        <v>0.87</v>
      </c>
      <c r="H682" s="3">
        <v>10.5</v>
      </c>
      <c r="I682" s="3">
        <v>255</v>
      </c>
      <c r="J682" s="3">
        <v>57</v>
      </c>
      <c r="K682" s="5">
        <v>3529</v>
      </c>
      <c r="L682" s="3">
        <v>78</v>
      </c>
      <c r="M682" s="3">
        <v>1</v>
      </c>
      <c r="N682" s="6">
        <v>0.69</v>
      </c>
      <c r="O682" s="3" t="s">
        <v>13</v>
      </c>
      <c r="P682" s="3" t="s">
        <v>21</v>
      </c>
    </row>
    <row r="683" spans="1:16" x14ac:dyDescent="0.3">
      <c r="A683" s="4">
        <v>46140</v>
      </c>
      <c r="B683" s="3" t="s">
        <v>407</v>
      </c>
      <c r="C683" s="3" t="s">
        <v>401</v>
      </c>
      <c r="D683" s="3" t="s">
        <v>403</v>
      </c>
      <c r="E683" s="3">
        <v>33</v>
      </c>
      <c r="F683" s="3">
        <v>1</v>
      </c>
      <c r="G683" s="6">
        <v>0.73</v>
      </c>
      <c r="H683" s="3">
        <v>10.199999999999999</v>
      </c>
      <c r="I683" s="3">
        <v>364</v>
      </c>
      <c r="J683" s="3">
        <v>10</v>
      </c>
      <c r="K683" s="5">
        <v>2787</v>
      </c>
      <c r="L683" s="3">
        <v>116</v>
      </c>
      <c r="M683" s="3">
        <v>5</v>
      </c>
      <c r="N683" s="6">
        <v>0.64</v>
      </c>
      <c r="O683" s="3" t="s">
        <v>26</v>
      </c>
      <c r="P683" s="3" t="s">
        <v>33</v>
      </c>
    </row>
    <row r="684" spans="1:16" x14ac:dyDescent="0.3">
      <c r="A684" s="4">
        <v>46140</v>
      </c>
      <c r="B684" s="3" t="s">
        <v>407</v>
      </c>
      <c r="C684" s="3" t="s">
        <v>404</v>
      </c>
      <c r="D684" s="3" t="s">
        <v>405</v>
      </c>
      <c r="E684" s="3">
        <v>27</v>
      </c>
      <c r="F684" s="3">
        <v>2</v>
      </c>
      <c r="G684" s="6">
        <v>0.78</v>
      </c>
      <c r="H684" s="3">
        <v>9.3000000000000007</v>
      </c>
      <c r="I684" s="3">
        <v>202</v>
      </c>
      <c r="J684" s="3">
        <v>117</v>
      </c>
      <c r="K684" s="5">
        <v>3878</v>
      </c>
      <c r="L684" s="3">
        <v>109</v>
      </c>
      <c r="M684" s="3">
        <v>6</v>
      </c>
      <c r="N684" s="6">
        <v>0.66</v>
      </c>
      <c r="O684" s="3" t="s">
        <v>13</v>
      </c>
      <c r="P684" s="3" t="s">
        <v>12</v>
      </c>
    </row>
    <row r="685" spans="1:16" x14ac:dyDescent="0.3">
      <c r="A685" s="4">
        <v>46140</v>
      </c>
      <c r="B685" s="3" t="s">
        <v>407</v>
      </c>
      <c r="C685" s="3" t="s">
        <v>404</v>
      </c>
      <c r="D685" s="3" t="s">
        <v>406</v>
      </c>
      <c r="E685" s="3">
        <v>32</v>
      </c>
      <c r="F685" s="3">
        <v>0</v>
      </c>
      <c r="G685" s="6">
        <v>0.76</v>
      </c>
      <c r="H685" s="3">
        <v>11.5</v>
      </c>
      <c r="I685" s="3">
        <v>109</v>
      </c>
      <c r="J685" s="3">
        <v>44</v>
      </c>
      <c r="K685" s="5">
        <v>1108</v>
      </c>
      <c r="L685" s="3">
        <v>72</v>
      </c>
      <c r="M685" s="3">
        <v>7</v>
      </c>
      <c r="N685" s="6">
        <v>0.78</v>
      </c>
      <c r="O685" s="3" t="s">
        <v>18</v>
      </c>
      <c r="P685" s="3" t="s">
        <v>55</v>
      </c>
    </row>
    <row r="686" spans="1:16" x14ac:dyDescent="0.3">
      <c r="A686" s="4">
        <v>46141</v>
      </c>
      <c r="B686" s="3" t="s">
        <v>408</v>
      </c>
      <c r="C686" s="3" t="s">
        <v>398</v>
      </c>
      <c r="D686" s="3" t="s">
        <v>399</v>
      </c>
      <c r="E686" s="3">
        <v>29</v>
      </c>
      <c r="F686" s="3">
        <v>1</v>
      </c>
      <c r="G686" s="6">
        <v>0.87</v>
      </c>
      <c r="H686" s="3">
        <v>13.3</v>
      </c>
      <c r="I686" s="3">
        <v>440</v>
      </c>
      <c r="J686" s="3">
        <v>2</v>
      </c>
      <c r="K686" s="5">
        <v>1326</v>
      </c>
      <c r="L686" s="3">
        <v>101</v>
      </c>
      <c r="M686" s="3">
        <v>7</v>
      </c>
      <c r="N686" s="6">
        <v>0.89</v>
      </c>
      <c r="O686" s="3" t="s">
        <v>29</v>
      </c>
      <c r="P686" s="3" t="s">
        <v>28</v>
      </c>
    </row>
    <row r="687" spans="1:16" x14ac:dyDescent="0.3">
      <c r="A687" s="4">
        <v>46141</v>
      </c>
      <c r="B687" s="3" t="s">
        <v>408</v>
      </c>
      <c r="C687" s="3" t="s">
        <v>398</v>
      </c>
      <c r="D687" s="3" t="s">
        <v>400</v>
      </c>
      <c r="E687" s="3">
        <v>31</v>
      </c>
      <c r="F687" s="3">
        <v>1</v>
      </c>
      <c r="G687" s="6">
        <v>0.74</v>
      </c>
      <c r="H687" s="3">
        <v>8.6</v>
      </c>
      <c r="I687" s="3">
        <v>247</v>
      </c>
      <c r="J687" s="3">
        <v>7</v>
      </c>
      <c r="K687" s="5">
        <v>2389</v>
      </c>
      <c r="L687" s="3">
        <v>95</v>
      </c>
      <c r="M687" s="3">
        <v>7</v>
      </c>
      <c r="N687" s="6">
        <v>0.69</v>
      </c>
      <c r="O687" s="3" t="s">
        <v>13</v>
      </c>
      <c r="P687" s="3" t="s">
        <v>12</v>
      </c>
    </row>
    <row r="688" spans="1:16" x14ac:dyDescent="0.3">
      <c r="A688" s="4">
        <v>46141</v>
      </c>
      <c r="B688" s="3" t="s">
        <v>408</v>
      </c>
      <c r="C688" s="3" t="s">
        <v>401</v>
      </c>
      <c r="D688" s="3" t="s">
        <v>402</v>
      </c>
      <c r="E688" s="3">
        <v>32</v>
      </c>
      <c r="F688" s="3">
        <v>0</v>
      </c>
      <c r="G688" s="6">
        <v>0.8</v>
      </c>
      <c r="H688" s="3">
        <v>15</v>
      </c>
      <c r="I688" s="3">
        <v>369</v>
      </c>
      <c r="J688" s="3">
        <v>139</v>
      </c>
      <c r="K688" s="5">
        <v>4032</v>
      </c>
      <c r="L688" s="3">
        <v>69</v>
      </c>
      <c r="M688" s="3">
        <v>4</v>
      </c>
      <c r="N688" s="6">
        <v>0.73</v>
      </c>
      <c r="O688" s="3" t="s">
        <v>13</v>
      </c>
      <c r="P688" s="3" t="s">
        <v>12</v>
      </c>
    </row>
    <row r="689" spans="1:16" x14ac:dyDescent="0.3">
      <c r="A689" s="4">
        <v>46141</v>
      </c>
      <c r="B689" s="3" t="s">
        <v>408</v>
      </c>
      <c r="C689" s="3" t="s">
        <v>401</v>
      </c>
      <c r="D689" s="3" t="s">
        <v>403</v>
      </c>
      <c r="E689" s="3">
        <v>26</v>
      </c>
      <c r="F689" s="3">
        <v>0</v>
      </c>
      <c r="G689" s="6">
        <v>0.88</v>
      </c>
      <c r="H689" s="3">
        <v>9.6999999999999993</v>
      </c>
      <c r="I689" s="3">
        <v>415</v>
      </c>
      <c r="J689" s="3">
        <v>104</v>
      </c>
      <c r="K689" s="5">
        <v>3855</v>
      </c>
      <c r="L689" s="3">
        <v>73</v>
      </c>
      <c r="M689" s="3">
        <v>5</v>
      </c>
      <c r="N689" s="6">
        <v>0.9</v>
      </c>
      <c r="O689" s="3" t="s">
        <v>13</v>
      </c>
      <c r="P689" s="3" t="s">
        <v>12</v>
      </c>
    </row>
    <row r="690" spans="1:16" x14ac:dyDescent="0.3">
      <c r="A690" s="4">
        <v>46141</v>
      </c>
      <c r="B690" s="3" t="s">
        <v>408</v>
      </c>
      <c r="C690" s="3" t="s">
        <v>404</v>
      </c>
      <c r="D690" s="3" t="s">
        <v>405</v>
      </c>
      <c r="E690" s="3">
        <v>25</v>
      </c>
      <c r="F690" s="3">
        <v>3</v>
      </c>
      <c r="G690" s="6">
        <v>0.86</v>
      </c>
      <c r="H690" s="3">
        <v>10.4</v>
      </c>
      <c r="I690" s="3">
        <v>149</v>
      </c>
      <c r="J690" s="3">
        <v>23</v>
      </c>
      <c r="K690" s="5">
        <v>4405</v>
      </c>
      <c r="L690" s="3">
        <v>99</v>
      </c>
      <c r="M690" s="3">
        <v>6</v>
      </c>
      <c r="N690" s="6">
        <v>0.87</v>
      </c>
      <c r="O690" s="3" t="s">
        <v>13</v>
      </c>
      <c r="P690" s="3" t="s">
        <v>21</v>
      </c>
    </row>
    <row r="691" spans="1:16" x14ac:dyDescent="0.3">
      <c r="A691" s="4">
        <v>46141</v>
      </c>
      <c r="B691" s="3" t="s">
        <v>408</v>
      </c>
      <c r="C691" s="3" t="s">
        <v>404</v>
      </c>
      <c r="D691" s="3" t="s">
        <v>406</v>
      </c>
      <c r="E691" s="3">
        <v>37</v>
      </c>
      <c r="F691" s="3">
        <v>2</v>
      </c>
      <c r="G691" s="6">
        <v>0.79</v>
      </c>
      <c r="H691" s="3">
        <v>15.7</v>
      </c>
      <c r="I691" s="3">
        <v>153</v>
      </c>
      <c r="J691" s="3">
        <v>118</v>
      </c>
      <c r="K691" s="5">
        <v>3178</v>
      </c>
      <c r="L691" s="3">
        <v>98</v>
      </c>
      <c r="M691" s="3">
        <v>0</v>
      </c>
      <c r="N691" s="6">
        <v>0.59</v>
      </c>
      <c r="O691" s="3" t="s">
        <v>26</v>
      </c>
      <c r="P691" s="3" t="s">
        <v>33</v>
      </c>
    </row>
    <row r="692" spans="1:16" x14ac:dyDescent="0.3">
      <c r="A692" s="4">
        <v>46142</v>
      </c>
      <c r="B692" s="3" t="s">
        <v>409</v>
      </c>
      <c r="C692" s="3" t="s">
        <v>398</v>
      </c>
      <c r="D692" s="3" t="s">
        <v>399</v>
      </c>
      <c r="E692" s="3">
        <v>25</v>
      </c>
      <c r="F692" s="3">
        <v>0</v>
      </c>
      <c r="G692" s="6">
        <v>0.73</v>
      </c>
      <c r="H692" s="3">
        <v>9.6</v>
      </c>
      <c r="I692" s="3">
        <v>81</v>
      </c>
      <c r="J692" s="3">
        <v>52</v>
      </c>
      <c r="K692" s="5">
        <v>1586</v>
      </c>
      <c r="L692" s="3">
        <v>120</v>
      </c>
      <c r="M692" s="3">
        <v>1</v>
      </c>
      <c r="N692" s="6">
        <v>0.67</v>
      </c>
      <c r="O692" s="3" t="s">
        <v>26</v>
      </c>
      <c r="P692" s="3" t="s">
        <v>25</v>
      </c>
    </row>
    <row r="693" spans="1:16" x14ac:dyDescent="0.3">
      <c r="A693" s="4">
        <v>46142</v>
      </c>
      <c r="B693" s="3" t="s">
        <v>409</v>
      </c>
      <c r="C693" s="3" t="s">
        <v>398</v>
      </c>
      <c r="D693" s="3" t="s">
        <v>400</v>
      </c>
      <c r="E693" s="3">
        <v>20</v>
      </c>
      <c r="F693" s="3">
        <v>0</v>
      </c>
      <c r="G693" s="6">
        <v>0.81</v>
      </c>
      <c r="H693" s="3">
        <v>13.3</v>
      </c>
      <c r="I693" s="3">
        <v>150</v>
      </c>
      <c r="J693" s="3">
        <v>42</v>
      </c>
      <c r="K693" s="5">
        <v>1462</v>
      </c>
      <c r="L693" s="3">
        <v>61</v>
      </c>
      <c r="M693" s="3">
        <v>1</v>
      </c>
      <c r="N693" s="6">
        <v>0.73</v>
      </c>
      <c r="O693" s="3" t="s">
        <v>13</v>
      </c>
      <c r="P693" s="3" t="s">
        <v>12</v>
      </c>
    </row>
    <row r="694" spans="1:16" x14ac:dyDescent="0.3">
      <c r="A694" s="4">
        <v>46142</v>
      </c>
      <c r="B694" s="3" t="s">
        <v>409</v>
      </c>
      <c r="C694" s="3" t="s">
        <v>401</v>
      </c>
      <c r="D694" s="3" t="s">
        <v>402</v>
      </c>
      <c r="E694" s="3">
        <v>27</v>
      </c>
      <c r="F694" s="3">
        <v>0</v>
      </c>
      <c r="G694" s="6">
        <v>0.75</v>
      </c>
      <c r="H694" s="3">
        <v>8.3000000000000007</v>
      </c>
      <c r="I694" s="3">
        <v>359</v>
      </c>
      <c r="J694" s="3">
        <v>130</v>
      </c>
      <c r="K694" s="5">
        <v>2302</v>
      </c>
      <c r="L694" s="3">
        <v>104</v>
      </c>
      <c r="M694" s="3">
        <v>4</v>
      </c>
      <c r="N694" s="6">
        <v>0.78</v>
      </c>
      <c r="O694" s="3" t="s">
        <v>37</v>
      </c>
      <c r="P694" s="3" t="s">
        <v>36</v>
      </c>
    </row>
    <row r="695" spans="1:16" x14ac:dyDescent="0.3">
      <c r="A695" s="4">
        <v>46142</v>
      </c>
      <c r="B695" s="3" t="s">
        <v>409</v>
      </c>
      <c r="C695" s="3" t="s">
        <v>401</v>
      </c>
      <c r="D695" s="3" t="s">
        <v>403</v>
      </c>
      <c r="E695" s="3">
        <v>23</v>
      </c>
      <c r="F695" s="3">
        <v>1</v>
      </c>
      <c r="G695" s="6">
        <v>0.73</v>
      </c>
      <c r="H695" s="3">
        <v>13</v>
      </c>
      <c r="I695" s="3">
        <v>245</v>
      </c>
      <c r="J695" s="3">
        <v>115</v>
      </c>
      <c r="K695" s="5">
        <v>1352</v>
      </c>
      <c r="L695" s="3">
        <v>109</v>
      </c>
      <c r="M695" s="3">
        <v>4</v>
      </c>
      <c r="N695" s="6">
        <v>0.62</v>
      </c>
      <c r="O695" s="3" t="s">
        <v>13</v>
      </c>
      <c r="P695" s="3" t="s">
        <v>12</v>
      </c>
    </row>
    <row r="696" spans="1:16" x14ac:dyDescent="0.3">
      <c r="A696" s="4">
        <v>46142</v>
      </c>
      <c r="B696" s="3" t="s">
        <v>409</v>
      </c>
      <c r="C696" s="3" t="s">
        <v>404</v>
      </c>
      <c r="D696" s="3" t="s">
        <v>405</v>
      </c>
      <c r="E696" s="3">
        <v>35</v>
      </c>
      <c r="F696" s="3">
        <v>2</v>
      </c>
      <c r="G696" s="6">
        <v>0.87</v>
      </c>
      <c r="H696" s="3">
        <v>12.2</v>
      </c>
      <c r="I696" s="3">
        <v>68</v>
      </c>
      <c r="J696" s="3">
        <v>111</v>
      </c>
      <c r="K696" s="5">
        <v>3573</v>
      </c>
      <c r="L696" s="3">
        <v>99</v>
      </c>
      <c r="M696" s="3">
        <v>4</v>
      </c>
      <c r="N696" s="6">
        <v>0.8</v>
      </c>
      <c r="O696" s="3" t="s">
        <v>37</v>
      </c>
      <c r="P696" s="3" t="s">
        <v>36</v>
      </c>
    </row>
    <row r="697" spans="1:16" x14ac:dyDescent="0.3">
      <c r="A697" s="4">
        <v>46142</v>
      </c>
      <c r="B697" s="3" t="s">
        <v>409</v>
      </c>
      <c r="C697" s="3" t="s">
        <v>404</v>
      </c>
      <c r="D697" s="3" t="s">
        <v>406</v>
      </c>
      <c r="E697" s="3">
        <v>33</v>
      </c>
      <c r="F697" s="3">
        <v>0</v>
      </c>
      <c r="G697" s="6">
        <v>0.75</v>
      </c>
      <c r="H697" s="3">
        <v>8.9</v>
      </c>
      <c r="I697" s="3">
        <v>77</v>
      </c>
      <c r="J697" s="3">
        <v>48</v>
      </c>
      <c r="K697" s="5">
        <v>2156</v>
      </c>
      <c r="L697" s="3">
        <v>59</v>
      </c>
      <c r="M697" s="3">
        <v>6</v>
      </c>
      <c r="N697" s="6">
        <v>0.76</v>
      </c>
      <c r="O697" s="3" t="s">
        <v>37</v>
      </c>
      <c r="P697" s="3" t="s">
        <v>36</v>
      </c>
    </row>
    <row r="698" spans="1:16" x14ac:dyDescent="0.3">
      <c r="A698" s="4">
        <v>46143</v>
      </c>
      <c r="B698" s="3" t="s">
        <v>410</v>
      </c>
      <c r="C698" s="3" t="s">
        <v>398</v>
      </c>
      <c r="D698" s="3" t="s">
        <v>399</v>
      </c>
      <c r="E698" s="3">
        <v>24</v>
      </c>
      <c r="F698" s="3">
        <v>0</v>
      </c>
      <c r="G698" s="6">
        <v>0.89</v>
      </c>
      <c r="H698" s="3">
        <v>15.6</v>
      </c>
      <c r="I698" s="3">
        <v>169</v>
      </c>
      <c r="J698" s="3">
        <v>33</v>
      </c>
      <c r="K698" s="5">
        <v>837</v>
      </c>
      <c r="L698" s="3">
        <v>22</v>
      </c>
      <c r="M698" s="3">
        <v>1</v>
      </c>
      <c r="N698" s="6">
        <v>0.98</v>
      </c>
      <c r="O698" s="3" t="s">
        <v>37</v>
      </c>
      <c r="P698" s="3" t="s">
        <v>40</v>
      </c>
    </row>
    <row r="699" spans="1:16" x14ac:dyDescent="0.3">
      <c r="A699" s="4">
        <v>46143</v>
      </c>
      <c r="B699" s="3" t="s">
        <v>410</v>
      </c>
      <c r="C699" s="3" t="s">
        <v>398</v>
      </c>
      <c r="D699" s="3" t="s">
        <v>400</v>
      </c>
      <c r="E699" s="3">
        <v>27</v>
      </c>
      <c r="F699" s="3">
        <v>1</v>
      </c>
      <c r="G699" s="6">
        <v>0.83</v>
      </c>
      <c r="H699" s="3">
        <v>11.5</v>
      </c>
      <c r="I699" s="3">
        <v>242</v>
      </c>
      <c r="J699" s="3">
        <v>55</v>
      </c>
      <c r="K699" s="5">
        <v>1931</v>
      </c>
      <c r="L699" s="3">
        <v>115</v>
      </c>
      <c r="M699" s="3">
        <v>6</v>
      </c>
      <c r="N699" s="6">
        <v>0.64</v>
      </c>
      <c r="O699" s="3" t="s">
        <v>18</v>
      </c>
      <c r="P699" s="3" t="s">
        <v>17</v>
      </c>
    </row>
    <row r="700" spans="1:16" x14ac:dyDescent="0.3">
      <c r="A700" s="4">
        <v>46143</v>
      </c>
      <c r="B700" s="3" t="s">
        <v>410</v>
      </c>
      <c r="C700" s="3" t="s">
        <v>401</v>
      </c>
      <c r="D700" s="3" t="s">
        <v>402</v>
      </c>
      <c r="E700" s="3">
        <v>34</v>
      </c>
      <c r="F700" s="3">
        <v>0</v>
      </c>
      <c r="G700" s="6">
        <v>0.87</v>
      </c>
      <c r="H700" s="3">
        <v>7.6</v>
      </c>
      <c r="I700" s="3">
        <v>399</v>
      </c>
      <c r="J700" s="3">
        <v>51</v>
      </c>
      <c r="K700" s="5">
        <v>3490</v>
      </c>
      <c r="L700" s="3">
        <v>7</v>
      </c>
      <c r="M700" s="3">
        <v>5</v>
      </c>
      <c r="N700" s="6">
        <v>0.93</v>
      </c>
      <c r="O700" s="3" t="s">
        <v>26</v>
      </c>
      <c r="P700" s="3" t="s">
        <v>33</v>
      </c>
    </row>
    <row r="701" spans="1:16" x14ac:dyDescent="0.3">
      <c r="A701" s="4">
        <v>46143</v>
      </c>
      <c r="B701" s="3" t="s">
        <v>410</v>
      </c>
      <c r="C701" s="3" t="s">
        <v>401</v>
      </c>
      <c r="D701" s="3" t="s">
        <v>403</v>
      </c>
      <c r="E701" s="3">
        <v>24</v>
      </c>
      <c r="F701" s="3">
        <v>0</v>
      </c>
      <c r="G701" s="6">
        <v>0.87</v>
      </c>
      <c r="H701" s="3">
        <v>14.7</v>
      </c>
      <c r="I701" s="3">
        <v>274</v>
      </c>
      <c r="J701" s="3">
        <v>21</v>
      </c>
      <c r="K701" s="5">
        <v>3969</v>
      </c>
      <c r="L701" s="3">
        <v>21</v>
      </c>
      <c r="M701" s="3">
        <v>3</v>
      </c>
      <c r="N701" s="6">
        <v>0.71</v>
      </c>
      <c r="O701" s="3" t="s">
        <v>26</v>
      </c>
      <c r="P701" s="3" t="s">
        <v>33</v>
      </c>
    </row>
    <row r="702" spans="1:16" x14ac:dyDescent="0.3">
      <c r="A702" s="4">
        <v>46143</v>
      </c>
      <c r="B702" s="3" t="s">
        <v>410</v>
      </c>
      <c r="C702" s="3" t="s">
        <v>404</v>
      </c>
      <c r="D702" s="3" t="s">
        <v>405</v>
      </c>
      <c r="E702" s="3">
        <v>22</v>
      </c>
      <c r="F702" s="3">
        <v>1</v>
      </c>
      <c r="G702" s="6">
        <v>0.74</v>
      </c>
      <c r="H702" s="3">
        <v>14.6</v>
      </c>
      <c r="I702" s="3">
        <v>61</v>
      </c>
      <c r="J702" s="3">
        <v>97</v>
      </c>
      <c r="K702" s="5">
        <v>3701</v>
      </c>
      <c r="L702" s="3">
        <v>108</v>
      </c>
      <c r="M702" s="3">
        <v>4</v>
      </c>
      <c r="N702" s="6">
        <v>0.54</v>
      </c>
      <c r="O702" s="3" t="s">
        <v>13</v>
      </c>
      <c r="P702" s="3" t="s">
        <v>12</v>
      </c>
    </row>
    <row r="703" spans="1:16" x14ac:dyDescent="0.3">
      <c r="A703" s="4">
        <v>46143</v>
      </c>
      <c r="B703" s="3" t="s">
        <v>410</v>
      </c>
      <c r="C703" s="3" t="s">
        <v>404</v>
      </c>
      <c r="D703" s="3" t="s">
        <v>406</v>
      </c>
      <c r="E703" s="3">
        <v>27</v>
      </c>
      <c r="F703" s="3">
        <v>0</v>
      </c>
      <c r="G703" s="6">
        <v>0.81</v>
      </c>
      <c r="H703" s="3">
        <v>7.5</v>
      </c>
      <c r="I703" s="3">
        <v>232</v>
      </c>
      <c r="J703" s="3">
        <v>132</v>
      </c>
      <c r="K703" s="5">
        <v>3308</v>
      </c>
      <c r="L703" s="3">
        <v>119</v>
      </c>
      <c r="M703" s="3">
        <v>2</v>
      </c>
      <c r="N703" s="6">
        <v>0.7</v>
      </c>
      <c r="O703" s="3" t="s">
        <v>29</v>
      </c>
      <c r="P703" s="3" t="s">
        <v>66</v>
      </c>
    </row>
    <row r="704" spans="1:16" x14ac:dyDescent="0.3">
      <c r="A704" s="4">
        <v>46144</v>
      </c>
      <c r="B704" s="3" t="s">
        <v>411</v>
      </c>
      <c r="C704" s="3" t="s">
        <v>398</v>
      </c>
      <c r="D704" s="3" t="s">
        <v>399</v>
      </c>
      <c r="E704" s="3">
        <v>23</v>
      </c>
      <c r="F704" s="3">
        <v>2</v>
      </c>
      <c r="G704" s="6">
        <v>0.76</v>
      </c>
      <c r="H704" s="3">
        <v>16</v>
      </c>
      <c r="I704" s="3">
        <v>374</v>
      </c>
      <c r="J704" s="3">
        <v>54</v>
      </c>
      <c r="K704" s="5">
        <v>1612</v>
      </c>
      <c r="L704" s="3">
        <v>24</v>
      </c>
      <c r="M704" s="3">
        <v>2</v>
      </c>
      <c r="N704" s="6">
        <v>0.82</v>
      </c>
      <c r="O704" s="3" t="s">
        <v>18</v>
      </c>
      <c r="P704" s="3" t="s">
        <v>17</v>
      </c>
    </row>
    <row r="705" spans="1:16" x14ac:dyDescent="0.3">
      <c r="A705" s="4">
        <v>46144</v>
      </c>
      <c r="B705" s="3" t="s">
        <v>411</v>
      </c>
      <c r="C705" s="3" t="s">
        <v>398</v>
      </c>
      <c r="D705" s="3" t="s">
        <v>400</v>
      </c>
      <c r="E705" s="3">
        <v>35</v>
      </c>
      <c r="F705" s="3">
        <v>3</v>
      </c>
      <c r="G705" s="6">
        <v>0.82</v>
      </c>
      <c r="H705" s="3">
        <v>11.7</v>
      </c>
      <c r="I705" s="3">
        <v>404</v>
      </c>
      <c r="J705" s="3">
        <v>135</v>
      </c>
      <c r="K705" s="5">
        <v>175</v>
      </c>
      <c r="L705" s="3">
        <v>62</v>
      </c>
      <c r="M705" s="3">
        <v>2</v>
      </c>
      <c r="N705" s="6">
        <v>0.67</v>
      </c>
      <c r="O705" s="3" t="s">
        <v>37</v>
      </c>
      <c r="P705" s="3" t="s">
        <v>40</v>
      </c>
    </row>
    <row r="706" spans="1:16" x14ac:dyDescent="0.3">
      <c r="A706" s="4">
        <v>46144</v>
      </c>
      <c r="B706" s="3" t="s">
        <v>411</v>
      </c>
      <c r="C706" s="3" t="s">
        <v>401</v>
      </c>
      <c r="D706" s="3" t="s">
        <v>402</v>
      </c>
      <c r="E706" s="3">
        <v>23</v>
      </c>
      <c r="F706" s="3">
        <v>0</v>
      </c>
      <c r="G706" s="6">
        <v>0.81</v>
      </c>
      <c r="H706" s="3">
        <v>11.1</v>
      </c>
      <c r="I706" s="3">
        <v>239</v>
      </c>
      <c r="J706" s="3">
        <v>123</v>
      </c>
      <c r="K706" s="5">
        <v>3362</v>
      </c>
      <c r="L706" s="3">
        <v>63</v>
      </c>
      <c r="M706" s="3">
        <v>0</v>
      </c>
      <c r="N706" s="6">
        <v>0.66</v>
      </c>
      <c r="O706" s="3" t="s">
        <v>29</v>
      </c>
      <c r="P706" s="3" t="s">
        <v>28</v>
      </c>
    </row>
    <row r="707" spans="1:16" x14ac:dyDescent="0.3">
      <c r="A707" s="4">
        <v>46144</v>
      </c>
      <c r="B707" s="3" t="s">
        <v>411</v>
      </c>
      <c r="C707" s="3" t="s">
        <v>401</v>
      </c>
      <c r="D707" s="3" t="s">
        <v>403</v>
      </c>
      <c r="E707" s="3">
        <v>21</v>
      </c>
      <c r="F707" s="3">
        <v>0</v>
      </c>
      <c r="G707" s="6">
        <v>0.86</v>
      </c>
      <c r="H707" s="3">
        <v>10.8</v>
      </c>
      <c r="I707" s="3">
        <v>305</v>
      </c>
      <c r="J707" s="3">
        <v>29</v>
      </c>
      <c r="K707" s="5">
        <v>3034</v>
      </c>
      <c r="L707" s="3">
        <v>70</v>
      </c>
      <c r="M707" s="3">
        <v>3</v>
      </c>
      <c r="N707" s="6">
        <v>0.72</v>
      </c>
      <c r="O707" s="3" t="s">
        <v>18</v>
      </c>
      <c r="P707" s="3" t="s">
        <v>17</v>
      </c>
    </row>
    <row r="708" spans="1:16" x14ac:dyDescent="0.3">
      <c r="A708" s="4">
        <v>46144</v>
      </c>
      <c r="B708" s="3" t="s">
        <v>411</v>
      </c>
      <c r="C708" s="3" t="s">
        <v>404</v>
      </c>
      <c r="D708" s="3" t="s">
        <v>405</v>
      </c>
      <c r="E708" s="3">
        <v>28</v>
      </c>
      <c r="F708" s="3">
        <v>0</v>
      </c>
      <c r="G708" s="6">
        <v>0.78</v>
      </c>
      <c r="H708" s="3">
        <v>18.399999999999999</v>
      </c>
      <c r="I708" s="3">
        <v>184</v>
      </c>
      <c r="J708" s="3">
        <v>20</v>
      </c>
      <c r="K708" s="5">
        <v>3541</v>
      </c>
      <c r="L708" s="3">
        <v>20</v>
      </c>
      <c r="M708" s="3">
        <v>2</v>
      </c>
      <c r="N708" s="6">
        <v>0.73</v>
      </c>
      <c r="O708" s="3" t="s">
        <v>13</v>
      </c>
      <c r="P708" s="3" t="s">
        <v>21</v>
      </c>
    </row>
    <row r="709" spans="1:16" x14ac:dyDescent="0.3">
      <c r="A709" s="4">
        <v>46144</v>
      </c>
      <c r="B709" s="3" t="s">
        <v>411</v>
      </c>
      <c r="C709" s="3" t="s">
        <v>404</v>
      </c>
      <c r="D709" s="3" t="s">
        <v>406</v>
      </c>
      <c r="E709" s="3">
        <v>33</v>
      </c>
      <c r="F709" s="3">
        <v>1</v>
      </c>
      <c r="G709" s="6">
        <v>0.81</v>
      </c>
      <c r="H709" s="3">
        <v>17.100000000000001</v>
      </c>
      <c r="I709" s="3">
        <v>115</v>
      </c>
      <c r="J709" s="3">
        <v>7</v>
      </c>
      <c r="K709" s="5">
        <v>3152</v>
      </c>
      <c r="L709" s="3">
        <v>96</v>
      </c>
      <c r="M709" s="3">
        <v>8</v>
      </c>
      <c r="N709" s="6">
        <v>0.68</v>
      </c>
      <c r="O709" s="3" t="s">
        <v>37</v>
      </c>
      <c r="P709" s="3" t="s">
        <v>40</v>
      </c>
    </row>
    <row r="710" spans="1:16" x14ac:dyDescent="0.3">
      <c r="A710" s="4">
        <v>46145</v>
      </c>
      <c r="B710" s="3" t="s">
        <v>412</v>
      </c>
      <c r="C710" s="3" t="s">
        <v>398</v>
      </c>
      <c r="D710" s="3" t="s">
        <v>399</v>
      </c>
      <c r="E710" s="3">
        <v>21</v>
      </c>
      <c r="F710" s="3">
        <v>1</v>
      </c>
      <c r="G710" s="6">
        <v>0.74</v>
      </c>
      <c r="H710" s="3">
        <v>11.5</v>
      </c>
      <c r="I710" s="3">
        <v>122</v>
      </c>
      <c r="J710" s="3">
        <v>5</v>
      </c>
      <c r="K710" s="5">
        <v>1499</v>
      </c>
      <c r="L710" s="3">
        <v>89</v>
      </c>
      <c r="M710" s="3">
        <v>3</v>
      </c>
      <c r="N710" s="6">
        <v>0.63</v>
      </c>
      <c r="O710" s="3" t="s">
        <v>13</v>
      </c>
      <c r="P710" s="3" t="s">
        <v>12</v>
      </c>
    </row>
    <row r="711" spans="1:16" x14ac:dyDescent="0.3">
      <c r="A711" s="4">
        <v>46145</v>
      </c>
      <c r="B711" s="3" t="s">
        <v>412</v>
      </c>
      <c r="C711" s="3" t="s">
        <v>398</v>
      </c>
      <c r="D711" s="3" t="s">
        <v>400</v>
      </c>
      <c r="E711" s="3">
        <v>30</v>
      </c>
      <c r="F711" s="3">
        <v>1</v>
      </c>
      <c r="G711" s="6">
        <v>0.78</v>
      </c>
      <c r="H711" s="3">
        <v>14.2</v>
      </c>
      <c r="I711" s="3">
        <v>55</v>
      </c>
      <c r="J711" s="3">
        <v>70</v>
      </c>
      <c r="K711" s="5">
        <v>4321</v>
      </c>
      <c r="L711" s="3">
        <v>50</v>
      </c>
      <c r="M711" s="3">
        <v>3</v>
      </c>
      <c r="N711" s="6">
        <v>0.61</v>
      </c>
      <c r="O711" s="3" t="s">
        <v>37</v>
      </c>
      <c r="P711" s="3" t="s">
        <v>36</v>
      </c>
    </row>
    <row r="712" spans="1:16" x14ac:dyDescent="0.3">
      <c r="A712" s="4">
        <v>46145</v>
      </c>
      <c r="B712" s="3" t="s">
        <v>412</v>
      </c>
      <c r="C712" s="3" t="s">
        <v>401</v>
      </c>
      <c r="D712" s="3" t="s">
        <v>402</v>
      </c>
      <c r="E712" s="3">
        <v>30</v>
      </c>
      <c r="F712" s="3">
        <v>0</v>
      </c>
      <c r="G712" s="6">
        <v>0.84</v>
      </c>
      <c r="H712" s="3">
        <v>9.3000000000000007</v>
      </c>
      <c r="I712" s="3">
        <v>356</v>
      </c>
      <c r="J712" s="3">
        <v>133</v>
      </c>
      <c r="K712" s="5">
        <v>1904</v>
      </c>
      <c r="L712" s="3">
        <v>92</v>
      </c>
      <c r="M712" s="3">
        <v>7</v>
      </c>
      <c r="N712" s="6">
        <v>0.77</v>
      </c>
      <c r="O712" s="3" t="s">
        <v>26</v>
      </c>
      <c r="P712" s="3" t="s">
        <v>25</v>
      </c>
    </row>
    <row r="713" spans="1:16" x14ac:dyDescent="0.3">
      <c r="A713" s="4">
        <v>46145</v>
      </c>
      <c r="B713" s="3" t="s">
        <v>412</v>
      </c>
      <c r="C713" s="3" t="s">
        <v>401</v>
      </c>
      <c r="D713" s="3" t="s">
        <v>403</v>
      </c>
      <c r="E713" s="3">
        <v>30</v>
      </c>
      <c r="F713" s="3">
        <v>2</v>
      </c>
      <c r="G713" s="6">
        <v>0.88</v>
      </c>
      <c r="H713" s="3">
        <v>16.600000000000001</v>
      </c>
      <c r="I713" s="3">
        <v>320</v>
      </c>
      <c r="J713" s="3">
        <v>52</v>
      </c>
      <c r="K713" s="5">
        <v>3486</v>
      </c>
      <c r="L713" s="3">
        <v>41</v>
      </c>
      <c r="M713" s="3">
        <v>2</v>
      </c>
      <c r="N713" s="6">
        <v>0.73</v>
      </c>
      <c r="O713" s="3" t="s">
        <v>37</v>
      </c>
      <c r="P713" s="3" t="s">
        <v>36</v>
      </c>
    </row>
    <row r="714" spans="1:16" x14ac:dyDescent="0.3">
      <c r="A714" s="4">
        <v>46145</v>
      </c>
      <c r="B714" s="3" t="s">
        <v>412</v>
      </c>
      <c r="C714" s="3" t="s">
        <v>404</v>
      </c>
      <c r="D714" s="3" t="s">
        <v>405</v>
      </c>
      <c r="E714" s="3">
        <v>20</v>
      </c>
      <c r="F714" s="3">
        <v>0</v>
      </c>
      <c r="G714" s="6">
        <v>0.81</v>
      </c>
      <c r="H714" s="3">
        <v>11.4</v>
      </c>
      <c r="I714" s="3">
        <v>132</v>
      </c>
      <c r="J714" s="3">
        <v>71</v>
      </c>
      <c r="K714" s="5">
        <v>1438</v>
      </c>
      <c r="L714" s="3">
        <v>57</v>
      </c>
      <c r="M714" s="3">
        <v>0</v>
      </c>
      <c r="N714" s="6">
        <v>0.81</v>
      </c>
      <c r="O714" s="3" t="s">
        <v>37</v>
      </c>
      <c r="P714" s="3" t="s">
        <v>36</v>
      </c>
    </row>
    <row r="715" spans="1:16" x14ac:dyDescent="0.3">
      <c r="A715" s="4">
        <v>46145</v>
      </c>
      <c r="B715" s="3" t="s">
        <v>412</v>
      </c>
      <c r="C715" s="3" t="s">
        <v>404</v>
      </c>
      <c r="D715" s="3" t="s">
        <v>406</v>
      </c>
      <c r="E715" s="3">
        <v>29</v>
      </c>
      <c r="F715" s="3">
        <v>1</v>
      </c>
      <c r="G715" s="6">
        <v>0.72</v>
      </c>
      <c r="H715" s="3">
        <v>10.1</v>
      </c>
      <c r="I715" s="3">
        <v>214</v>
      </c>
      <c r="J715" s="3">
        <v>69</v>
      </c>
      <c r="K715" s="5">
        <v>2447</v>
      </c>
      <c r="L715" s="3">
        <v>63</v>
      </c>
      <c r="M715" s="3">
        <v>5</v>
      </c>
      <c r="N715" s="6">
        <v>0.78</v>
      </c>
      <c r="O715" s="3" t="s">
        <v>26</v>
      </c>
      <c r="P715" s="3" t="s">
        <v>25</v>
      </c>
    </row>
    <row r="716" spans="1:16" x14ac:dyDescent="0.3">
      <c r="A716" s="4">
        <v>46146</v>
      </c>
      <c r="B716" s="3" t="s">
        <v>397</v>
      </c>
      <c r="C716" s="3" t="s">
        <v>398</v>
      </c>
      <c r="D716" s="3" t="s">
        <v>399</v>
      </c>
      <c r="E716" s="3">
        <v>34</v>
      </c>
      <c r="F716" s="3">
        <v>1</v>
      </c>
      <c r="G716" s="6">
        <v>0.86</v>
      </c>
      <c r="H716" s="3">
        <v>11.3</v>
      </c>
      <c r="I716" s="3">
        <v>437</v>
      </c>
      <c r="J716" s="3">
        <v>123</v>
      </c>
      <c r="K716" s="5">
        <v>4345</v>
      </c>
      <c r="L716" s="3">
        <v>77</v>
      </c>
      <c r="M716" s="3">
        <v>5</v>
      </c>
      <c r="N716" s="6">
        <v>0.86</v>
      </c>
      <c r="O716" s="3" t="s">
        <v>13</v>
      </c>
      <c r="P716" s="3" t="s">
        <v>12</v>
      </c>
    </row>
    <row r="717" spans="1:16" x14ac:dyDescent="0.3">
      <c r="A717" s="4">
        <v>46146</v>
      </c>
      <c r="B717" s="3" t="s">
        <v>397</v>
      </c>
      <c r="C717" s="3" t="s">
        <v>398</v>
      </c>
      <c r="D717" s="3" t="s">
        <v>400</v>
      </c>
      <c r="E717" s="3">
        <v>31</v>
      </c>
      <c r="F717" s="3">
        <v>1</v>
      </c>
      <c r="G717" s="6">
        <v>0.78</v>
      </c>
      <c r="H717" s="3">
        <v>11.6</v>
      </c>
      <c r="I717" s="3">
        <v>420</v>
      </c>
      <c r="J717" s="3">
        <v>56</v>
      </c>
      <c r="K717" s="5">
        <v>3069</v>
      </c>
      <c r="L717" s="3">
        <v>104</v>
      </c>
      <c r="M717" s="3">
        <v>0</v>
      </c>
      <c r="N717" s="6">
        <v>0.62</v>
      </c>
      <c r="O717" s="3" t="s">
        <v>18</v>
      </c>
      <c r="P717" s="3" t="s">
        <v>17</v>
      </c>
    </row>
    <row r="718" spans="1:16" x14ac:dyDescent="0.3">
      <c r="A718" s="4">
        <v>46146</v>
      </c>
      <c r="B718" s="3" t="s">
        <v>397</v>
      </c>
      <c r="C718" s="3" t="s">
        <v>401</v>
      </c>
      <c r="D718" s="3" t="s">
        <v>402</v>
      </c>
      <c r="E718" s="3">
        <v>34</v>
      </c>
      <c r="F718" s="3">
        <v>2</v>
      </c>
      <c r="G718" s="6">
        <v>0.85</v>
      </c>
      <c r="H718" s="3">
        <v>7.8</v>
      </c>
      <c r="I718" s="3">
        <v>131</v>
      </c>
      <c r="J718" s="3">
        <v>97</v>
      </c>
      <c r="K718" s="5">
        <v>549</v>
      </c>
      <c r="L718" s="3">
        <v>20</v>
      </c>
      <c r="M718" s="3">
        <v>5</v>
      </c>
      <c r="N718" s="6">
        <v>0.82</v>
      </c>
      <c r="O718" s="3" t="s">
        <v>26</v>
      </c>
      <c r="P718" s="3" t="s">
        <v>33</v>
      </c>
    </row>
    <row r="719" spans="1:16" x14ac:dyDescent="0.3">
      <c r="A719" s="4">
        <v>46146</v>
      </c>
      <c r="B719" s="3" t="s">
        <v>397</v>
      </c>
      <c r="C719" s="3" t="s">
        <v>401</v>
      </c>
      <c r="D719" s="3" t="s">
        <v>403</v>
      </c>
      <c r="E719" s="3">
        <v>29</v>
      </c>
      <c r="F719" s="3">
        <v>1</v>
      </c>
      <c r="G719" s="6">
        <v>0.76</v>
      </c>
      <c r="H719" s="3">
        <v>13.4</v>
      </c>
      <c r="I719" s="3">
        <v>239</v>
      </c>
      <c r="J719" s="3">
        <v>87</v>
      </c>
      <c r="K719" s="5">
        <v>1775</v>
      </c>
      <c r="L719" s="3">
        <v>16</v>
      </c>
      <c r="M719" s="3">
        <v>2</v>
      </c>
      <c r="N719" s="6">
        <v>0.82</v>
      </c>
      <c r="O719" s="3" t="s">
        <v>18</v>
      </c>
      <c r="P719" s="3" t="s">
        <v>55</v>
      </c>
    </row>
    <row r="720" spans="1:16" x14ac:dyDescent="0.3">
      <c r="A720" s="4">
        <v>46146</v>
      </c>
      <c r="B720" s="3" t="s">
        <v>397</v>
      </c>
      <c r="C720" s="3" t="s">
        <v>404</v>
      </c>
      <c r="D720" s="3" t="s">
        <v>405</v>
      </c>
      <c r="E720" s="3">
        <v>35</v>
      </c>
      <c r="F720" s="3">
        <v>1</v>
      </c>
      <c r="G720" s="6">
        <v>0.75</v>
      </c>
      <c r="H720" s="3">
        <v>16.5</v>
      </c>
      <c r="I720" s="3">
        <v>109</v>
      </c>
      <c r="J720" s="3">
        <v>30</v>
      </c>
      <c r="K720" s="5">
        <v>3869</v>
      </c>
      <c r="L720" s="3">
        <v>101</v>
      </c>
      <c r="M720" s="3">
        <v>2</v>
      </c>
      <c r="N720" s="6">
        <v>0.63</v>
      </c>
      <c r="O720" s="3" t="s">
        <v>26</v>
      </c>
      <c r="P720" s="3" t="s">
        <v>33</v>
      </c>
    </row>
    <row r="721" spans="1:16" x14ac:dyDescent="0.3">
      <c r="A721" s="4">
        <v>46146</v>
      </c>
      <c r="B721" s="3" t="s">
        <v>397</v>
      </c>
      <c r="C721" s="3" t="s">
        <v>404</v>
      </c>
      <c r="D721" s="3" t="s">
        <v>406</v>
      </c>
      <c r="E721" s="3">
        <v>20</v>
      </c>
      <c r="F721" s="3">
        <v>1</v>
      </c>
      <c r="G721" s="6">
        <v>0.86</v>
      </c>
      <c r="H721" s="3">
        <v>9.1</v>
      </c>
      <c r="I721" s="3">
        <v>259</v>
      </c>
      <c r="J721" s="3">
        <v>36</v>
      </c>
      <c r="K721" s="5">
        <v>1327</v>
      </c>
      <c r="L721" s="3">
        <v>102</v>
      </c>
      <c r="M721" s="3">
        <v>5</v>
      </c>
      <c r="N721" s="6">
        <v>0.9</v>
      </c>
      <c r="O721" s="3" t="s">
        <v>26</v>
      </c>
      <c r="P721" s="3" t="s">
        <v>33</v>
      </c>
    </row>
  </sheetData>
  <autoFilter ref="A1:P721" xr:uid="{00000000-0009-0000-0000-000007000000}"/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  <pageSetUpPr fitToPage="1"/>
  </sheetPr>
  <dimension ref="A1:G3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20" customWidth="1"/>
    <col min="4" max="4" width="12" customWidth="1"/>
    <col min="5" max="5" width="21" customWidth="1"/>
    <col min="6" max="6" width="15" customWidth="1"/>
    <col min="7" max="7" width="12" customWidth="1"/>
  </cols>
  <sheetData>
    <row r="1" spans="1:7" x14ac:dyDescent="0.3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</row>
    <row r="2" spans="1:7" x14ac:dyDescent="0.3">
      <c r="A2" s="3" t="s">
        <v>123</v>
      </c>
      <c r="B2" s="3" t="s">
        <v>124</v>
      </c>
      <c r="C2" s="3" t="s">
        <v>125</v>
      </c>
      <c r="D2" s="3" t="s">
        <v>126</v>
      </c>
      <c r="E2" s="3" t="s">
        <v>127</v>
      </c>
      <c r="F2" s="3" t="s">
        <v>128</v>
      </c>
      <c r="G2" s="3" t="s">
        <v>129</v>
      </c>
    </row>
    <row r="3" spans="1:7" x14ac:dyDescent="0.3">
      <c r="A3" s="3" t="s">
        <v>130</v>
      </c>
      <c r="B3" s="3" t="s">
        <v>131</v>
      </c>
      <c r="C3" s="3" t="s">
        <v>132</v>
      </c>
      <c r="D3" s="3" t="s">
        <v>133</v>
      </c>
      <c r="E3" s="3" t="s">
        <v>134</v>
      </c>
      <c r="F3" s="3" t="s">
        <v>135</v>
      </c>
      <c r="G3" s="3" t="s">
        <v>129</v>
      </c>
    </row>
    <row r="4" spans="1:7" x14ac:dyDescent="0.3">
      <c r="A4" s="3" t="s">
        <v>136</v>
      </c>
      <c r="B4" s="3" t="s">
        <v>137</v>
      </c>
      <c r="C4" s="3" t="s">
        <v>138</v>
      </c>
      <c r="D4" s="3" t="s">
        <v>133</v>
      </c>
      <c r="E4" s="3" t="s">
        <v>134</v>
      </c>
      <c r="F4" s="3" t="s">
        <v>135</v>
      </c>
      <c r="G4" s="3" t="s">
        <v>129</v>
      </c>
    </row>
    <row r="5" spans="1:7" x14ac:dyDescent="0.3">
      <c r="A5" s="3" t="s">
        <v>139</v>
      </c>
      <c r="B5" s="3" t="s">
        <v>131</v>
      </c>
      <c r="C5" s="3" t="s">
        <v>140</v>
      </c>
      <c r="D5" s="3" t="s">
        <v>133</v>
      </c>
      <c r="E5" s="3" t="s">
        <v>141</v>
      </c>
      <c r="F5" s="3" t="s">
        <v>135</v>
      </c>
      <c r="G5" s="3" t="s">
        <v>129</v>
      </c>
    </row>
    <row r="6" spans="1:7" x14ac:dyDescent="0.3">
      <c r="A6" s="3" t="s">
        <v>142</v>
      </c>
      <c r="B6" s="3" t="s">
        <v>131</v>
      </c>
      <c r="C6" s="3" t="s">
        <v>143</v>
      </c>
      <c r="D6" s="3" t="s">
        <v>133</v>
      </c>
      <c r="E6" s="3" t="s">
        <v>144</v>
      </c>
      <c r="F6" s="3" t="s">
        <v>135</v>
      </c>
      <c r="G6" s="3" t="s">
        <v>129</v>
      </c>
    </row>
    <row r="7" spans="1:7" x14ac:dyDescent="0.3">
      <c r="A7" s="3" t="s">
        <v>145</v>
      </c>
      <c r="B7" s="3" t="s">
        <v>131</v>
      </c>
      <c r="C7" s="3" t="s">
        <v>132</v>
      </c>
      <c r="D7" s="3" t="s">
        <v>133</v>
      </c>
      <c r="E7" s="3" t="s">
        <v>127</v>
      </c>
      <c r="F7" s="3" t="s">
        <v>135</v>
      </c>
      <c r="G7" s="3" t="s">
        <v>129</v>
      </c>
    </row>
    <row r="8" spans="1:7" x14ac:dyDescent="0.3">
      <c r="A8" s="3" t="s">
        <v>146</v>
      </c>
      <c r="B8" s="3" t="s">
        <v>137</v>
      </c>
      <c r="C8" s="3" t="s">
        <v>147</v>
      </c>
      <c r="D8" s="3" t="s">
        <v>133</v>
      </c>
      <c r="E8" s="3" t="s">
        <v>127</v>
      </c>
      <c r="F8" s="3" t="s">
        <v>135</v>
      </c>
      <c r="G8" s="3" t="s">
        <v>129</v>
      </c>
    </row>
    <row r="9" spans="1:7" x14ac:dyDescent="0.3">
      <c r="A9" s="3" t="s">
        <v>148</v>
      </c>
      <c r="B9" s="3" t="s">
        <v>137</v>
      </c>
      <c r="C9" s="3" t="s">
        <v>138</v>
      </c>
      <c r="D9" s="3" t="s">
        <v>133</v>
      </c>
      <c r="E9" s="3" t="s">
        <v>149</v>
      </c>
      <c r="F9" s="3" t="s">
        <v>135</v>
      </c>
      <c r="G9" s="3" t="s">
        <v>129</v>
      </c>
    </row>
    <row r="10" spans="1:7" x14ac:dyDescent="0.3">
      <c r="A10" s="3" t="s">
        <v>150</v>
      </c>
      <c r="B10" s="3" t="s">
        <v>137</v>
      </c>
      <c r="C10" s="3" t="s">
        <v>138</v>
      </c>
      <c r="D10" s="3" t="s">
        <v>133</v>
      </c>
      <c r="E10" s="3" t="s">
        <v>141</v>
      </c>
      <c r="F10" s="3" t="s">
        <v>135</v>
      </c>
      <c r="G10" s="3" t="s">
        <v>129</v>
      </c>
    </row>
    <row r="11" spans="1:7" x14ac:dyDescent="0.3">
      <c r="A11" s="3" t="s">
        <v>151</v>
      </c>
      <c r="B11" s="3" t="s">
        <v>131</v>
      </c>
      <c r="C11" s="3" t="s">
        <v>140</v>
      </c>
      <c r="D11" s="3" t="s">
        <v>133</v>
      </c>
      <c r="E11" s="3" t="s">
        <v>127</v>
      </c>
      <c r="F11" s="3" t="s">
        <v>135</v>
      </c>
      <c r="G11" s="3" t="s">
        <v>129</v>
      </c>
    </row>
    <row r="12" spans="1:7" x14ac:dyDescent="0.3">
      <c r="A12" s="3" t="s">
        <v>152</v>
      </c>
      <c r="B12" s="3" t="s">
        <v>124</v>
      </c>
      <c r="C12" s="3" t="s">
        <v>153</v>
      </c>
      <c r="D12" s="3" t="s">
        <v>126</v>
      </c>
      <c r="E12" s="3" t="s">
        <v>127</v>
      </c>
      <c r="F12" s="3" t="s">
        <v>128</v>
      </c>
      <c r="G12" s="3" t="s">
        <v>129</v>
      </c>
    </row>
    <row r="13" spans="1:7" x14ac:dyDescent="0.3">
      <c r="A13" s="3" t="s">
        <v>154</v>
      </c>
      <c r="B13" s="3" t="s">
        <v>131</v>
      </c>
      <c r="C13" s="3" t="s">
        <v>132</v>
      </c>
      <c r="D13" s="3" t="s">
        <v>133</v>
      </c>
      <c r="E13" s="3" t="s">
        <v>127</v>
      </c>
      <c r="F13" s="3" t="s">
        <v>135</v>
      </c>
      <c r="G13" s="3" t="s">
        <v>129</v>
      </c>
    </row>
    <row r="14" spans="1:7" x14ac:dyDescent="0.3">
      <c r="A14" s="3" t="s">
        <v>155</v>
      </c>
      <c r="B14" s="3" t="s">
        <v>137</v>
      </c>
      <c r="C14" s="3" t="s">
        <v>147</v>
      </c>
      <c r="D14" s="3" t="s">
        <v>133</v>
      </c>
      <c r="E14" s="3" t="s">
        <v>149</v>
      </c>
      <c r="F14" s="3" t="s">
        <v>135</v>
      </c>
      <c r="G14" s="3" t="s">
        <v>129</v>
      </c>
    </row>
    <row r="15" spans="1:7" x14ac:dyDescent="0.3">
      <c r="A15" s="3" t="s">
        <v>156</v>
      </c>
      <c r="B15" s="3" t="s">
        <v>137</v>
      </c>
      <c r="C15" s="3" t="s">
        <v>138</v>
      </c>
      <c r="D15" s="3" t="s">
        <v>133</v>
      </c>
      <c r="E15" s="3" t="s">
        <v>144</v>
      </c>
      <c r="F15" s="3" t="s">
        <v>135</v>
      </c>
      <c r="G15" s="3" t="s">
        <v>129</v>
      </c>
    </row>
    <row r="16" spans="1:7" x14ac:dyDescent="0.3">
      <c r="A16" s="3" t="s">
        <v>157</v>
      </c>
      <c r="B16" s="3" t="s">
        <v>131</v>
      </c>
      <c r="C16" s="3" t="s">
        <v>140</v>
      </c>
      <c r="D16" s="3" t="s">
        <v>133</v>
      </c>
      <c r="E16" s="3" t="s">
        <v>141</v>
      </c>
      <c r="F16" s="3" t="s">
        <v>135</v>
      </c>
      <c r="G16" s="3" t="s">
        <v>129</v>
      </c>
    </row>
    <row r="17" spans="1:7" x14ac:dyDescent="0.3">
      <c r="A17" s="3" t="s">
        <v>158</v>
      </c>
      <c r="B17" s="3" t="s">
        <v>124</v>
      </c>
      <c r="C17" s="3" t="s">
        <v>125</v>
      </c>
      <c r="D17" s="3" t="s">
        <v>126</v>
      </c>
      <c r="E17" s="3" t="s">
        <v>144</v>
      </c>
      <c r="F17" s="3" t="s">
        <v>135</v>
      </c>
      <c r="G17" s="3" t="s">
        <v>129</v>
      </c>
    </row>
    <row r="18" spans="1:7" x14ac:dyDescent="0.3">
      <c r="A18" s="3" t="s">
        <v>159</v>
      </c>
      <c r="B18" s="3" t="s">
        <v>137</v>
      </c>
      <c r="C18" s="3" t="s">
        <v>138</v>
      </c>
      <c r="D18" s="3" t="s">
        <v>133</v>
      </c>
      <c r="E18" s="3" t="s">
        <v>149</v>
      </c>
      <c r="F18" s="3" t="s">
        <v>135</v>
      </c>
      <c r="G18" s="3" t="s">
        <v>129</v>
      </c>
    </row>
    <row r="19" spans="1:7" x14ac:dyDescent="0.3">
      <c r="A19" s="3" t="s">
        <v>160</v>
      </c>
      <c r="B19" s="3" t="s">
        <v>131</v>
      </c>
      <c r="C19" s="3" t="s">
        <v>161</v>
      </c>
      <c r="D19" s="3" t="s">
        <v>162</v>
      </c>
      <c r="E19" s="3" t="s">
        <v>149</v>
      </c>
      <c r="F19" s="3" t="s">
        <v>135</v>
      </c>
      <c r="G19" s="3" t="s">
        <v>129</v>
      </c>
    </row>
    <row r="20" spans="1:7" x14ac:dyDescent="0.3">
      <c r="A20" s="3" t="s">
        <v>163</v>
      </c>
      <c r="B20" s="3" t="s">
        <v>137</v>
      </c>
      <c r="C20" s="3" t="s">
        <v>138</v>
      </c>
      <c r="D20" s="3" t="s">
        <v>133</v>
      </c>
      <c r="E20" s="3" t="s">
        <v>127</v>
      </c>
      <c r="F20" s="3" t="s">
        <v>135</v>
      </c>
      <c r="G20" s="3" t="s">
        <v>129</v>
      </c>
    </row>
    <row r="21" spans="1:7" x14ac:dyDescent="0.3">
      <c r="A21" s="3" t="s">
        <v>164</v>
      </c>
      <c r="B21" s="3" t="s">
        <v>137</v>
      </c>
      <c r="C21" s="3" t="s">
        <v>165</v>
      </c>
      <c r="D21" s="3" t="s">
        <v>133</v>
      </c>
      <c r="E21" s="3" t="s">
        <v>149</v>
      </c>
      <c r="F21" s="3" t="s">
        <v>135</v>
      </c>
      <c r="G21" s="3" t="s">
        <v>129</v>
      </c>
    </row>
    <row r="22" spans="1:7" x14ac:dyDescent="0.3">
      <c r="A22" s="3" t="s">
        <v>166</v>
      </c>
      <c r="B22" s="3" t="s">
        <v>137</v>
      </c>
      <c r="C22" s="3" t="s">
        <v>147</v>
      </c>
      <c r="D22" s="3" t="s">
        <v>133</v>
      </c>
      <c r="E22" s="3" t="s">
        <v>141</v>
      </c>
      <c r="F22" s="3" t="s">
        <v>135</v>
      </c>
      <c r="G22" s="3" t="s">
        <v>129</v>
      </c>
    </row>
    <row r="23" spans="1:7" x14ac:dyDescent="0.3">
      <c r="A23" s="3" t="s">
        <v>167</v>
      </c>
      <c r="B23" s="3" t="s">
        <v>124</v>
      </c>
      <c r="C23" s="3" t="s">
        <v>168</v>
      </c>
      <c r="D23" s="3" t="s">
        <v>126</v>
      </c>
      <c r="E23" s="3" t="s">
        <v>141</v>
      </c>
      <c r="F23" s="3" t="s">
        <v>135</v>
      </c>
      <c r="G23" s="3" t="s">
        <v>129</v>
      </c>
    </row>
    <row r="24" spans="1:7" x14ac:dyDescent="0.3">
      <c r="A24" s="3" t="s">
        <v>169</v>
      </c>
      <c r="B24" s="3" t="s">
        <v>137</v>
      </c>
      <c r="C24" s="3" t="s">
        <v>147</v>
      </c>
      <c r="D24" s="3" t="s">
        <v>133</v>
      </c>
      <c r="E24" s="3" t="s">
        <v>127</v>
      </c>
      <c r="F24" s="3" t="s">
        <v>135</v>
      </c>
      <c r="G24" s="3" t="s">
        <v>129</v>
      </c>
    </row>
    <row r="25" spans="1:7" x14ac:dyDescent="0.3">
      <c r="A25" s="3" t="s">
        <v>170</v>
      </c>
      <c r="B25" s="3" t="s">
        <v>131</v>
      </c>
      <c r="C25" s="3" t="s">
        <v>171</v>
      </c>
      <c r="D25" s="3" t="s">
        <v>133</v>
      </c>
      <c r="E25" s="3" t="s">
        <v>141</v>
      </c>
      <c r="F25" s="3" t="s">
        <v>135</v>
      </c>
      <c r="G25" s="3" t="s">
        <v>129</v>
      </c>
    </row>
    <row r="26" spans="1:7" x14ac:dyDescent="0.3">
      <c r="A26" s="3" t="s">
        <v>172</v>
      </c>
      <c r="B26" s="3" t="s">
        <v>131</v>
      </c>
      <c r="C26" s="3" t="s">
        <v>173</v>
      </c>
      <c r="D26" s="3" t="s">
        <v>174</v>
      </c>
      <c r="E26" s="3" t="s">
        <v>141</v>
      </c>
      <c r="F26" s="3" t="s">
        <v>135</v>
      </c>
      <c r="G26" s="3" t="s">
        <v>129</v>
      </c>
    </row>
    <row r="27" spans="1:7" x14ac:dyDescent="0.3">
      <c r="A27" s="3" t="s">
        <v>175</v>
      </c>
      <c r="B27" s="3" t="s">
        <v>137</v>
      </c>
      <c r="C27" s="3" t="s">
        <v>147</v>
      </c>
      <c r="D27" s="3" t="s">
        <v>133</v>
      </c>
      <c r="E27" s="3" t="s">
        <v>141</v>
      </c>
      <c r="F27" s="3" t="s">
        <v>135</v>
      </c>
      <c r="G27" s="3" t="s">
        <v>129</v>
      </c>
    </row>
    <row r="28" spans="1:7" x14ac:dyDescent="0.3">
      <c r="A28" s="3" t="s">
        <v>176</v>
      </c>
      <c r="B28" s="3" t="s">
        <v>131</v>
      </c>
      <c r="C28" s="3" t="s">
        <v>173</v>
      </c>
      <c r="D28" s="3" t="s">
        <v>174</v>
      </c>
      <c r="E28" s="3" t="s">
        <v>149</v>
      </c>
      <c r="F28" s="3" t="s">
        <v>135</v>
      </c>
      <c r="G28" s="3" t="s">
        <v>129</v>
      </c>
    </row>
    <row r="29" spans="1:7" x14ac:dyDescent="0.3">
      <c r="A29" s="3" t="s">
        <v>177</v>
      </c>
      <c r="B29" s="3" t="s">
        <v>131</v>
      </c>
      <c r="C29" s="3" t="s">
        <v>161</v>
      </c>
      <c r="D29" s="3" t="s">
        <v>162</v>
      </c>
      <c r="E29" s="3" t="s">
        <v>149</v>
      </c>
      <c r="F29" s="3" t="s">
        <v>135</v>
      </c>
      <c r="G29" s="3" t="s">
        <v>129</v>
      </c>
    </row>
    <row r="30" spans="1:7" x14ac:dyDescent="0.3">
      <c r="A30" s="3" t="s">
        <v>178</v>
      </c>
      <c r="B30" s="3" t="s">
        <v>137</v>
      </c>
      <c r="C30" s="3" t="s">
        <v>147</v>
      </c>
      <c r="D30" s="3" t="s">
        <v>133</v>
      </c>
      <c r="E30" s="3" t="s">
        <v>127</v>
      </c>
      <c r="F30" s="3" t="s">
        <v>135</v>
      </c>
      <c r="G30" s="3" t="s">
        <v>129</v>
      </c>
    </row>
    <row r="31" spans="1:7" x14ac:dyDescent="0.3">
      <c r="A31" s="3" t="s">
        <v>179</v>
      </c>
      <c r="B31" s="3" t="s">
        <v>131</v>
      </c>
      <c r="C31" s="3" t="s">
        <v>161</v>
      </c>
      <c r="D31" s="3" t="s">
        <v>162</v>
      </c>
      <c r="E31" s="3" t="s">
        <v>141</v>
      </c>
      <c r="F31" s="3" t="s">
        <v>135</v>
      </c>
      <c r="G31" s="3" t="s">
        <v>129</v>
      </c>
    </row>
    <row r="32" spans="1:7" x14ac:dyDescent="0.3">
      <c r="A32" s="3" t="s">
        <v>180</v>
      </c>
      <c r="B32" s="3" t="s">
        <v>137</v>
      </c>
      <c r="C32" s="3" t="s">
        <v>138</v>
      </c>
      <c r="D32" s="3" t="s">
        <v>133</v>
      </c>
      <c r="E32" s="3" t="s">
        <v>144</v>
      </c>
      <c r="F32" s="3" t="s">
        <v>135</v>
      </c>
      <c r="G32" s="3" t="s">
        <v>129</v>
      </c>
    </row>
    <row r="33" spans="1:7" x14ac:dyDescent="0.3">
      <c r="A33" s="3" t="s">
        <v>181</v>
      </c>
      <c r="B33" s="3" t="s">
        <v>124</v>
      </c>
      <c r="C33" s="3" t="s">
        <v>153</v>
      </c>
      <c r="D33" s="3" t="s">
        <v>126</v>
      </c>
      <c r="E33" s="3" t="s">
        <v>134</v>
      </c>
      <c r="F33" s="3" t="s">
        <v>135</v>
      </c>
      <c r="G33" s="3" t="s">
        <v>129</v>
      </c>
    </row>
    <row r="34" spans="1:7" x14ac:dyDescent="0.3">
      <c r="A34" s="3" t="s">
        <v>182</v>
      </c>
      <c r="B34" s="3" t="s">
        <v>124</v>
      </c>
      <c r="C34" s="3" t="s">
        <v>183</v>
      </c>
      <c r="D34" s="3" t="s">
        <v>162</v>
      </c>
      <c r="E34" s="3" t="s">
        <v>141</v>
      </c>
      <c r="F34" s="3" t="s">
        <v>135</v>
      </c>
      <c r="G34" s="3" t="s">
        <v>129</v>
      </c>
    </row>
    <row r="35" spans="1:7" x14ac:dyDescent="0.3">
      <c r="A35" s="3" t="s">
        <v>184</v>
      </c>
      <c r="B35" s="3" t="s">
        <v>131</v>
      </c>
      <c r="C35" s="3" t="s">
        <v>173</v>
      </c>
      <c r="D35" s="3" t="s">
        <v>174</v>
      </c>
      <c r="E35" s="3" t="s">
        <v>141</v>
      </c>
      <c r="F35" s="3" t="s">
        <v>135</v>
      </c>
      <c r="G35" s="3" t="s">
        <v>129</v>
      </c>
    </row>
    <row r="36" spans="1:7" x14ac:dyDescent="0.3">
      <c r="A36" s="3" t="s">
        <v>185</v>
      </c>
      <c r="B36" s="3" t="s">
        <v>137</v>
      </c>
      <c r="C36" s="3" t="s">
        <v>165</v>
      </c>
      <c r="D36" s="3" t="s">
        <v>133</v>
      </c>
      <c r="E36" s="3" t="s">
        <v>144</v>
      </c>
      <c r="F36" s="3" t="s">
        <v>135</v>
      </c>
      <c r="G36" s="3" t="s">
        <v>129</v>
      </c>
    </row>
  </sheetData>
  <autoFilter ref="A1:G36" xr:uid="{00000000-0009-0000-0000-000008000000}"/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  <pageSetUpPr fitToPage="1"/>
  </sheetPr>
  <dimension ref="A1:P721"/>
  <sheetViews>
    <sheetView showGridLines="0" workbookViewId="0">
      <pane ySplit="1" topLeftCell="A17" activePane="bottomLeft" state="frozen"/>
      <selection pane="bottomLeft"/>
    </sheetView>
  </sheetViews>
  <sheetFormatPr defaultRowHeight="14.4" x14ac:dyDescent="0.3"/>
  <cols>
    <col min="1" max="16" width="18" customWidth="1"/>
  </cols>
  <sheetData>
    <row r="1" spans="1:16" x14ac:dyDescent="0.3">
      <c r="A1" s="7" t="s">
        <v>383</v>
      </c>
      <c r="B1" s="7" t="s">
        <v>385</v>
      </c>
      <c r="C1" s="7" t="s">
        <v>386</v>
      </c>
      <c r="D1" s="7" t="s">
        <v>4</v>
      </c>
      <c r="E1" s="7" t="s">
        <v>5</v>
      </c>
      <c r="F1" s="7" t="s">
        <v>413</v>
      </c>
      <c r="G1" s="7" t="s">
        <v>414</v>
      </c>
      <c r="H1" s="7" t="s">
        <v>415</v>
      </c>
      <c r="I1" s="7" t="s">
        <v>416</v>
      </c>
      <c r="J1" s="7" t="s">
        <v>417</v>
      </c>
      <c r="K1" s="7" t="s">
        <v>418</v>
      </c>
      <c r="L1" s="7" t="s">
        <v>419</v>
      </c>
      <c r="M1" s="7" t="s">
        <v>420</v>
      </c>
      <c r="N1" s="7" t="s">
        <v>393</v>
      </c>
      <c r="O1" s="7" t="s">
        <v>421</v>
      </c>
      <c r="P1" s="7" t="s">
        <v>422</v>
      </c>
    </row>
    <row r="2" spans="1:16" x14ac:dyDescent="0.3">
      <c r="A2" s="4">
        <f>Raw_Production!A2</f>
        <v>46027</v>
      </c>
      <c r="B2" s="3" t="str">
        <f>Raw_Production!C2</f>
        <v>Cutting</v>
      </c>
      <c r="C2" s="3" t="str">
        <f>Raw_Production!D2</f>
        <v>T01</v>
      </c>
      <c r="D2" s="3" t="str">
        <f>Raw_Production!P2</f>
        <v>ST-108</v>
      </c>
      <c r="E2" s="3" t="str">
        <f>Raw_Production!O2</f>
        <v>Hoodie</v>
      </c>
      <c r="F2" s="6">
        <f>Raw_Production!G2</f>
        <v>0.81</v>
      </c>
      <c r="G2" s="6">
        <f>Raw_Production!N2</f>
        <v>0.79</v>
      </c>
      <c r="H2" s="6">
        <f t="shared" ref="H2:H65" si="0">G2-F2</f>
        <v>-2.0000000000000018E-2</v>
      </c>
      <c r="I2" s="3">
        <f>Raw_Production!I2</f>
        <v>168</v>
      </c>
      <c r="J2" s="3">
        <f>Raw_Production!J2</f>
        <v>131</v>
      </c>
      <c r="K2" s="3">
        <f>Raw_Production!L2</f>
        <v>83</v>
      </c>
      <c r="L2" s="3">
        <f>Raw_Production!M2</f>
        <v>4</v>
      </c>
      <c r="M2" s="3">
        <f>Raw_Production!F2</f>
        <v>2</v>
      </c>
      <c r="N2" s="3">
        <f>Raw_Production!K2</f>
        <v>2787</v>
      </c>
      <c r="O2" s="3">
        <f>Raw_Production!H2</f>
        <v>18.399999999999999</v>
      </c>
      <c r="P2" s="3">
        <f>Raw_Production!E2</f>
        <v>22</v>
      </c>
    </row>
    <row r="3" spans="1:16" x14ac:dyDescent="0.3">
      <c r="A3" s="4">
        <f>Raw_Production!A3</f>
        <v>46027</v>
      </c>
      <c r="B3" s="3" t="str">
        <f>Raw_Production!C3</f>
        <v>Cutting</v>
      </c>
      <c r="C3" s="3" t="str">
        <f>Raw_Production!D3</f>
        <v>T06</v>
      </c>
      <c r="D3" s="3" t="str">
        <f>Raw_Production!P3</f>
        <v>ST-107</v>
      </c>
      <c r="E3" s="3" t="str">
        <f>Raw_Production!O3</f>
        <v>Polo</v>
      </c>
      <c r="F3" s="6">
        <f>Raw_Production!G3</f>
        <v>0.83</v>
      </c>
      <c r="G3" s="6">
        <f>Raw_Production!N3</f>
        <v>0.74</v>
      </c>
      <c r="H3" s="6">
        <f t="shared" si="0"/>
        <v>-8.9999999999999969E-2</v>
      </c>
      <c r="I3" s="3">
        <f>Raw_Production!I3</f>
        <v>343</v>
      </c>
      <c r="J3" s="3">
        <f>Raw_Production!J3</f>
        <v>129</v>
      </c>
      <c r="K3" s="3">
        <f>Raw_Production!L3</f>
        <v>57</v>
      </c>
      <c r="L3" s="3">
        <f>Raw_Production!M3</f>
        <v>8</v>
      </c>
      <c r="M3" s="3">
        <f>Raw_Production!F3</f>
        <v>1</v>
      </c>
      <c r="N3" s="3">
        <f>Raw_Production!K3</f>
        <v>892</v>
      </c>
      <c r="O3" s="3">
        <f>Raw_Production!H3</f>
        <v>10.9</v>
      </c>
      <c r="P3" s="3">
        <f>Raw_Production!E3</f>
        <v>38</v>
      </c>
    </row>
    <row r="4" spans="1:16" x14ac:dyDescent="0.3">
      <c r="A4" s="4">
        <f>Raw_Production!A4</f>
        <v>46027</v>
      </c>
      <c r="B4" s="3" t="str">
        <f>Raw_Production!C4</f>
        <v>Sewing</v>
      </c>
      <c r="C4" s="3" t="str">
        <f>Raw_Production!D4</f>
        <v>T02</v>
      </c>
      <c r="D4" s="3" t="str">
        <f>Raw_Production!P4</f>
        <v>ST-105</v>
      </c>
      <c r="E4" s="3" t="str">
        <f>Raw_Production!O4</f>
        <v>Jacket</v>
      </c>
      <c r="F4" s="6">
        <f>Raw_Production!G4</f>
        <v>0.89</v>
      </c>
      <c r="G4" s="6">
        <f>Raw_Production!N4</f>
        <v>0.88</v>
      </c>
      <c r="H4" s="6">
        <f t="shared" si="0"/>
        <v>-1.0000000000000009E-2</v>
      </c>
      <c r="I4" s="3">
        <f>Raw_Production!I4</f>
        <v>318</v>
      </c>
      <c r="J4" s="3">
        <f>Raw_Production!J4</f>
        <v>83</v>
      </c>
      <c r="K4" s="3">
        <f>Raw_Production!L4</f>
        <v>54</v>
      </c>
      <c r="L4" s="3">
        <f>Raw_Production!M4</f>
        <v>0</v>
      </c>
      <c r="M4" s="3">
        <f>Raw_Production!F4</f>
        <v>0</v>
      </c>
      <c r="N4" s="3">
        <f>Raw_Production!K4</f>
        <v>4219</v>
      </c>
      <c r="O4" s="3">
        <f>Raw_Production!H4</f>
        <v>16</v>
      </c>
      <c r="P4" s="3">
        <f>Raw_Production!E4</f>
        <v>20</v>
      </c>
    </row>
    <row r="5" spans="1:16" x14ac:dyDescent="0.3">
      <c r="A5" s="4">
        <f>Raw_Production!A5</f>
        <v>46027</v>
      </c>
      <c r="B5" s="3" t="str">
        <f>Raw_Production!C5</f>
        <v>Sewing</v>
      </c>
      <c r="C5" s="3" t="str">
        <f>Raw_Production!D5</f>
        <v>T03</v>
      </c>
      <c r="D5" s="3" t="str">
        <f>Raw_Production!P5</f>
        <v>ST-107</v>
      </c>
      <c r="E5" s="3" t="str">
        <f>Raw_Production!O5</f>
        <v>Polo</v>
      </c>
      <c r="F5" s="6">
        <f>Raw_Production!G5</f>
        <v>0.76</v>
      </c>
      <c r="G5" s="6">
        <f>Raw_Production!N5</f>
        <v>0.7</v>
      </c>
      <c r="H5" s="6">
        <f t="shared" si="0"/>
        <v>-6.0000000000000053E-2</v>
      </c>
      <c r="I5" s="3">
        <f>Raw_Production!I5</f>
        <v>173</v>
      </c>
      <c r="J5" s="3">
        <f>Raw_Production!J5</f>
        <v>68</v>
      </c>
      <c r="K5" s="3">
        <f>Raw_Production!L5</f>
        <v>55</v>
      </c>
      <c r="L5" s="3">
        <f>Raw_Production!M5</f>
        <v>1</v>
      </c>
      <c r="M5" s="3">
        <f>Raw_Production!F5</f>
        <v>0</v>
      </c>
      <c r="N5" s="3">
        <f>Raw_Production!K5</f>
        <v>2091</v>
      </c>
      <c r="O5" s="3">
        <f>Raw_Production!H5</f>
        <v>10.9</v>
      </c>
      <c r="P5" s="3">
        <f>Raw_Production!E5</f>
        <v>28</v>
      </c>
    </row>
    <row r="6" spans="1:16" x14ac:dyDescent="0.3">
      <c r="A6" s="4">
        <f>Raw_Production!A6</f>
        <v>46027</v>
      </c>
      <c r="B6" s="3" t="str">
        <f>Raw_Production!C6</f>
        <v>Finishing</v>
      </c>
      <c r="C6" s="3" t="str">
        <f>Raw_Production!D6</f>
        <v>T04</v>
      </c>
      <c r="D6" s="3" t="str">
        <f>Raw_Production!P6</f>
        <v>ST-109</v>
      </c>
      <c r="E6" s="3" t="str">
        <f>Raw_Production!O6</f>
        <v>Shirt</v>
      </c>
      <c r="F6" s="6">
        <f>Raw_Production!G6</f>
        <v>0.87</v>
      </c>
      <c r="G6" s="6">
        <f>Raw_Production!N6</f>
        <v>0.68</v>
      </c>
      <c r="H6" s="6">
        <f t="shared" si="0"/>
        <v>-0.18999999999999995</v>
      </c>
      <c r="I6" s="3">
        <f>Raw_Production!I6</f>
        <v>83</v>
      </c>
      <c r="J6" s="3">
        <f>Raw_Production!J6</f>
        <v>43</v>
      </c>
      <c r="K6" s="3">
        <f>Raw_Production!L6</f>
        <v>91</v>
      </c>
      <c r="L6" s="3">
        <f>Raw_Production!M6</f>
        <v>8</v>
      </c>
      <c r="M6" s="3">
        <f>Raw_Production!F6</f>
        <v>2</v>
      </c>
      <c r="N6" s="3">
        <f>Raw_Production!K6</f>
        <v>1132</v>
      </c>
      <c r="O6" s="3">
        <f>Raw_Production!H6</f>
        <v>15.7</v>
      </c>
      <c r="P6" s="3">
        <f>Raw_Production!E6</f>
        <v>36</v>
      </c>
    </row>
    <row r="7" spans="1:16" x14ac:dyDescent="0.3">
      <c r="A7" s="4">
        <f>Raw_Production!A7</f>
        <v>46027</v>
      </c>
      <c r="B7" s="3" t="str">
        <f>Raw_Production!C7</f>
        <v>Finishing</v>
      </c>
      <c r="C7" s="3" t="str">
        <f>Raw_Production!D7</f>
        <v>T05</v>
      </c>
      <c r="D7" s="3" t="str">
        <f>Raw_Production!P7</f>
        <v>ST-102</v>
      </c>
      <c r="E7" s="3" t="str">
        <f>Raw_Production!O7</f>
        <v>Polo</v>
      </c>
      <c r="F7" s="6">
        <f>Raw_Production!G7</f>
        <v>0.82</v>
      </c>
      <c r="G7" s="6">
        <f>Raw_Production!N7</f>
        <v>0.72</v>
      </c>
      <c r="H7" s="6">
        <f t="shared" si="0"/>
        <v>-9.9999999999999978E-2</v>
      </c>
      <c r="I7" s="3">
        <f>Raw_Production!I7</f>
        <v>267</v>
      </c>
      <c r="J7" s="3">
        <f>Raw_Production!J7</f>
        <v>6</v>
      </c>
      <c r="K7" s="3">
        <f>Raw_Production!L7</f>
        <v>11</v>
      </c>
      <c r="L7" s="3">
        <f>Raw_Production!M7</f>
        <v>4</v>
      </c>
      <c r="M7" s="3">
        <f>Raw_Production!F7</f>
        <v>0</v>
      </c>
      <c r="N7" s="3">
        <f>Raw_Production!K7</f>
        <v>2840</v>
      </c>
      <c r="O7" s="3">
        <f>Raw_Production!H7</f>
        <v>12.5</v>
      </c>
      <c r="P7" s="3">
        <f>Raw_Production!E7</f>
        <v>32</v>
      </c>
    </row>
    <row r="8" spans="1:16" x14ac:dyDescent="0.3">
      <c r="A8" s="4">
        <f>Raw_Production!A8</f>
        <v>46028</v>
      </c>
      <c r="B8" s="3" t="str">
        <f>Raw_Production!C8</f>
        <v>Cutting</v>
      </c>
      <c r="C8" s="3" t="str">
        <f>Raw_Production!D8</f>
        <v>T01</v>
      </c>
      <c r="D8" s="3" t="str">
        <f>Raw_Production!P8</f>
        <v>ST-110</v>
      </c>
      <c r="E8" s="3" t="str">
        <f>Raw_Production!O8</f>
        <v>Jacket</v>
      </c>
      <c r="F8" s="6">
        <f>Raw_Production!G8</f>
        <v>0.78</v>
      </c>
      <c r="G8" s="6">
        <f>Raw_Production!N8</f>
        <v>0.66</v>
      </c>
      <c r="H8" s="6">
        <f t="shared" si="0"/>
        <v>-0.12</v>
      </c>
      <c r="I8" s="3">
        <f>Raw_Production!I8</f>
        <v>222</v>
      </c>
      <c r="J8" s="3">
        <f>Raw_Production!J8</f>
        <v>131</v>
      </c>
      <c r="K8" s="3">
        <f>Raw_Production!L8</f>
        <v>102</v>
      </c>
      <c r="L8" s="3">
        <f>Raw_Production!M8</f>
        <v>4</v>
      </c>
      <c r="M8" s="3">
        <f>Raw_Production!F8</f>
        <v>0</v>
      </c>
      <c r="N8" s="3">
        <f>Raw_Production!K8</f>
        <v>407</v>
      </c>
      <c r="O8" s="3">
        <f>Raw_Production!H8</f>
        <v>14.9</v>
      </c>
      <c r="P8" s="3">
        <f>Raw_Production!E8</f>
        <v>30</v>
      </c>
    </row>
    <row r="9" spans="1:16" x14ac:dyDescent="0.3">
      <c r="A9" s="4">
        <f>Raw_Production!A9</f>
        <v>46028</v>
      </c>
      <c r="B9" s="3" t="str">
        <f>Raw_Production!C9</f>
        <v>Cutting</v>
      </c>
      <c r="C9" s="3" t="str">
        <f>Raw_Production!D9</f>
        <v>T06</v>
      </c>
      <c r="D9" s="3" t="str">
        <f>Raw_Production!P9</f>
        <v>ST-106</v>
      </c>
      <c r="E9" s="3" t="str">
        <f>Raw_Production!O9</f>
        <v>T-Shirt</v>
      </c>
      <c r="F9" s="6">
        <f>Raw_Production!G9</f>
        <v>0.83</v>
      </c>
      <c r="G9" s="6">
        <f>Raw_Production!N9</f>
        <v>0.72</v>
      </c>
      <c r="H9" s="6">
        <f t="shared" si="0"/>
        <v>-0.10999999999999999</v>
      </c>
      <c r="I9" s="3">
        <f>Raw_Production!I9</f>
        <v>215</v>
      </c>
      <c r="J9" s="3">
        <f>Raw_Production!J9</f>
        <v>143</v>
      </c>
      <c r="K9" s="3">
        <f>Raw_Production!L9</f>
        <v>47</v>
      </c>
      <c r="L9" s="3">
        <f>Raw_Production!M9</f>
        <v>6</v>
      </c>
      <c r="M9" s="3">
        <f>Raw_Production!F9</f>
        <v>0</v>
      </c>
      <c r="N9" s="3">
        <f>Raw_Production!K9</f>
        <v>4486</v>
      </c>
      <c r="O9" s="3">
        <f>Raw_Production!H9</f>
        <v>17</v>
      </c>
      <c r="P9" s="3">
        <f>Raw_Production!E9</f>
        <v>31</v>
      </c>
    </row>
    <row r="10" spans="1:16" x14ac:dyDescent="0.3">
      <c r="A10" s="4">
        <f>Raw_Production!A10</f>
        <v>46028</v>
      </c>
      <c r="B10" s="3" t="str">
        <f>Raw_Production!C10</f>
        <v>Sewing</v>
      </c>
      <c r="C10" s="3" t="str">
        <f>Raw_Production!D10</f>
        <v>T02</v>
      </c>
      <c r="D10" s="3" t="str">
        <f>Raw_Production!P10</f>
        <v>ST-110</v>
      </c>
      <c r="E10" s="3" t="str">
        <f>Raw_Production!O10</f>
        <v>Jacket</v>
      </c>
      <c r="F10" s="6">
        <f>Raw_Production!G10</f>
        <v>0.74</v>
      </c>
      <c r="G10" s="6">
        <f>Raw_Production!N10</f>
        <v>0.78</v>
      </c>
      <c r="H10" s="6">
        <f t="shared" si="0"/>
        <v>4.0000000000000036E-2</v>
      </c>
      <c r="I10" s="3">
        <f>Raw_Production!I10</f>
        <v>43</v>
      </c>
      <c r="J10" s="3">
        <f>Raw_Production!J10</f>
        <v>86</v>
      </c>
      <c r="K10" s="3">
        <f>Raw_Production!L10</f>
        <v>36</v>
      </c>
      <c r="L10" s="3">
        <f>Raw_Production!M10</f>
        <v>9</v>
      </c>
      <c r="M10" s="3">
        <f>Raw_Production!F10</f>
        <v>0</v>
      </c>
      <c r="N10" s="3">
        <f>Raw_Production!K10</f>
        <v>4324</v>
      </c>
      <c r="O10" s="3">
        <f>Raw_Production!H10</f>
        <v>13.2</v>
      </c>
      <c r="P10" s="3">
        <f>Raw_Production!E10</f>
        <v>36</v>
      </c>
    </row>
    <row r="11" spans="1:16" x14ac:dyDescent="0.3">
      <c r="A11" s="4">
        <f>Raw_Production!A11</f>
        <v>46028</v>
      </c>
      <c r="B11" s="3" t="str">
        <f>Raw_Production!C11</f>
        <v>Sewing</v>
      </c>
      <c r="C11" s="3" t="str">
        <f>Raw_Production!D11</f>
        <v>T03</v>
      </c>
      <c r="D11" s="3" t="str">
        <f>Raw_Production!P11</f>
        <v>ST-105</v>
      </c>
      <c r="E11" s="3" t="str">
        <f>Raw_Production!O11</f>
        <v>Jacket</v>
      </c>
      <c r="F11" s="6">
        <f>Raw_Production!G11</f>
        <v>0.82</v>
      </c>
      <c r="G11" s="6">
        <f>Raw_Production!N11</f>
        <v>0.61</v>
      </c>
      <c r="H11" s="6">
        <f t="shared" si="0"/>
        <v>-0.20999999999999996</v>
      </c>
      <c r="I11" s="3">
        <f>Raw_Production!I11</f>
        <v>267</v>
      </c>
      <c r="J11" s="3">
        <f>Raw_Production!J11</f>
        <v>121</v>
      </c>
      <c r="K11" s="3">
        <f>Raw_Production!L11</f>
        <v>51</v>
      </c>
      <c r="L11" s="3">
        <f>Raw_Production!M11</f>
        <v>3</v>
      </c>
      <c r="M11" s="3">
        <f>Raw_Production!F11</f>
        <v>4</v>
      </c>
      <c r="N11" s="3">
        <f>Raw_Production!K11</f>
        <v>4389</v>
      </c>
      <c r="O11" s="3">
        <f>Raw_Production!H11</f>
        <v>13.4</v>
      </c>
      <c r="P11" s="3">
        <f>Raw_Production!E11</f>
        <v>28</v>
      </c>
    </row>
    <row r="12" spans="1:16" x14ac:dyDescent="0.3">
      <c r="A12" s="4">
        <f>Raw_Production!A12</f>
        <v>46028</v>
      </c>
      <c r="B12" s="3" t="str">
        <f>Raw_Production!C12</f>
        <v>Finishing</v>
      </c>
      <c r="C12" s="3" t="str">
        <f>Raw_Production!D12</f>
        <v>T04</v>
      </c>
      <c r="D12" s="3" t="str">
        <f>Raw_Production!P12</f>
        <v>ST-110</v>
      </c>
      <c r="E12" s="3" t="str">
        <f>Raw_Production!O12</f>
        <v>Jacket</v>
      </c>
      <c r="F12" s="6">
        <f>Raw_Production!G12</f>
        <v>0.86</v>
      </c>
      <c r="G12" s="6">
        <f>Raw_Production!N12</f>
        <v>0.72</v>
      </c>
      <c r="H12" s="6">
        <f t="shared" si="0"/>
        <v>-0.14000000000000001</v>
      </c>
      <c r="I12" s="3">
        <f>Raw_Production!I12</f>
        <v>172</v>
      </c>
      <c r="J12" s="3">
        <f>Raw_Production!J12</f>
        <v>14</v>
      </c>
      <c r="K12" s="3">
        <f>Raw_Production!L12</f>
        <v>15</v>
      </c>
      <c r="L12" s="3">
        <f>Raw_Production!M12</f>
        <v>3</v>
      </c>
      <c r="M12" s="3">
        <f>Raw_Production!F12</f>
        <v>0</v>
      </c>
      <c r="N12" s="3">
        <f>Raw_Production!K12</f>
        <v>2929</v>
      </c>
      <c r="O12" s="3">
        <f>Raw_Production!H12</f>
        <v>12.3</v>
      </c>
      <c r="P12" s="3">
        <f>Raw_Production!E12</f>
        <v>20</v>
      </c>
    </row>
    <row r="13" spans="1:16" x14ac:dyDescent="0.3">
      <c r="A13" s="4">
        <f>Raw_Production!A13</f>
        <v>46028</v>
      </c>
      <c r="B13" s="3" t="str">
        <f>Raw_Production!C13</f>
        <v>Finishing</v>
      </c>
      <c r="C13" s="3" t="str">
        <f>Raw_Production!D13</f>
        <v>T05</v>
      </c>
      <c r="D13" s="3" t="str">
        <f>Raw_Production!P13</f>
        <v>ST-107</v>
      </c>
      <c r="E13" s="3" t="str">
        <f>Raw_Production!O13</f>
        <v>Polo</v>
      </c>
      <c r="F13" s="6">
        <f>Raw_Production!G13</f>
        <v>0.8</v>
      </c>
      <c r="G13" s="6">
        <f>Raw_Production!N13</f>
        <v>0.87</v>
      </c>
      <c r="H13" s="6">
        <f t="shared" si="0"/>
        <v>6.9999999999999951E-2</v>
      </c>
      <c r="I13" s="3">
        <f>Raw_Production!I13</f>
        <v>196</v>
      </c>
      <c r="J13" s="3">
        <f>Raw_Production!J13</f>
        <v>129</v>
      </c>
      <c r="K13" s="3">
        <f>Raw_Production!L13</f>
        <v>8</v>
      </c>
      <c r="L13" s="3">
        <f>Raw_Production!M13</f>
        <v>6</v>
      </c>
      <c r="M13" s="3">
        <f>Raw_Production!F13</f>
        <v>1</v>
      </c>
      <c r="N13" s="3">
        <f>Raw_Production!K13</f>
        <v>3166</v>
      </c>
      <c r="O13" s="3">
        <f>Raw_Production!H13</f>
        <v>18.5</v>
      </c>
      <c r="P13" s="3">
        <f>Raw_Production!E13</f>
        <v>28</v>
      </c>
    </row>
    <row r="14" spans="1:16" x14ac:dyDescent="0.3">
      <c r="A14" s="4">
        <f>Raw_Production!A14</f>
        <v>46029</v>
      </c>
      <c r="B14" s="3" t="str">
        <f>Raw_Production!C14</f>
        <v>Cutting</v>
      </c>
      <c r="C14" s="3" t="str">
        <f>Raw_Production!D14</f>
        <v>T01</v>
      </c>
      <c r="D14" s="3" t="str">
        <f>Raw_Production!P14</f>
        <v>ST-106</v>
      </c>
      <c r="E14" s="3" t="str">
        <f>Raw_Production!O14</f>
        <v>T-Shirt</v>
      </c>
      <c r="F14" s="6">
        <f>Raw_Production!G14</f>
        <v>0.89</v>
      </c>
      <c r="G14" s="6">
        <f>Raw_Production!N14</f>
        <v>0.85</v>
      </c>
      <c r="H14" s="6">
        <f t="shared" si="0"/>
        <v>-4.0000000000000036E-2</v>
      </c>
      <c r="I14" s="3">
        <f>Raw_Production!I14</f>
        <v>126</v>
      </c>
      <c r="J14" s="3">
        <f>Raw_Production!J14</f>
        <v>63</v>
      </c>
      <c r="K14" s="3">
        <f>Raw_Production!L14</f>
        <v>99</v>
      </c>
      <c r="L14" s="3">
        <f>Raw_Production!M14</f>
        <v>6</v>
      </c>
      <c r="M14" s="3">
        <f>Raw_Production!F14</f>
        <v>1</v>
      </c>
      <c r="N14" s="3">
        <f>Raw_Production!K14</f>
        <v>2716</v>
      </c>
      <c r="O14" s="3">
        <f>Raw_Production!H14</f>
        <v>9.8000000000000007</v>
      </c>
      <c r="P14" s="3">
        <f>Raw_Production!E14</f>
        <v>30</v>
      </c>
    </row>
    <row r="15" spans="1:16" x14ac:dyDescent="0.3">
      <c r="A15" s="4">
        <f>Raw_Production!A15</f>
        <v>46029</v>
      </c>
      <c r="B15" s="3" t="str">
        <f>Raw_Production!C15</f>
        <v>Cutting</v>
      </c>
      <c r="C15" s="3" t="str">
        <f>Raw_Production!D15</f>
        <v>T06</v>
      </c>
      <c r="D15" s="3" t="str">
        <f>Raw_Production!P15</f>
        <v>ST-108</v>
      </c>
      <c r="E15" s="3" t="str">
        <f>Raw_Production!O15</f>
        <v>Hoodie</v>
      </c>
      <c r="F15" s="6">
        <f>Raw_Production!G15</f>
        <v>0.82</v>
      </c>
      <c r="G15" s="6">
        <f>Raw_Production!N15</f>
        <v>0.87</v>
      </c>
      <c r="H15" s="6">
        <f t="shared" si="0"/>
        <v>5.0000000000000044E-2</v>
      </c>
      <c r="I15" s="3">
        <f>Raw_Production!I15</f>
        <v>341</v>
      </c>
      <c r="J15" s="3">
        <f>Raw_Production!J15</f>
        <v>56</v>
      </c>
      <c r="K15" s="3">
        <f>Raw_Production!L15</f>
        <v>8</v>
      </c>
      <c r="L15" s="3">
        <f>Raw_Production!M15</f>
        <v>5</v>
      </c>
      <c r="M15" s="3">
        <f>Raw_Production!F15</f>
        <v>1</v>
      </c>
      <c r="N15" s="3">
        <f>Raw_Production!K15</f>
        <v>360</v>
      </c>
      <c r="O15" s="3">
        <f>Raw_Production!H15</f>
        <v>15.3</v>
      </c>
      <c r="P15" s="3">
        <f>Raw_Production!E15</f>
        <v>21</v>
      </c>
    </row>
    <row r="16" spans="1:16" x14ac:dyDescent="0.3">
      <c r="A16" s="4">
        <f>Raw_Production!A16</f>
        <v>46029</v>
      </c>
      <c r="B16" s="3" t="str">
        <f>Raw_Production!C16</f>
        <v>Sewing</v>
      </c>
      <c r="C16" s="3" t="str">
        <f>Raw_Production!D16</f>
        <v>T02</v>
      </c>
      <c r="D16" s="3" t="str">
        <f>Raw_Production!P16</f>
        <v>ST-108</v>
      </c>
      <c r="E16" s="3" t="str">
        <f>Raw_Production!O16</f>
        <v>Hoodie</v>
      </c>
      <c r="F16" s="6">
        <f>Raw_Production!G16</f>
        <v>0.84</v>
      </c>
      <c r="G16" s="6">
        <f>Raw_Production!N16</f>
        <v>0.77</v>
      </c>
      <c r="H16" s="6">
        <f t="shared" si="0"/>
        <v>-6.9999999999999951E-2</v>
      </c>
      <c r="I16" s="3">
        <f>Raw_Production!I16</f>
        <v>446</v>
      </c>
      <c r="J16" s="3">
        <f>Raw_Production!J16</f>
        <v>107</v>
      </c>
      <c r="K16" s="3">
        <f>Raw_Production!L16</f>
        <v>54</v>
      </c>
      <c r="L16" s="3">
        <f>Raw_Production!M16</f>
        <v>1</v>
      </c>
      <c r="M16" s="3">
        <f>Raw_Production!F16</f>
        <v>2</v>
      </c>
      <c r="N16" s="3">
        <f>Raw_Production!K16</f>
        <v>3169</v>
      </c>
      <c r="O16" s="3">
        <f>Raw_Production!H16</f>
        <v>9.6</v>
      </c>
      <c r="P16" s="3">
        <f>Raw_Production!E16</f>
        <v>28</v>
      </c>
    </row>
    <row r="17" spans="1:16" x14ac:dyDescent="0.3">
      <c r="A17" s="4">
        <f>Raw_Production!A17</f>
        <v>46029</v>
      </c>
      <c r="B17" s="3" t="str">
        <f>Raw_Production!C17</f>
        <v>Sewing</v>
      </c>
      <c r="C17" s="3" t="str">
        <f>Raw_Production!D17</f>
        <v>T03</v>
      </c>
      <c r="D17" s="3" t="str">
        <f>Raw_Production!P17</f>
        <v>ST-110</v>
      </c>
      <c r="E17" s="3" t="str">
        <f>Raw_Production!O17</f>
        <v>Jacket</v>
      </c>
      <c r="F17" s="6">
        <f>Raw_Production!G17</f>
        <v>0.9</v>
      </c>
      <c r="G17" s="6">
        <f>Raw_Production!N17</f>
        <v>0.74</v>
      </c>
      <c r="H17" s="6">
        <f t="shared" si="0"/>
        <v>-0.16000000000000003</v>
      </c>
      <c r="I17" s="3">
        <f>Raw_Production!I17</f>
        <v>377</v>
      </c>
      <c r="J17" s="3">
        <f>Raw_Production!J17</f>
        <v>92</v>
      </c>
      <c r="K17" s="3">
        <f>Raw_Production!L17</f>
        <v>78</v>
      </c>
      <c r="L17" s="3">
        <f>Raw_Production!M17</f>
        <v>5</v>
      </c>
      <c r="M17" s="3">
        <f>Raw_Production!F17</f>
        <v>0</v>
      </c>
      <c r="N17" s="3">
        <f>Raw_Production!K17</f>
        <v>3534</v>
      </c>
      <c r="O17" s="3">
        <f>Raw_Production!H17</f>
        <v>7.6</v>
      </c>
      <c r="P17" s="3">
        <f>Raw_Production!E17</f>
        <v>38</v>
      </c>
    </row>
    <row r="18" spans="1:16" x14ac:dyDescent="0.3">
      <c r="A18" s="4">
        <f>Raw_Production!A18</f>
        <v>46029</v>
      </c>
      <c r="B18" s="3" t="str">
        <f>Raw_Production!C18</f>
        <v>Finishing</v>
      </c>
      <c r="C18" s="3" t="str">
        <f>Raw_Production!D18</f>
        <v>T04</v>
      </c>
      <c r="D18" s="3" t="str">
        <f>Raw_Production!P18</f>
        <v>ST-106</v>
      </c>
      <c r="E18" s="3" t="str">
        <f>Raw_Production!O18</f>
        <v>T-Shirt</v>
      </c>
      <c r="F18" s="6">
        <f>Raw_Production!G18</f>
        <v>0.77</v>
      </c>
      <c r="G18" s="6">
        <f>Raw_Production!N18</f>
        <v>0.66</v>
      </c>
      <c r="H18" s="6">
        <f t="shared" si="0"/>
        <v>-0.10999999999999999</v>
      </c>
      <c r="I18" s="3">
        <f>Raw_Production!I18</f>
        <v>65</v>
      </c>
      <c r="J18" s="3">
        <f>Raw_Production!J18</f>
        <v>4</v>
      </c>
      <c r="K18" s="3">
        <f>Raw_Production!L18</f>
        <v>89</v>
      </c>
      <c r="L18" s="3">
        <f>Raw_Production!M18</f>
        <v>1</v>
      </c>
      <c r="M18" s="3">
        <f>Raw_Production!F18</f>
        <v>1</v>
      </c>
      <c r="N18" s="3">
        <f>Raw_Production!K18</f>
        <v>1977</v>
      </c>
      <c r="O18" s="3">
        <f>Raw_Production!H18</f>
        <v>8.1</v>
      </c>
      <c r="P18" s="3">
        <f>Raw_Production!E18</f>
        <v>25</v>
      </c>
    </row>
    <row r="19" spans="1:16" x14ac:dyDescent="0.3">
      <c r="A19" s="4">
        <f>Raw_Production!A19</f>
        <v>46029</v>
      </c>
      <c r="B19" s="3" t="str">
        <f>Raw_Production!C19</f>
        <v>Finishing</v>
      </c>
      <c r="C19" s="3" t="str">
        <f>Raw_Production!D19</f>
        <v>T05</v>
      </c>
      <c r="D19" s="3" t="str">
        <f>Raw_Production!P19</f>
        <v>ST-103</v>
      </c>
      <c r="E19" s="3" t="str">
        <f>Raw_Production!O19</f>
        <v>Hoodie</v>
      </c>
      <c r="F19" s="6">
        <f>Raw_Production!G19</f>
        <v>0.89</v>
      </c>
      <c r="G19" s="6">
        <f>Raw_Production!N19</f>
        <v>0.8</v>
      </c>
      <c r="H19" s="6">
        <f t="shared" si="0"/>
        <v>-8.9999999999999969E-2</v>
      </c>
      <c r="I19" s="3">
        <f>Raw_Production!I19</f>
        <v>103</v>
      </c>
      <c r="J19" s="3">
        <f>Raw_Production!J19</f>
        <v>91</v>
      </c>
      <c r="K19" s="3">
        <f>Raw_Production!L19</f>
        <v>59</v>
      </c>
      <c r="L19" s="3">
        <f>Raw_Production!M19</f>
        <v>9</v>
      </c>
      <c r="M19" s="3">
        <f>Raw_Production!F19</f>
        <v>2</v>
      </c>
      <c r="N19" s="3">
        <f>Raw_Production!K19</f>
        <v>3739</v>
      </c>
      <c r="O19" s="3">
        <f>Raw_Production!H19</f>
        <v>8.8000000000000007</v>
      </c>
      <c r="P19" s="3">
        <f>Raw_Production!E19</f>
        <v>37</v>
      </c>
    </row>
    <row r="20" spans="1:16" x14ac:dyDescent="0.3">
      <c r="A20" s="4">
        <f>Raw_Production!A20</f>
        <v>46030</v>
      </c>
      <c r="B20" s="3" t="str">
        <f>Raw_Production!C20</f>
        <v>Cutting</v>
      </c>
      <c r="C20" s="3" t="str">
        <f>Raw_Production!D20</f>
        <v>T01</v>
      </c>
      <c r="D20" s="3" t="str">
        <f>Raw_Production!P20</f>
        <v>ST-105</v>
      </c>
      <c r="E20" s="3" t="str">
        <f>Raw_Production!O20</f>
        <v>Jacket</v>
      </c>
      <c r="F20" s="6">
        <f>Raw_Production!G20</f>
        <v>0.77</v>
      </c>
      <c r="G20" s="6">
        <f>Raw_Production!N20</f>
        <v>0.62</v>
      </c>
      <c r="H20" s="6">
        <f t="shared" si="0"/>
        <v>-0.15000000000000002</v>
      </c>
      <c r="I20" s="3">
        <f>Raw_Production!I20</f>
        <v>392</v>
      </c>
      <c r="J20" s="3">
        <f>Raw_Production!J20</f>
        <v>144</v>
      </c>
      <c r="K20" s="3">
        <f>Raw_Production!L20</f>
        <v>54</v>
      </c>
      <c r="L20" s="3">
        <f>Raw_Production!M20</f>
        <v>9</v>
      </c>
      <c r="M20" s="3">
        <f>Raw_Production!F20</f>
        <v>0</v>
      </c>
      <c r="N20" s="3">
        <f>Raw_Production!K20</f>
        <v>1684</v>
      </c>
      <c r="O20" s="3">
        <f>Raw_Production!H20</f>
        <v>16.7</v>
      </c>
      <c r="P20" s="3">
        <f>Raw_Production!E20</f>
        <v>37</v>
      </c>
    </row>
    <row r="21" spans="1:16" x14ac:dyDescent="0.3">
      <c r="A21" s="4">
        <f>Raw_Production!A21</f>
        <v>46030</v>
      </c>
      <c r="B21" s="3" t="str">
        <f>Raw_Production!C21</f>
        <v>Cutting</v>
      </c>
      <c r="C21" s="3" t="str">
        <f>Raw_Production!D21</f>
        <v>T06</v>
      </c>
      <c r="D21" s="3" t="str">
        <f>Raw_Production!P21</f>
        <v>ST-102</v>
      </c>
      <c r="E21" s="3" t="str">
        <f>Raw_Production!O21</f>
        <v>Polo</v>
      </c>
      <c r="F21" s="6">
        <f>Raw_Production!G21</f>
        <v>0.78</v>
      </c>
      <c r="G21" s="6">
        <f>Raw_Production!N21</f>
        <v>0.72</v>
      </c>
      <c r="H21" s="6">
        <f t="shared" si="0"/>
        <v>-6.0000000000000053E-2</v>
      </c>
      <c r="I21" s="3">
        <f>Raw_Production!I21</f>
        <v>317</v>
      </c>
      <c r="J21" s="3">
        <f>Raw_Production!J21</f>
        <v>150</v>
      </c>
      <c r="K21" s="3">
        <f>Raw_Production!L21</f>
        <v>34</v>
      </c>
      <c r="L21" s="3">
        <f>Raw_Production!M21</f>
        <v>5</v>
      </c>
      <c r="M21" s="3">
        <f>Raw_Production!F21</f>
        <v>1</v>
      </c>
      <c r="N21" s="3">
        <f>Raw_Production!K21</f>
        <v>3386</v>
      </c>
      <c r="O21" s="3">
        <f>Raw_Production!H21</f>
        <v>12.1</v>
      </c>
      <c r="P21" s="3">
        <f>Raw_Production!E21</f>
        <v>34</v>
      </c>
    </row>
    <row r="22" spans="1:16" x14ac:dyDescent="0.3">
      <c r="A22" s="4">
        <f>Raw_Production!A22</f>
        <v>46030</v>
      </c>
      <c r="B22" s="3" t="str">
        <f>Raw_Production!C22</f>
        <v>Sewing</v>
      </c>
      <c r="C22" s="3" t="str">
        <f>Raw_Production!D22</f>
        <v>T02</v>
      </c>
      <c r="D22" s="3" t="str">
        <f>Raw_Production!P22</f>
        <v>ST-108</v>
      </c>
      <c r="E22" s="3" t="str">
        <f>Raw_Production!O22</f>
        <v>Hoodie</v>
      </c>
      <c r="F22" s="6">
        <f>Raw_Production!G22</f>
        <v>0.77</v>
      </c>
      <c r="G22" s="6">
        <f>Raw_Production!N22</f>
        <v>0.79</v>
      </c>
      <c r="H22" s="6">
        <f t="shared" si="0"/>
        <v>2.0000000000000018E-2</v>
      </c>
      <c r="I22" s="3">
        <f>Raw_Production!I22</f>
        <v>167</v>
      </c>
      <c r="J22" s="3">
        <f>Raw_Production!J22</f>
        <v>97</v>
      </c>
      <c r="K22" s="3">
        <f>Raw_Production!L22</f>
        <v>41</v>
      </c>
      <c r="L22" s="3">
        <f>Raw_Production!M22</f>
        <v>2</v>
      </c>
      <c r="M22" s="3">
        <f>Raw_Production!F22</f>
        <v>1</v>
      </c>
      <c r="N22" s="3">
        <f>Raw_Production!K22</f>
        <v>642</v>
      </c>
      <c r="O22" s="3">
        <f>Raw_Production!H22</f>
        <v>18.2</v>
      </c>
      <c r="P22" s="3">
        <f>Raw_Production!E22</f>
        <v>36</v>
      </c>
    </row>
    <row r="23" spans="1:16" x14ac:dyDescent="0.3">
      <c r="A23" s="4">
        <f>Raw_Production!A23</f>
        <v>46030</v>
      </c>
      <c r="B23" s="3" t="str">
        <f>Raw_Production!C23</f>
        <v>Sewing</v>
      </c>
      <c r="C23" s="3" t="str">
        <f>Raw_Production!D23</f>
        <v>T03</v>
      </c>
      <c r="D23" s="3" t="str">
        <f>Raw_Production!P23</f>
        <v>ST-103</v>
      </c>
      <c r="E23" s="3" t="str">
        <f>Raw_Production!O23</f>
        <v>Hoodie</v>
      </c>
      <c r="F23" s="6">
        <f>Raw_Production!G23</f>
        <v>0.78</v>
      </c>
      <c r="G23" s="6">
        <f>Raw_Production!N23</f>
        <v>0.68</v>
      </c>
      <c r="H23" s="6">
        <f t="shared" si="0"/>
        <v>-9.9999999999999978E-2</v>
      </c>
      <c r="I23" s="3">
        <f>Raw_Production!I23</f>
        <v>123</v>
      </c>
      <c r="J23" s="3">
        <f>Raw_Production!J23</f>
        <v>47</v>
      </c>
      <c r="K23" s="3">
        <f>Raw_Production!L23</f>
        <v>96</v>
      </c>
      <c r="L23" s="3">
        <f>Raw_Production!M23</f>
        <v>4</v>
      </c>
      <c r="M23" s="3">
        <f>Raw_Production!F23</f>
        <v>3</v>
      </c>
      <c r="N23" s="3">
        <f>Raw_Production!K23</f>
        <v>2426</v>
      </c>
      <c r="O23" s="3">
        <f>Raw_Production!H23</f>
        <v>13</v>
      </c>
      <c r="P23" s="3">
        <f>Raw_Production!E23</f>
        <v>22</v>
      </c>
    </row>
    <row r="24" spans="1:16" x14ac:dyDescent="0.3">
      <c r="A24" s="4">
        <f>Raw_Production!A24</f>
        <v>46030</v>
      </c>
      <c r="B24" s="3" t="str">
        <f>Raw_Production!C24</f>
        <v>Finishing</v>
      </c>
      <c r="C24" s="3" t="str">
        <f>Raw_Production!D24</f>
        <v>T04</v>
      </c>
      <c r="D24" s="3" t="str">
        <f>Raw_Production!P24</f>
        <v>ST-107</v>
      </c>
      <c r="E24" s="3" t="str">
        <f>Raw_Production!O24</f>
        <v>Polo</v>
      </c>
      <c r="F24" s="6">
        <f>Raw_Production!G24</f>
        <v>0.75</v>
      </c>
      <c r="G24" s="6">
        <f>Raw_Production!N24</f>
        <v>0.6</v>
      </c>
      <c r="H24" s="6">
        <f t="shared" si="0"/>
        <v>-0.15000000000000002</v>
      </c>
      <c r="I24" s="3">
        <f>Raw_Production!I24</f>
        <v>187</v>
      </c>
      <c r="J24" s="3">
        <f>Raw_Production!J24</f>
        <v>33</v>
      </c>
      <c r="K24" s="3">
        <f>Raw_Production!L24</f>
        <v>97</v>
      </c>
      <c r="L24" s="3">
        <f>Raw_Production!M24</f>
        <v>6</v>
      </c>
      <c r="M24" s="3">
        <f>Raw_Production!F24</f>
        <v>1</v>
      </c>
      <c r="N24" s="3">
        <f>Raw_Production!K24</f>
        <v>2304</v>
      </c>
      <c r="O24" s="3">
        <f>Raw_Production!H24</f>
        <v>15.4</v>
      </c>
      <c r="P24" s="3">
        <f>Raw_Production!E24</f>
        <v>30</v>
      </c>
    </row>
    <row r="25" spans="1:16" x14ac:dyDescent="0.3">
      <c r="A25" s="4">
        <f>Raw_Production!A25</f>
        <v>46030</v>
      </c>
      <c r="B25" s="3" t="str">
        <f>Raw_Production!C25</f>
        <v>Finishing</v>
      </c>
      <c r="C25" s="3" t="str">
        <f>Raw_Production!D25</f>
        <v>T05</v>
      </c>
      <c r="D25" s="3" t="str">
        <f>Raw_Production!P25</f>
        <v>ST-108</v>
      </c>
      <c r="E25" s="3" t="str">
        <f>Raw_Production!O25</f>
        <v>Hoodie</v>
      </c>
      <c r="F25" s="6">
        <f>Raw_Production!G25</f>
        <v>0.78</v>
      </c>
      <c r="G25" s="6">
        <f>Raw_Production!N25</f>
        <v>0.8</v>
      </c>
      <c r="H25" s="6">
        <f t="shared" si="0"/>
        <v>2.0000000000000018E-2</v>
      </c>
      <c r="I25" s="3">
        <f>Raw_Production!I25</f>
        <v>297</v>
      </c>
      <c r="J25" s="3">
        <f>Raw_Production!J25</f>
        <v>27</v>
      </c>
      <c r="K25" s="3">
        <f>Raw_Production!L25</f>
        <v>23</v>
      </c>
      <c r="L25" s="3">
        <f>Raw_Production!M25</f>
        <v>3</v>
      </c>
      <c r="M25" s="3">
        <f>Raw_Production!F25</f>
        <v>1</v>
      </c>
      <c r="N25" s="3">
        <f>Raw_Production!K25</f>
        <v>1071</v>
      </c>
      <c r="O25" s="3">
        <f>Raw_Production!H25</f>
        <v>10.1</v>
      </c>
      <c r="P25" s="3">
        <f>Raw_Production!E25</f>
        <v>38</v>
      </c>
    </row>
    <row r="26" spans="1:16" x14ac:dyDescent="0.3">
      <c r="A26" s="4">
        <f>Raw_Production!A26</f>
        <v>46031</v>
      </c>
      <c r="B26" s="3" t="str">
        <f>Raw_Production!C26</f>
        <v>Cutting</v>
      </c>
      <c r="C26" s="3" t="str">
        <f>Raw_Production!D26</f>
        <v>T01</v>
      </c>
      <c r="D26" s="3" t="str">
        <f>Raw_Production!P26</f>
        <v>ST-103</v>
      </c>
      <c r="E26" s="3" t="str">
        <f>Raw_Production!O26</f>
        <v>Hoodie</v>
      </c>
      <c r="F26" s="6">
        <f>Raw_Production!G26</f>
        <v>0.76</v>
      </c>
      <c r="G26" s="6">
        <f>Raw_Production!N26</f>
        <v>0.71</v>
      </c>
      <c r="H26" s="6">
        <f t="shared" si="0"/>
        <v>-5.0000000000000044E-2</v>
      </c>
      <c r="I26" s="3">
        <f>Raw_Production!I26</f>
        <v>377</v>
      </c>
      <c r="J26" s="3">
        <f>Raw_Production!J26</f>
        <v>54</v>
      </c>
      <c r="K26" s="3">
        <f>Raw_Production!L26</f>
        <v>113</v>
      </c>
      <c r="L26" s="3">
        <f>Raw_Production!M26</f>
        <v>3</v>
      </c>
      <c r="M26" s="3">
        <f>Raw_Production!F26</f>
        <v>2</v>
      </c>
      <c r="N26" s="3">
        <f>Raw_Production!K26</f>
        <v>4402</v>
      </c>
      <c r="O26" s="3">
        <f>Raw_Production!H26</f>
        <v>15.7</v>
      </c>
      <c r="P26" s="3">
        <f>Raw_Production!E26</f>
        <v>32</v>
      </c>
    </row>
    <row r="27" spans="1:16" x14ac:dyDescent="0.3">
      <c r="A27" s="4">
        <f>Raw_Production!A27</f>
        <v>46031</v>
      </c>
      <c r="B27" s="3" t="str">
        <f>Raw_Production!C27</f>
        <v>Cutting</v>
      </c>
      <c r="C27" s="3" t="str">
        <f>Raw_Production!D27</f>
        <v>T06</v>
      </c>
      <c r="D27" s="3" t="str">
        <f>Raw_Production!P27</f>
        <v>ST-107</v>
      </c>
      <c r="E27" s="3" t="str">
        <f>Raw_Production!O27</f>
        <v>Polo</v>
      </c>
      <c r="F27" s="6">
        <f>Raw_Production!G27</f>
        <v>0.75</v>
      </c>
      <c r="G27" s="6">
        <f>Raw_Production!N27</f>
        <v>0.77</v>
      </c>
      <c r="H27" s="6">
        <f t="shared" si="0"/>
        <v>2.0000000000000018E-2</v>
      </c>
      <c r="I27" s="3">
        <f>Raw_Production!I27</f>
        <v>242</v>
      </c>
      <c r="J27" s="3">
        <f>Raw_Production!J27</f>
        <v>120</v>
      </c>
      <c r="K27" s="3">
        <f>Raw_Production!L27</f>
        <v>108</v>
      </c>
      <c r="L27" s="3">
        <f>Raw_Production!M27</f>
        <v>6</v>
      </c>
      <c r="M27" s="3">
        <f>Raw_Production!F27</f>
        <v>0</v>
      </c>
      <c r="N27" s="3">
        <f>Raw_Production!K27</f>
        <v>2309</v>
      </c>
      <c r="O27" s="3">
        <f>Raw_Production!H27</f>
        <v>16.600000000000001</v>
      </c>
      <c r="P27" s="3">
        <f>Raw_Production!E27</f>
        <v>35</v>
      </c>
    </row>
    <row r="28" spans="1:16" x14ac:dyDescent="0.3">
      <c r="A28" s="4">
        <f>Raw_Production!A28</f>
        <v>46031</v>
      </c>
      <c r="B28" s="3" t="str">
        <f>Raw_Production!C28</f>
        <v>Sewing</v>
      </c>
      <c r="C28" s="3" t="str">
        <f>Raw_Production!D28</f>
        <v>T02</v>
      </c>
      <c r="D28" s="3" t="str">
        <f>Raw_Production!P28</f>
        <v>ST-109</v>
      </c>
      <c r="E28" s="3" t="str">
        <f>Raw_Production!O28</f>
        <v>Shirt</v>
      </c>
      <c r="F28" s="6">
        <f>Raw_Production!G28</f>
        <v>0.77</v>
      </c>
      <c r="G28" s="6">
        <f>Raw_Production!N28</f>
        <v>0.59</v>
      </c>
      <c r="H28" s="6">
        <f t="shared" si="0"/>
        <v>-0.18000000000000005</v>
      </c>
      <c r="I28" s="3">
        <f>Raw_Production!I28</f>
        <v>147</v>
      </c>
      <c r="J28" s="3">
        <f>Raw_Production!J28</f>
        <v>31</v>
      </c>
      <c r="K28" s="3">
        <f>Raw_Production!L28</f>
        <v>112</v>
      </c>
      <c r="L28" s="3">
        <f>Raw_Production!M28</f>
        <v>4</v>
      </c>
      <c r="M28" s="3">
        <f>Raw_Production!F28</f>
        <v>3</v>
      </c>
      <c r="N28" s="3">
        <f>Raw_Production!K28</f>
        <v>980</v>
      </c>
      <c r="O28" s="3">
        <f>Raw_Production!H28</f>
        <v>15.8</v>
      </c>
      <c r="P28" s="3">
        <f>Raw_Production!E28</f>
        <v>24</v>
      </c>
    </row>
    <row r="29" spans="1:16" x14ac:dyDescent="0.3">
      <c r="A29" s="4">
        <f>Raw_Production!A29</f>
        <v>46031</v>
      </c>
      <c r="B29" s="3" t="str">
        <f>Raw_Production!C29</f>
        <v>Sewing</v>
      </c>
      <c r="C29" s="3" t="str">
        <f>Raw_Production!D29</f>
        <v>T03</v>
      </c>
      <c r="D29" s="3" t="str">
        <f>Raw_Production!P29</f>
        <v>ST-108</v>
      </c>
      <c r="E29" s="3" t="str">
        <f>Raw_Production!O29</f>
        <v>Hoodie</v>
      </c>
      <c r="F29" s="6">
        <f>Raw_Production!G29</f>
        <v>0.73</v>
      </c>
      <c r="G29" s="6">
        <f>Raw_Production!N29</f>
        <v>0.73</v>
      </c>
      <c r="H29" s="6">
        <f t="shared" si="0"/>
        <v>0</v>
      </c>
      <c r="I29" s="3">
        <f>Raw_Production!I29</f>
        <v>231</v>
      </c>
      <c r="J29" s="3">
        <f>Raw_Production!J29</f>
        <v>1</v>
      </c>
      <c r="K29" s="3">
        <f>Raw_Production!L29</f>
        <v>48</v>
      </c>
      <c r="L29" s="3">
        <f>Raw_Production!M29</f>
        <v>4</v>
      </c>
      <c r="M29" s="3">
        <f>Raw_Production!F29</f>
        <v>1</v>
      </c>
      <c r="N29" s="3">
        <f>Raw_Production!K29</f>
        <v>3715</v>
      </c>
      <c r="O29" s="3">
        <f>Raw_Production!H29</f>
        <v>12.6</v>
      </c>
      <c r="P29" s="3">
        <f>Raw_Production!E29</f>
        <v>22</v>
      </c>
    </row>
    <row r="30" spans="1:16" x14ac:dyDescent="0.3">
      <c r="A30" s="4">
        <f>Raw_Production!A30</f>
        <v>46031</v>
      </c>
      <c r="B30" s="3" t="str">
        <f>Raw_Production!C30</f>
        <v>Finishing</v>
      </c>
      <c r="C30" s="3" t="str">
        <f>Raw_Production!D30</f>
        <v>T04</v>
      </c>
      <c r="D30" s="3" t="str">
        <f>Raw_Production!P30</f>
        <v>ST-103</v>
      </c>
      <c r="E30" s="3" t="str">
        <f>Raw_Production!O30</f>
        <v>Hoodie</v>
      </c>
      <c r="F30" s="6">
        <f>Raw_Production!G30</f>
        <v>0.87</v>
      </c>
      <c r="G30" s="6">
        <f>Raw_Production!N30</f>
        <v>0.85</v>
      </c>
      <c r="H30" s="6">
        <f t="shared" si="0"/>
        <v>-2.0000000000000018E-2</v>
      </c>
      <c r="I30" s="3">
        <f>Raw_Production!I30</f>
        <v>438</v>
      </c>
      <c r="J30" s="3">
        <f>Raw_Production!J30</f>
        <v>10</v>
      </c>
      <c r="K30" s="3">
        <f>Raw_Production!L30</f>
        <v>2</v>
      </c>
      <c r="L30" s="3">
        <f>Raw_Production!M30</f>
        <v>1</v>
      </c>
      <c r="M30" s="3">
        <f>Raw_Production!F30</f>
        <v>0</v>
      </c>
      <c r="N30" s="3">
        <f>Raw_Production!K30</f>
        <v>1841</v>
      </c>
      <c r="O30" s="3">
        <f>Raw_Production!H30</f>
        <v>17.3</v>
      </c>
      <c r="P30" s="3">
        <f>Raw_Production!E30</f>
        <v>21</v>
      </c>
    </row>
    <row r="31" spans="1:16" x14ac:dyDescent="0.3">
      <c r="A31" s="4">
        <f>Raw_Production!A31</f>
        <v>46031</v>
      </c>
      <c r="B31" s="3" t="str">
        <f>Raw_Production!C31</f>
        <v>Finishing</v>
      </c>
      <c r="C31" s="3" t="str">
        <f>Raw_Production!D31</f>
        <v>T05</v>
      </c>
      <c r="D31" s="3" t="str">
        <f>Raw_Production!P31</f>
        <v>ST-105</v>
      </c>
      <c r="E31" s="3" t="str">
        <f>Raw_Production!O31</f>
        <v>Jacket</v>
      </c>
      <c r="F31" s="6">
        <f>Raw_Production!G31</f>
        <v>0.85</v>
      </c>
      <c r="G31" s="6">
        <f>Raw_Production!N31</f>
        <v>0.73</v>
      </c>
      <c r="H31" s="6">
        <f t="shared" si="0"/>
        <v>-0.12</v>
      </c>
      <c r="I31" s="3">
        <f>Raw_Production!I31</f>
        <v>74</v>
      </c>
      <c r="J31" s="3">
        <f>Raw_Production!J31</f>
        <v>52</v>
      </c>
      <c r="K31" s="3">
        <f>Raw_Production!L31</f>
        <v>34</v>
      </c>
      <c r="L31" s="3">
        <f>Raw_Production!M31</f>
        <v>7</v>
      </c>
      <c r="M31" s="3">
        <f>Raw_Production!F31</f>
        <v>0</v>
      </c>
      <c r="N31" s="3">
        <f>Raw_Production!K31</f>
        <v>1168</v>
      </c>
      <c r="O31" s="3">
        <f>Raw_Production!H31</f>
        <v>15.5</v>
      </c>
      <c r="P31" s="3">
        <f>Raw_Production!E31</f>
        <v>30</v>
      </c>
    </row>
    <row r="32" spans="1:16" x14ac:dyDescent="0.3">
      <c r="A32" s="4">
        <f>Raw_Production!A32</f>
        <v>46032</v>
      </c>
      <c r="B32" s="3" t="str">
        <f>Raw_Production!C32</f>
        <v>Cutting</v>
      </c>
      <c r="C32" s="3" t="str">
        <f>Raw_Production!D32</f>
        <v>T01</v>
      </c>
      <c r="D32" s="3" t="str">
        <f>Raw_Production!P32</f>
        <v>ST-103</v>
      </c>
      <c r="E32" s="3" t="str">
        <f>Raw_Production!O32</f>
        <v>Hoodie</v>
      </c>
      <c r="F32" s="6">
        <f>Raw_Production!G32</f>
        <v>0.77</v>
      </c>
      <c r="G32" s="6">
        <f>Raw_Production!N32</f>
        <v>0.74</v>
      </c>
      <c r="H32" s="6">
        <f t="shared" si="0"/>
        <v>-3.0000000000000027E-2</v>
      </c>
      <c r="I32" s="3">
        <f>Raw_Production!I32</f>
        <v>386</v>
      </c>
      <c r="J32" s="3">
        <f>Raw_Production!J32</f>
        <v>76</v>
      </c>
      <c r="K32" s="3">
        <f>Raw_Production!L32</f>
        <v>59</v>
      </c>
      <c r="L32" s="3">
        <f>Raw_Production!M32</f>
        <v>4</v>
      </c>
      <c r="M32" s="3">
        <f>Raw_Production!F32</f>
        <v>1</v>
      </c>
      <c r="N32" s="3">
        <f>Raw_Production!K32</f>
        <v>2494</v>
      </c>
      <c r="O32" s="3">
        <f>Raw_Production!H32</f>
        <v>9</v>
      </c>
      <c r="P32" s="3">
        <f>Raw_Production!E32</f>
        <v>36</v>
      </c>
    </row>
    <row r="33" spans="1:16" x14ac:dyDescent="0.3">
      <c r="A33" s="4">
        <f>Raw_Production!A33</f>
        <v>46032</v>
      </c>
      <c r="B33" s="3" t="str">
        <f>Raw_Production!C33</f>
        <v>Cutting</v>
      </c>
      <c r="C33" s="3" t="str">
        <f>Raw_Production!D33</f>
        <v>T06</v>
      </c>
      <c r="D33" s="3" t="str">
        <f>Raw_Production!P33</f>
        <v>ST-109</v>
      </c>
      <c r="E33" s="3" t="str">
        <f>Raw_Production!O33</f>
        <v>Shirt</v>
      </c>
      <c r="F33" s="6">
        <f>Raw_Production!G33</f>
        <v>0.89</v>
      </c>
      <c r="G33" s="6">
        <f>Raw_Production!N33</f>
        <v>0.77</v>
      </c>
      <c r="H33" s="6">
        <f t="shared" si="0"/>
        <v>-0.12</v>
      </c>
      <c r="I33" s="3">
        <f>Raw_Production!I33</f>
        <v>260</v>
      </c>
      <c r="J33" s="3">
        <f>Raw_Production!J33</f>
        <v>131</v>
      </c>
      <c r="K33" s="3">
        <f>Raw_Production!L33</f>
        <v>79</v>
      </c>
      <c r="L33" s="3">
        <f>Raw_Production!M33</f>
        <v>6</v>
      </c>
      <c r="M33" s="3">
        <f>Raw_Production!F33</f>
        <v>0</v>
      </c>
      <c r="N33" s="3">
        <f>Raw_Production!K33</f>
        <v>44</v>
      </c>
      <c r="O33" s="3">
        <f>Raw_Production!H33</f>
        <v>13.9</v>
      </c>
      <c r="P33" s="3">
        <f>Raw_Production!E33</f>
        <v>33</v>
      </c>
    </row>
    <row r="34" spans="1:16" x14ac:dyDescent="0.3">
      <c r="A34" s="4">
        <f>Raw_Production!A34</f>
        <v>46032</v>
      </c>
      <c r="B34" s="3" t="str">
        <f>Raw_Production!C34</f>
        <v>Sewing</v>
      </c>
      <c r="C34" s="3" t="str">
        <f>Raw_Production!D34</f>
        <v>T02</v>
      </c>
      <c r="D34" s="3" t="str">
        <f>Raw_Production!P34</f>
        <v>ST-103</v>
      </c>
      <c r="E34" s="3" t="str">
        <f>Raw_Production!O34</f>
        <v>Hoodie</v>
      </c>
      <c r="F34" s="6">
        <f>Raw_Production!G34</f>
        <v>0.88</v>
      </c>
      <c r="G34" s="6">
        <f>Raw_Production!N34</f>
        <v>0.67</v>
      </c>
      <c r="H34" s="6">
        <f t="shared" si="0"/>
        <v>-0.20999999999999996</v>
      </c>
      <c r="I34" s="3">
        <f>Raw_Production!I34</f>
        <v>279</v>
      </c>
      <c r="J34" s="3">
        <f>Raw_Production!J34</f>
        <v>67</v>
      </c>
      <c r="K34" s="3">
        <f>Raw_Production!L34</f>
        <v>66</v>
      </c>
      <c r="L34" s="3">
        <f>Raw_Production!M34</f>
        <v>6</v>
      </c>
      <c r="M34" s="3">
        <f>Raw_Production!F34</f>
        <v>3</v>
      </c>
      <c r="N34" s="3">
        <f>Raw_Production!K34</f>
        <v>4147</v>
      </c>
      <c r="O34" s="3">
        <f>Raw_Production!H34</f>
        <v>8.3000000000000007</v>
      </c>
      <c r="P34" s="3">
        <f>Raw_Production!E34</f>
        <v>34</v>
      </c>
    </row>
    <row r="35" spans="1:16" x14ac:dyDescent="0.3">
      <c r="A35" s="4">
        <f>Raw_Production!A35</f>
        <v>46032</v>
      </c>
      <c r="B35" s="3" t="str">
        <f>Raw_Production!C35</f>
        <v>Sewing</v>
      </c>
      <c r="C35" s="3" t="str">
        <f>Raw_Production!D35</f>
        <v>T03</v>
      </c>
      <c r="D35" s="3" t="str">
        <f>Raw_Production!P35</f>
        <v>ST-104</v>
      </c>
      <c r="E35" s="3" t="str">
        <f>Raw_Production!O35</f>
        <v>Shirt</v>
      </c>
      <c r="F35" s="6">
        <f>Raw_Production!G35</f>
        <v>0.74</v>
      </c>
      <c r="G35" s="6">
        <f>Raw_Production!N35</f>
        <v>0.7</v>
      </c>
      <c r="H35" s="6">
        <f t="shared" si="0"/>
        <v>-4.0000000000000036E-2</v>
      </c>
      <c r="I35" s="3">
        <f>Raw_Production!I35</f>
        <v>110</v>
      </c>
      <c r="J35" s="3">
        <f>Raw_Production!J35</f>
        <v>39</v>
      </c>
      <c r="K35" s="3">
        <f>Raw_Production!L35</f>
        <v>51</v>
      </c>
      <c r="L35" s="3">
        <f>Raw_Production!M35</f>
        <v>4</v>
      </c>
      <c r="M35" s="3">
        <f>Raw_Production!F35</f>
        <v>0</v>
      </c>
      <c r="N35" s="3">
        <f>Raw_Production!K35</f>
        <v>4475</v>
      </c>
      <c r="O35" s="3">
        <f>Raw_Production!H35</f>
        <v>8.8000000000000007</v>
      </c>
      <c r="P35" s="3">
        <f>Raw_Production!E35</f>
        <v>27</v>
      </c>
    </row>
    <row r="36" spans="1:16" x14ac:dyDescent="0.3">
      <c r="A36" s="4">
        <f>Raw_Production!A36</f>
        <v>46032</v>
      </c>
      <c r="B36" s="3" t="str">
        <f>Raw_Production!C36</f>
        <v>Finishing</v>
      </c>
      <c r="C36" s="3" t="str">
        <f>Raw_Production!D36</f>
        <v>T04</v>
      </c>
      <c r="D36" s="3" t="str">
        <f>Raw_Production!P36</f>
        <v>ST-102</v>
      </c>
      <c r="E36" s="3" t="str">
        <f>Raw_Production!O36</f>
        <v>Polo</v>
      </c>
      <c r="F36" s="6">
        <f>Raw_Production!G36</f>
        <v>0.88</v>
      </c>
      <c r="G36" s="6">
        <f>Raw_Production!N36</f>
        <v>0.88</v>
      </c>
      <c r="H36" s="6">
        <f t="shared" si="0"/>
        <v>0</v>
      </c>
      <c r="I36" s="3">
        <f>Raw_Production!I36</f>
        <v>49</v>
      </c>
      <c r="J36" s="3">
        <f>Raw_Production!J36</f>
        <v>49</v>
      </c>
      <c r="K36" s="3">
        <f>Raw_Production!L36</f>
        <v>93</v>
      </c>
      <c r="L36" s="3">
        <f>Raw_Production!M36</f>
        <v>2</v>
      </c>
      <c r="M36" s="3">
        <f>Raw_Production!F36</f>
        <v>3</v>
      </c>
      <c r="N36" s="3">
        <f>Raw_Production!K36</f>
        <v>4381</v>
      </c>
      <c r="O36" s="3">
        <f>Raw_Production!H36</f>
        <v>16.100000000000001</v>
      </c>
      <c r="P36" s="3">
        <f>Raw_Production!E36</f>
        <v>28</v>
      </c>
    </row>
    <row r="37" spans="1:16" x14ac:dyDescent="0.3">
      <c r="A37" s="4">
        <f>Raw_Production!A37</f>
        <v>46032</v>
      </c>
      <c r="B37" s="3" t="str">
        <f>Raw_Production!C37</f>
        <v>Finishing</v>
      </c>
      <c r="C37" s="3" t="str">
        <f>Raw_Production!D37</f>
        <v>T05</v>
      </c>
      <c r="D37" s="3" t="str">
        <f>Raw_Production!P37</f>
        <v>ST-101</v>
      </c>
      <c r="E37" s="3" t="str">
        <f>Raw_Production!O37</f>
        <v>T-Shirt</v>
      </c>
      <c r="F37" s="6">
        <f>Raw_Production!G37</f>
        <v>0.88</v>
      </c>
      <c r="G37" s="6">
        <f>Raw_Production!N37</f>
        <v>0.8</v>
      </c>
      <c r="H37" s="6">
        <f t="shared" si="0"/>
        <v>-7.999999999999996E-2</v>
      </c>
      <c r="I37" s="3">
        <f>Raw_Production!I37</f>
        <v>253</v>
      </c>
      <c r="J37" s="3">
        <f>Raw_Production!J37</f>
        <v>78</v>
      </c>
      <c r="K37" s="3">
        <f>Raw_Production!L37</f>
        <v>29</v>
      </c>
      <c r="L37" s="3">
        <f>Raw_Production!M37</f>
        <v>1</v>
      </c>
      <c r="M37" s="3">
        <f>Raw_Production!F37</f>
        <v>0</v>
      </c>
      <c r="N37" s="3">
        <f>Raw_Production!K37</f>
        <v>2684</v>
      </c>
      <c r="O37" s="3">
        <f>Raw_Production!H37</f>
        <v>14.1</v>
      </c>
      <c r="P37" s="3">
        <f>Raw_Production!E37</f>
        <v>22</v>
      </c>
    </row>
    <row r="38" spans="1:16" x14ac:dyDescent="0.3">
      <c r="A38" s="4">
        <f>Raw_Production!A38</f>
        <v>46033</v>
      </c>
      <c r="B38" s="3" t="str">
        <f>Raw_Production!C38</f>
        <v>Cutting</v>
      </c>
      <c r="C38" s="3" t="str">
        <f>Raw_Production!D38</f>
        <v>T01</v>
      </c>
      <c r="D38" s="3" t="str">
        <f>Raw_Production!P38</f>
        <v>ST-108</v>
      </c>
      <c r="E38" s="3" t="str">
        <f>Raw_Production!O38</f>
        <v>Hoodie</v>
      </c>
      <c r="F38" s="6">
        <f>Raw_Production!G38</f>
        <v>0.73</v>
      </c>
      <c r="G38" s="6">
        <f>Raw_Production!N38</f>
        <v>0.81</v>
      </c>
      <c r="H38" s="6">
        <f t="shared" si="0"/>
        <v>8.0000000000000071E-2</v>
      </c>
      <c r="I38" s="3">
        <f>Raw_Production!I38</f>
        <v>433</v>
      </c>
      <c r="J38" s="3">
        <f>Raw_Production!J38</f>
        <v>148</v>
      </c>
      <c r="K38" s="3">
        <f>Raw_Production!L38</f>
        <v>6</v>
      </c>
      <c r="L38" s="3">
        <f>Raw_Production!M38</f>
        <v>5</v>
      </c>
      <c r="M38" s="3">
        <f>Raw_Production!F38</f>
        <v>1</v>
      </c>
      <c r="N38" s="3">
        <f>Raw_Production!K38</f>
        <v>3078</v>
      </c>
      <c r="O38" s="3">
        <f>Raw_Production!H38</f>
        <v>10.1</v>
      </c>
      <c r="P38" s="3">
        <f>Raw_Production!E38</f>
        <v>36</v>
      </c>
    </row>
    <row r="39" spans="1:16" x14ac:dyDescent="0.3">
      <c r="A39" s="4">
        <f>Raw_Production!A39</f>
        <v>46033</v>
      </c>
      <c r="B39" s="3" t="str">
        <f>Raw_Production!C39</f>
        <v>Cutting</v>
      </c>
      <c r="C39" s="3" t="str">
        <f>Raw_Production!D39</f>
        <v>T06</v>
      </c>
      <c r="D39" s="3" t="str">
        <f>Raw_Production!P39</f>
        <v>ST-108</v>
      </c>
      <c r="E39" s="3" t="str">
        <f>Raw_Production!O39</f>
        <v>Hoodie</v>
      </c>
      <c r="F39" s="6">
        <f>Raw_Production!G39</f>
        <v>0.76</v>
      </c>
      <c r="G39" s="6">
        <f>Raw_Production!N39</f>
        <v>0.59</v>
      </c>
      <c r="H39" s="6">
        <f t="shared" si="0"/>
        <v>-0.17000000000000004</v>
      </c>
      <c r="I39" s="3">
        <f>Raw_Production!I39</f>
        <v>442</v>
      </c>
      <c r="J39" s="3">
        <f>Raw_Production!J39</f>
        <v>30</v>
      </c>
      <c r="K39" s="3">
        <f>Raw_Production!L39</f>
        <v>70</v>
      </c>
      <c r="L39" s="3">
        <f>Raw_Production!M39</f>
        <v>2</v>
      </c>
      <c r="M39" s="3">
        <f>Raw_Production!F39</f>
        <v>1</v>
      </c>
      <c r="N39" s="3">
        <f>Raw_Production!K39</f>
        <v>1821</v>
      </c>
      <c r="O39" s="3">
        <f>Raw_Production!H39</f>
        <v>11.5</v>
      </c>
      <c r="P39" s="3">
        <f>Raw_Production!E39</f>
        <v>20</v>
      </c>
    </row>
    <row r="40" spans="1:16" x14ac:dyDescent="0.3">
      <c r="A40" s="4">
        <f>Raw_Production!A40</f>
        <v>46033</v>
      </c>
      <c r="B40" s="3" t="str">
        <f>Raw_Production!C40</f>
        <v>Sewing</v>
      </c>
      <c r="C40" s="3" t="str">
        <f>Raw_Production!D40</f>
        <v>T02</v>
      </c>
      <c r="D40" s="3" t="str">
        <f>Raw_Production!P40</f>
        <v>ST-106</v>
      </c>
      <c r="E40" s="3" t="str">
        <f>Raw_Production!O40</f>
        <v>T-Shirt</v>
      </c>
      <c r="F40" s="6">
        <f>Raw_Production!G40</f>
        <v>0.86</v>
      </c>
      <c r="G40" s="6">
        <f>Raw_Production!N40</f>
        <v>0.7</v>
      </c>
      <c r="H40" s="6">
        <f t="shared" si="0"/>
        <v>-0.16000000000000003</v>
      </c>
      <c r="I40" s="3">
        <f>Raw_Production!I40</f>
        <v>107</v>
      </c>
      <c r="J40" s="3">
        <f>Raw_Production!J40</f>
        <v>83</v>
      </c>
      <c r="K40" s="3">
        <f>Raw_Production!L40</f>
        <v>110</v>
      </c>
      <c r="L40" s="3">
        <f>Raw_Production!M40</f>
        <v>6</v>
      </c>
      <c r="M40" s="3">
        <f>Raw_Production!F40</f>
        <v>3</v>
      </c>
      <c r="N40" s="3">
        <f>Raw_Production!K40</f>
        <v>433</v>
      </c>
      <c r="O40" s="3">
        <f>Raw_Production!H40</f>
        <v>13.5</v>
      </c>
      <c r="P40" s="3">
        <f>Raw_Production!E40</f>
        <v>36</v>
      </c>
    </row>
    <row r="41" spans="1:16" x14ac:dyDescent="0.3">
      <c r="A41" s="4">
        <f>Raw_Production!A41</f>
        <v>46033</v>
      </c>
      <c r="B41" s="3" t="str">
        <f>Raw_Production!C41</f>
        <v>Sewing</v>
      </c>
      <c r="C41" s="3" t="str">
        <f>Raw_Production!D41</f>
        <v>T03</v>
      </c>
      <c r="D41" s="3" t="str">
        <f>Raw_Production!P41</f>
        <v>ST-109</v>
      </c>
      <c r="E41" s="3" t="str">
        <f>Raw_Production!O41</f>
        <v>Shirt</v>
      </c>
      <c r="F41" s="6">
        <f>Raw_Production!G41</f>
        <v>0.74</v>
      </c>
      <c r="G41" s="6">
        <f>Raw_Production!N41</f>
        <v>0.72</v>
      </c>
      <c r="H41" s="6">
        <f t="shared" si="0"/>
        <v>-2.0000000000000018E-2</v>
      </c>
      <c r="I41" s="3">
        <f>Raw_Production!I41</f>
        <v>443</v>
      </c>
      <c r="J41" s="3">
        <f>Raw_Production!J41</f>
        <v>90</v>
      </c>
      <c r="K41" s="3">
        <f>Raw_Production!L41</f>
        <v>112</v>
      </c>
      <c r="L41" s="3">
        <f>Raw_Production!M41</f>
        <v>4</v>
      </c>
      <c r="M41" s="3">
        <f>Raw_Production!F41</f>
        <v>2</v>
      </c>
      <c r="N41" s="3">
        <f>Raw_Production!K41</f>
        <v>373</v>
      </c>
      <c r="O41" s="3">
        <f>Raw_Production!H41</f>
        <v>15.4</v>
      </c>
      <c r="P41" s="3">
        <f>Raw_Production!E41</f>
        <v>26</v>
      </c>
    </row>
    <row r="42" spans="1:16" x14ac:dyDescent="0.3">
      <c r="A42" s="4">
        <f>Raw_Production!A42</f>
        <v>46033</v>
      </c>
      <c r="B42" s="3" t="str">
        <f>Raw_Production!C42</f>
        <v>Finishing</v>
      </c>
      <c r="C42" s="3" t="str">
        <f>Raw_Production!D42</f>
        <v>T04</v>
      </c>
      <c r="D42" s="3" t="str">
        <f>Raw_Production!P42</f>
        <v>ST-106</v>
      </c>
      <c r="E42" s="3" t="str">
        <f>Raw_Production!O42</f>
        <v>T-Shirt</v>
      </c>
      <c r="F42" s="6">
        <f>Raw_Production!G42</f>
        <v>0.9</v>
      </c>
      <c r="G42" s="6">
        <f>Raw_Production!N42</f>
        <v>0.85</v>
      </c>
      <c r="H42" s="6">
        <f t="shared" si="0"/>
        <v>-5.0000000000000044E-2</v>
      </c>
      <c r="I42" s="3">
        <f>Raw_Production!I42</f>
        <v>397</v>
      </c>
      <c r="J42" s="3">
        <f>Raw_Production!J42</f>
        <v>130</v>
      </c>
      <c r="K42" s="3">
        <f>Raw_Production!L42</f>
        <v>58</v>
      </c>
      <c r="L42" s="3">
        <f>Raw_Production!M42</f>
        <v>7</v>
      </c>
      <c r="M42" s="3">
        <f>Raw_Production!F42</f>
        <v>0</v>
      </c>
      <c r="N42" s="3">
        <f>Raw_Production!K42</f>
        <v>3174</v>
      </c>
      <c r="O42" s="3">
        <f>Raw_Production!H42</f>
        <v>14.6</v>
      </c>
      <c r="P42" s="3">
        <f>Raw_Production!E42</f>
        <v>37</v>
      </c>
    </row>
    <row r="43" spans="1:16" x14ac:dyDescent="0.3">
      <c r="A43" s="4">
        <f>Raw_Production!A43</f>
        <v>46033</v>
      </c>
      <c r="B43" s="3" t="str">
        <f>Raw_Production!C43</f>
        <v>Finishing</v>
      </c>
      <c r="C43" s="3" t="str">
        <f>Raw_Production!D43</f>
        <v>T05</v>
      </c>
      <c r="D43" s="3" t="str">
        <f>Raw_Production!P43</f>
        <v>ST-109</v>
      </c>
      <c r="E43" s="3" t="str">
        <f>Raw_Production!O43</f>
        <v>Shirt</v>
      </c>
      <c r="F43" s="6">
        <f>Raw_Production!G43</f>
        <v>0.81</v>
      </c>
      <c r="G43" s="6">
        <f>Raw_Production!N43</f>
        <v>0.85</v>
      </c>
      <c r="H43" s="6">
        <f t="shared" si="0"/>
        <v>3.9999999999999925E-2</v>
      </c>
      <c r="I43" s="3">
        <f>Raw_Production!I43</f>
        <v>358</v>
      </c>
      <c r="J43" s="3">
        <f>Raw_Production!J43</f>
        <v>149</v>
      </c>
      <c r="K43" s="3">
        <f>Raw_Production!L43</f>
        <v>45</v>
      </c>
      <c r="L43" s="3">
        <f>Raw_Production!M43</f>
        <v>2</v>
      </c>
      <c r="M43" s="3">
        <f>Raw_Production!F43</f>
        <v>0</v>
      </c>
      <c r="N43" s="3">
        <f>Raw_Production!K43</f>
        <v>888</v>
      </c>
      <c r="O43" s="3">
        <f>Raw_Production!H43</f>
        <v>16.600000000000001</v>
      </c>
      <c r="P43" s="3">
        <f>Raw_Production!E43</f>
        <v>33</v>
      </c>
    </row>
    <row r="44" spans="1:16" x14ac:dyDescent="0.3">
      <c r="A44" s="4">
        <f>Raw_Production!A44</f>
        <v>46034</v>
      </c>
      <c r="B44" s="3" t="str">
        <f>Raw_Production!C44</f>
        <v>Cutting</v>
      </c>
      <c r="C44" s="3" t="str">
        <f>Raw_Production!D44</f>
        <v>T01</v>
      </c>
      <c r="D44" s="3" t="str">
        <f>Raw_Production!P44</f>
        <v>ST-106</v>
      </c>
      <c r="E44" s="3" t="str">
        <f>Raw_Production!O44</f>
        <v>T-Shirt</v>
      </c>
      <c r="F44" s="6">
        <f>Raw_Production!G44</f>
        <v>0.83</v>
      </c>
      <c r="G44" s="6">
        <f>Raw_Production!N44</f>
        <v>0.68</v>
      </c>
      <c r="H44" s="6">
        <f t="shared" si="0"/>
        <v>-0.14999999999999991</v>
      </c>
      <c r="I44" s="3">
        <f>Raw_Production!I44</f>
        <v>244</v>
      </c>
      <c r="J44" s="3">
        <f>Raw_Production!J44</f>
        <v>106</v>
      </c>
      <c r="K44" s="3">
        <f>Raw_Production!L44</f>
        <v>52</v>
      </c>
      <c r="L44" s="3">
        <f>Raw_Production!M44</f>
        <v>7</v>
      </c>
      <c r="M44" s="3">
        <f>Raw_Production!F44</f>
        <v>0</v>
      </c>
      <c r="N44" s="3">
        <f>Raw_Production!K44</f>
        <v>2199</v>
      </c>
      <c r="O44" s="3">
        <f>Raw_Production!H44</f>
        <v>15.7</v>
      </c>
      <c r="P44" s="3">
        <f>Raw_Production!E44</f>
        <v>31</v>
      </c>
    </row>
    <row r="45" spans="1:16" x14ac:dyDescent="0.3">
      <c r="A45" s="4">
        <f>Raw_Production!A45</f>
        <v>46034</v>
      </c>
      <c r="B45" s="3" t="str">
        <f>Raw_Production!C45</f>
        <v>Cutting</v>
      </c>
      <c r="C45" s="3" t="str">
        <f>Raw_Production!D45</f>
        <v>T06</v>
      </c>
      <c r="D45" s="3" t="str">
        <f>Raw_Production!P45</f>
        <v>ST-105</v>
      </c>
      <c r="E45" s="3" t="str">
        <f>Raw_Production!O45</f>
        <v>Jacket</v>
      </c>
      <c r="F45" s="6">
        <f>Raw_Production!G45</f>
        <v>0.77</v>
      </c>
      <c r="G45" s="6">
        <f>Raw_Production!N45</f>
        <v>0.6</v>
      </c>
      <c r="H45" s="6">
        <f t="shared" si="0"/>
        <v>-0.17000000000000004</v>
      </c>
      <c r="I45" s="3">
        <f>Raw_Production!I45</f>
        <v>178</v>
      </c>
      <c r="J45" s="3">
        <f>Raw_Production!J45</f>
        <v>88</v>
      </c>
      <c r="K45" s="3">
        <f>Raw_Production!L45</f>
        <v>112</v>
      </c>
      <c r="L45" s="3">
        <f>Raw_Production!M45</f>
        <v>4</v>
      </c>
      <c r="M45" s="3">
        <f>Raw_Production!F45</f>
        <v>1</v>
      </c>
      <c r="N45" s="3">
        <f>Raw_Production!K45</f>
        <v>729</v>
      </c>
      <c r="O45" s="3">
        <f>Raw_Production!H45</f>
        <v>9.8000000000000007</v>
      </c>
      <c r="P45" s="3">
        <f>Raw_Production!E45</f>
        <v>26</v>
      </c>
    </row>
    <row r="46" spans="1:16" x14ac:dyDescent="0.3">
      <c r="A46" s="4">
        <f>Raw_Production!A46</f>
        <v>46034</v>
      </c>
      <c r="B46" s="3" t="str">
        <f>Raw_Production!C46</f>
        <v>Sewing</v>
      </c>
      <c r="C46" s="3" t="str">
        <f>Raw_Production!D46</f>
        <v>T02</v>
      </c>
      <c r="D46" s="3" t="str">
        <f>Raw_Production!P46</f>
        <v>ST-109</v>
      </c>
      <c r="E46" s="3" t="str">
        <f>Raw_Production!O46</f>
        <v>Shirt</v>
      </c>
      <c r="F46" s="6">
        <f>Raw_Production!G46</f>
        <v>0.82</v>
      </c>
      <c r="G46" s="6">
        <f>Raw_Production!N46</f>
        <v>0.71</v>
      </c>
      <c r="H46" s="6">
        <f t="shared" si="0"/>
        <v>-0.10999999999999999</v>
      </c>
      <c r="I46" s="3">
        <f>Raw_Production!I46</f>
        <v>67</v>
      </c>
      <c r="J46" s="3">
        <f>Raw_Production!J46</f>
        <v>105</v>
      </c>
      <c r="K46" s="3">
        <f>Raw_Production!L46</f>
        <v>79</v>
      </c>
      <c r="L46" s="3">
        <f>Raw_Production!M46</f>
        <v>7</v>
      </c>
      <c r="M46" s="3">
        <f>Raw_Production!F46</f>
        <v>0</v>
      </c>
      <c r="N46" s="3">
        <f>Raw_Production!K46</f>
        <v>1275</v>
      </c>
      <c r="O46" s="3">
        <f>Raw_Production!H46</f>
        <v>9.6</v>
      </c>
      <c r="P46" s="3">
        <f>Raw_Production!E46</f>
        <v>36</v>
      </c>
    </row>
    <row r="47" spans="1:16" x14ac:dyDescent="0.3">
      <c r="A47" s="4">
        <f>Raw_Production!A47</f>
        <v>46034</v>
      </c>
      <c r="B47" s="3" t="str">
        <f>Raw_Production!C47</f>
        <v>Sewing</v>
      </c>
      <c r="C47" s="3" t="str">
        <f>Raw_Production!D47</f>
        <v>T03</v>
      </c>
      <c r="D47" s="3" t="str">
        <f>Raw_Production!P47</f>
        <v>ST-104</v>
      </c>
      <c r="E47" s="3" t="str">
        <f>Raw_Production!O47</f>
        <v>Shirt</v>
      </c>
      <c r="F47" s="6">
        <f>Raw_Production!G47</f>
        <v>0.88</v>
      </c>
      <c r="G47" s="6">
        <f>Raw_Production!N47</f>
        <v>0.88</v>
      </c>
      <c r="H47" s="6">
        <f t="shared" si="0"/>
        <v>0</v>
      </c>
      <c r="I47" s="3">
        <f>Raw_Production!I47</f>
        <v>118</v>
      </c>
      <c r="J47" s="3">
        <f>Raw_Production!J47</f>
        <v>96</v>
      </c>
      <c r="K47" s="3">
        <f>Raw_Production!L47</f>
        <v>66</v>
      </c>
      <c r="L47" s="3">
        <f>Raw_Production!M47</f>
        <v>0</v>
      </c>
      <c r="M47" s="3">
        <f>Raw_Production!F47</f>
        <v>1</v>
      </c>
      <c r="N47" s="3">
        <f>Raw_Production!K47</f>
        <v>778</v>
      </c>
      <c r="O47" s="3">
        <f>Raw_Production!H47</f>
        <v>14.9</v>
      </c>
      <c r="P47" s="3">
        <f>Raw_Production!E47</f>
        <v>21</v>
      </c>
    </row>
    <row r="48" spans="1:16" x14ac:dyDescent="0.3">
      <c r="A48" s="4">
        <f>Raw_Production!A48</f>
        <v>46034</v>
      </c>
      <c r="B48" s="3" t="str">
        <f>Raw_Production!C48</f>
        <v>Finishing</v>
      </c>
      <c r="C48" s="3" t="str">
        <f>Raw_Production!D48</f>
        <v>T04</v>
      </c>
      <c r="D48" s="3" t="str">
        <f>Raw_Production!P48</f>
        <v>ST-110</v>
      </c>
      <c r="E48" s="3" t="str">
        <f>Raw_Production!O48</f>
        <v>Jacket</v>
      </c>
      <c r="F48" s="6">
        <f>Raw_Production!G48</f>
        <v>0.84</v>
      </c>
      <c r="G48" s="6">
        <f>Raw_Production!N48</f>
        <v>0.88</v>
      </c>
      <c r="H48" s="6">
        <f t="shared" si="0"/>
        <v>4.0000000000000036E-2</v>
      </c>
      <c r="I48" s="3">
        <f>Raw_Production!I48</f>
        <v>235</v>
      </c>
      <c r="J48" s="3">
        <f>Raw_Production!J48</f>
        <v>87</v>
      </c>
      <c r="K48" s="3">
        <f>Raw_Production!L48</f>
        <v>6</v>
      </c>
      <c r="L48" s="3">
        <f>Raw_Production!M48</f>
        <v>4</v>
      </c>
      <c r="M48" s="3">
        <f>Raw_Production!F48</f>
        <v>1</v>
      </c>
      <c r="N48" s="3">
        <f>Raw_Production!K48</f>
        <v>2206</v>
      </c>
      <c r="O48" s="3">
        <f>Raw_Production!H48</f>
        <v>16.600000000000001</v>
      </c>
      <c r="P48" s="3">
        <f>Raw_Production!E48</f>
        <v>33</v>
      </c>
    </row>
    <row r="49" spans="1:16" x14ac:dyDescent="0.3">
      <c r="A49" s="4">
        <f>Raw_Production!A49</f>
        <v>46034</v>
      </c>
      <c r="B49" s="3" t="str">
        <f>Raw_Production!C49</f>
        <v>Finishing</v>
      </c>
      <c r="C49" s="3" t="str">
        <f>Raw_Production!D49</f>
        <v>T05</v>
      </c>
      <c r="D49" s="3" t="str">
        <f>Raw_Production!P49</f>
        <v>ST-103</v>
      </c>
      <c r="E49" s="3" t="str">
        <f>Raw_Production!O49</f>
        <v>Hoodie</v>
      </c>
      <c r="F49" s="6">
        <f>Raw_Production!G49</f>
        <v>0.85</v>
      </c>
      <c r="G49" s="6">
        <f>Raw_Production!N49</f>
        <v>0.77</v>
      </c>
      <c r="H49" s="6">
        <f t="shared" si="0"/>
        <v>-7.999999999999996E-2</v>
      </c>
      <c r="I49" s="3">
        <f>Raw_Production!I49</f>
        <v>251</v>
      </c>
      <c r="J49" s="3">
        <f>Raw_Production!J49</f>
        <v>132</v>
      </c>
      <c r="K49" s="3">
        <f>Raw_Production!L49</f>
        <v>105</v>
      </c>
      <c r="L49" s="3">
        <f>Raw_Production!M49</f>
        <v>5</v>
      </c>
      <c r="M49" s="3">
        <f>Raw_Production!F49</f>
        <v>1</v>
      </c>
      <c r="N49" s="3">
        <f>Raw_Production!K49</f>
        <v>2336</v>
      </c>
      <c r="O49" s="3">
        <f>Raw_Production!H49</f>
        <v>16.600000000000001</v>
      </c>
      <c r="P49" s="3">
        <f>Raw_Production!E49</f>
        <v>27</v>
      </c>
    </row>
    <row r="50" spans="1:16" x14ac:dyDescent="0.3">
      <c r="A50" s="4">
        <f>Raw_Production!A50</f>
        <v>46035</v>
      </c>
      <c r="B50" s="3" t="str">
        <f>Raw_Production!C50</f>
        <v>Cutting</v>
      </c>
      <c r="C50" s="3" t="str">
        <f>Raw_Production!D50</f>
        <v>T01</v>
      </c>
      <c r="D50" s="3" t="str">
        <f>Raw_Production!P50</f>
        <v>ST-108</v>
      </c>
      <c r="E50" s="3" t="str">
        <f>Raw_Production!O50</f>
        <v>Hoodie</v>
      </c>
      <c r="F50" s="6">
        <f>Raw_Production!G50</f>
        <v>0.74</v>
      </c>
      <c r="G50" s="6">
        <f>Raw_Production!N50</f>
        <v>0.65</v>
      </c>
      <c r="H50" s="6">
        <f t="shared" si="0"/>
        <v>-8.9999999999999969E-2</v>
      </c>
      <c r="I50" s="3">
        <f>Raw_Production!I50</f>
        <v>93</v>
      </c>
      <c r="J50" s="3">
        <f>Raw_Production!J50</f>
        <v>80</v>
      </c>
      <c r="K50" s="3">
        <f>Raw_Production!L50</f>
        <v>1</v>
      </c>
      <c r="L50" s="3">
        <f>Raw_Production!M50</f>
        <v>3</v>
      </c>
      <c r="M50" s="3">
        <f>Raw_Production!F50</f>
        <v>1</v>
      </c>
      <c r="N50" s="3">
        <f>Raw_Production!K50</f>
        <v>2955</v>
      </c>
      <c r="O50" s="3">
        <f>Raw_Production!H50</f>
        <v>8.6999999999999993</v>
      </c>
      <c r="P50" s="3">
        <f>Raw_Production!E50</f>
        <v>28</v>
      </c>
    </row>
    <row r="51" spans="1:16" x14ac:dyDescent="0.3">
      <c r="A51" s="4">
        <f>Raw_Production!A51</f>
        <v>46035</v>
      </c>
      <c r="B51" s="3" t="str">
        <f>Raw_Production!C51</f>
        <v>Cutting</v>
      </c>
      <c r="C51" s="3" t="str">
        <f>Raw_Production!D51</f>
        <v>T06</v>
      </c>
      <c r="D51" s="3" t="str">
        <f>Raw_Production!P51</f>
        <v>ST-102</v>
      </c>
      <c r="E51" s="3" t="str">
        <f>Raw_Production!O51</f>
        <v>Polo</v>
      </c>
      <c r="F51" s="6">
        <f>Raw_Production!G51</f>
        <v>0.89</v>
      </c>
      <c r="G51" s="6">
        <f>Raw_Production!N51</f>
        <v>0.85</v>
      </c>
      <c r="H51" s="6">
        <f t="shared" si="0"/>
        <v>-4.0000000000000036E-2</v>
      </c>
      <c r="I51" s="3">
        <f>Raw_Production!I51</f>
        <v>244</v>
      </c>
      <c r="J51" s="3">
        <f>Raw_Production!J51</f>
        <v>149</v>
      </c>
      <c r="K51" s="3">
        <f>Raw_Production!L51</f>
        <v>37</v>
      </c>
      <c r="L51" s="3">
        <f>Raw_Production!M51</f>
        <v>1</v>
      </c>
      <c r="M51" s="3">
        <f>Raw_Production!F51</f>
        <v>0</v>
      </c>
      <c r="N51" s="3">
        <f>Raw_Production!K51</f>
        <v>3780</v>
      </c>
      <c r="O51" s="3">
        <f>Raw_Production!H51</f>
        <v>11.1</v>
      </c>
      <c r="P51" s="3">
        <f>Raw_Production!E51</f>
        <v>27</v>
      </c>
    </row>
    <row r="52" spans="1:16" x14ac:dyDescent="0.3">
      <c r="A52" s="4">
        <f>Raw_Production!A52</f>
        <v>46035</v>
      </c>
      <c r="B52" s="3" t="str">
        <f>Raw_Production!C52</f>
        <v>Sewing</v>
      </c>
      <c r="C52" s="3" t="str">
        <f>Raw_Production!D52</f>
        <v>T02</v>
      </c>
      <c r="D52" s="3" t="str">
        <f>Raw_Production!P52</f>
        <v>ST-103</v>
      </c>
      <c r="E52" s="3" t="str">
        <f>Raw_Production!O52</f>
        <v>Hoodie</v>
      </c>
      <c r="F52" s="6">
        <f>Raw_Production!G52</f>
        <v>0.89</v>
      </c>
      <c r="G52" s="6">
        <f>Raw_Production!N52</f>
        <v>0.81</v>
      </c>
      <c r="H52" s="6">
        <f t="shared" si="0"/>
        <v>-7.999999999999996E-2</v>
      </c>
      <c r="I52" s="3">
        <f>Raw_Production!I52</f>
        <v>164</v>
      </c>
      <c r="J52" s="3">
        <f>Raw_Production!J52</f>
        <v>127</v>
      </c>
      <c r="K52" s="3">
        <f>Raw_Production!L52</f>
        <v>74</v>
      </c>
      <c r="L52" s="3">
        <f>Raw_Production!M52</f>
        <v>6</v>
      </c>
      <c r="M52" s="3">
        <f>Raw_Production!F52</f>
        <v>3</v>
      </c>
      <c r="N52" s="3">
        <f>Raw_Production!K52</f>
        <v>4</v>
      </c>
      <c r="O52" s="3">
        <f>Raw_Production!H52</f>
        <v>11.6</v>
      </c>
      <c r="P52" s="3">
        <f>Raw_Production!E52</f>
        <v>37</v>
      </c>
    </row>
    <row r="53" spans="1:16" x14ac:dyDescent="0.3">
      <c r="A53" s="4">
        <f>Raw_Production!A53</f>
        <v>46035</v>
      </c>
      <c r="B53" s="3" t="str">
        <f>Raw_Production!C53</f>
        <v>Sewing</v>
      </c>
      <c r="C53" s="3" t="str">
        <f>Raw_Production!D53</f>
        <v>T03</v>
      </c>
      <c r="D53" s="3" t="str">
        <f>Raw_Production!P53</f>
        <v>ST-105</v>
      </c>
      <c r="E53" s="3" t="str">
        <f>Raw_Production!O53</f>
        <v>Jacket</v>
      </c>
      <c r="F53" s="6">
        <f>Raw_Production!G53</f>
        <v>0.82</v>
      </c>
      <c r="G53" s="6">
        <f>Raw_Production!N53</f>
        <v>0.72</v>
      </c>
      <c r="H53" s="6">
        <f t="shared" si="0"/>
        <v>-9.9999999999999978E-2</v>
      </c>
      <c r="I53" s="3">
        <f>Raw_Production!I53</f>
        <v>212</v>
      </c>
      <c r="J53" s="3">
        <f>Raw_Production!J53</f>
        <v>124</v>
      </c>
      <c r="K53" s="3">
        <f>Raw_Production!L53</f>
        <v>10</v>
      </c>
      <c r="L53" s="3">
        <f>Raw_Production!M53</f>
        <v>7</v>
      </c>
      <c r="M53" s="3">
        <f>Raw_Production!F53</f>
        <v>1</v>
      </c>
      <c r="N53" s="3">
        <f>Raw_Production!K53</f>
        <v>2368</v>
      </c>
      <c r="O53" s="3">
        <f>Raw_Production!H53</f>
        <v>11.2</v>
      </c>
      <c r="P53" s="3">
        <f>Raw_Production!E53</f>
        <v>28</v>
      </c>
    </row>
    <row r="54" spans="1:16" x14ac:dyDescent="0.3">
      <c r="A54" s="4">
        <f>Raw_Production!A54</f>
        <v>46035</v>
      </c>
      <c r="B54" s="3" t="str">
        <f>Raw_Production!C54</f>
        <v>Finishing</v>
      </c>
      <c r="C54" s="3" t="str">
        <f>Raw_Production!D54</f>
        <v>T04</v>
      </c>
      <c r="D54" s="3" t="str">
        <f>Raw_Production!P54</f>
        <v>ST-110</v>
      </c>
      <c r="E54" s="3" t="str">
        <f>Raw_Production!O54</f>
        <v>Jacket</v>
      </c>
      <c r="F54" s="6">
        <f>Raw_Production!G54</f>
        <v>0.85</v>
      </c>
      <c r="G54" s="6">
        <f>Raw_Production!N54</f>
        <v>0.69</v>
      </c>
      <c r="H54" s="6">
        <f t="shared" si="0"/>
        <v>-0.16000000000000003</v>
      </c>
      <c r="I54" s="3">
        <f>Raw_Production!I54</f>
        <v>332</v>
      </c>
      <c r="J54" s="3">
        <f>Raw_Production!J54</f>
        <v>127</v>
      </c>
      <c r="K54" s="3">
        <f>Raw_Production!L54</f>
        <v>72</v>
      </c>
      <c r="L54" s="3">
        <f>Raw_Production!M54</f>
        <v>3</v>
      </c>
      <c r="M54" s="3">
        <f>Raw_Production!F54</f>
        <v>0</v>
      </c>
      <c r="N54" s="3">
        <f>Raw_Production!K54</f>
        <v>1082</v>
      </c>
      <c r="O54" s="3">
        <f>Raw_Production!H54</f>
        <v>12.5</v>
      </c>
      <c r="P54" s="3">
        <f>Raw_Production!E54</f>
        <v>25</v>
      </c>
    </row>
    <row r="55" spans="1:16" x14ac:dyDescent="0.3">
      <c r="A55" s="4">
        <f>Raw_Production!A55</f>
        <v>46035</v>
      </c>
      <c r="B55" s="3" t="str">
        <f>Raw_Production!C55</f>
        <v>Finishing</v>
      </c>
      <c r="C55" s="3" t="str">
        <f>Raw_Production!D55</f>
        <v>T05</v>
      </c>
      <c r="D55" s="3" t="str">
        <f>Raw_Production!P55</f>
        <v>ST-102</v>
      </c>
      <c r="E55" s="3" t="str">
        <f>Raw_Production!O55</f>
        <v>Polo</v>
      </c>
      <c r="F55" s="6">
        <f>Raw_Production!G55</f>
        <v>0.76</v>
      </c>
      <c r="G55" s="6">
        <f>Raw_Production!N55</f>
        <v>0.67</v>
      </c>
      <c r="H55" s="6">
        <f t="shared" si="0"/>
        <v>-8.9999999999999969E-2</v>
      </c>
      <c r="I55" s="3">
        <f>Raw_Production!I55</f>
        <v>434</v>
      </c>
      <c r="J55" s="3">
        <f>Raw_Production!J55</f>
        <v>150</v>
      </c>
      <c r="K55" s="3">
        <f>Raw_Production!L55</f>
        <v>42</v>
      </c>
      <c r="L55" s="3">
        <f>Raw_Production!M55</f>
        <v>6</v>
      </c>
      <c r="M55" s="3">
        <f>Raw_Production!F55</f>
        <v>1</v>
      </c>
      <c r="N55" s="3">
        <f>Raw_Production!K55</f>
        <v>4395</v>
      </c>
      <c r="O55" s="3">
        <f>Raw_Production!H55</f>
        <v>13.9</v>
      </c>
      <c r="P55" s="3">
        <f>Raw_Production!E55</f>
        <v>34</v>
      </c>
    </row>
    <row r="56" spans="1:16" x14ac:dyDescent="0.3">
      <c r="A56" s="4">
        <f>Raw_Production!A56</f>
        <v>46036</v>
      </c>
      <c r="B56" s="3" t="str">
        <f>Raw_Production!C56</f>
        <v>Cutting</v>
      </c>
      <c r="C56" s="3" t="str">
        <f>Raw_Production!D56</f>
        <v>T01</v>
      </c>
      <c r="D56" s="3" t="str">
        <f>Raw_Production!P56</f>
        <v>ST-102</v>
      </c>
      <c r="E56" s="3" t="str">
        <f>Raw_Production!O56</f>
        <v>Polo</v>
      </c>
      <c r="F56" s="6">
        <f>Raw_Production!G56</f>
        <v>0.77</v>
      </c>
      <c r="G56" s="6">
        <f>Raw_Production!N56</f>
        <v>0.67</v>
      </c>
      <c r="H56" s="6">
        <f t="shared" si="0"/>
        <v>-9.9999999999999978E-2</v>
      </c>
      <c r="I56" s="3">
        <f>Raw_Production!I56</f>
        <v>92</v>
      </c>
      <c r="J56" s="3">
        <f>Raw_Production!J56</f>
        <v>28</v>
      </c>
      <c r="K56" s="3">
        <f>Raw_Production!L56</f>
        <v>39</v>
      </c>
      <c r="L56" s="3">
        <f>Raw_Production!M56</f>
        <v>1</v>
      </c>
      <c r="M56" s="3">
        <f>Raw_Production!F56</f>
        <v>1</v>
      </c>
      <c r="N56" s="3">
        <f>Raw_Production!K56</f>
        <v>3170</v>
      </c>
      <c r="O56" s="3">
        <f>Raw_Production!H56</f>
        <v>10.9</v>
      </c>
      <c r="P56" s="3">
        <f>Raw_Production!E56</f>
        <v>27</v>
      </c>
    </row>
    <row r="57" spans="1:16" x14ac:dyDescent="0.3">
      <c r="A57" s="4">
        <f>Raw_Production!A57</f>
        <v>46036</v>
      </c>
      <c r="B57" s="3" t="str">
        <f>Raw_Production!C57</f>
        <v>Cutting</v>
      </c>
      <c r="C57" s="3" t="str">
        <f>Raw_Production!D57</f>
        <v>T06</v>
      </c>
      <c r="D57" s="3" t="str">
        <f>Raw_Production!P57</f>
        <v>ST-107</v>
      </c>
      <c r="E57" s="3" t="str">
        <f>Raw_Production!O57</f>
        <v>Polo</v>
      </c>
      <c r="F57" s="6">
        <f>Raw_Production!G57</f>
        <v>0.75</v>
      </c>
      <c r="G57" s="6">
        <f>Raw_Production!N57</f>
        <v>0.63</v>
      </c>
      <c r="H57" s="6">
        <f t="shared" si="0"/>
        <v>-0.12</v>
      </c>
      <c r="I57" s="3">
        <f>Raw_Production!I57</f>
        <v>178</v>
      </c>
      <c r="J57" s="3">
        <f>Raw_Production!J57</f>
        <v>129</v>
      </c>
      <c r="K57" s="3">
        <f>Raw_Production!L57</f>
        <v>55</v>
      </c>
      <c r="L57" s="3">
        <f>Raw_Production!M57</f>
        <v>2</v>
      </c>
      <c r="M57" s="3">
        <f>Raw_Production!F57</f>
        <v>4</v>
      </c>
      <c r="N57" s="3">
        <f>Raw_Production!K57</f>
        <v>1982</v>
      </c>
      <c r="O57" s="3">
        <f>Raw_Production!H57</f>
        <v>10.3</v>
      </c>
      <c r="P57" s="3">
        <f>Raw_Production!E57</f>
        <v>33</v>
      </c>
    </row>
    <row r="58" spans="1:16" x14ac:dyDescent="0.3">
      <c r="A58" s="4">
        <f>Raw_Production!A58</f>
        <v>46036</v>
      </c>
      <c r="B58" s="3" t="str">
        <f>Raw_Production!C58</f>
        <v>Sewing</v>
      </c>
      <c r="C58" s="3" t="str">
        <f>Raw_Production!D58</f>
        <v>T02</v>
      </c>
      <c r="D58" s="3" t="str">
        <f>Raw_Production!P58</f>
        <v>ST-108</v>
      </c>
      <c r="E58" s="3" t="str">
        <f>Raw_Production!O58</f>
        <v>Hoodie</v>
      </c>
      <c r="F58" s="6">
        <f>Raw_Production!G58</f>
        <v>0.86</v>
      </c>
      <c r="G58" s="6">
        <f>Raw_Production!N58</f>
        <v>0.84</v>
      </c>
      <c r="H58" s="6">
        <f t="shared" si="0"/>
        <v>-2.0000000000000018E-2</v>
      </c>
      <c r="I58" s="3">
        <f>Raw_Production!I58</f>
        <v>78</v>
      </c>
      <c r="J58" s="3">
        <f>Raw_Production!J58</f>
        <v>81</v>
      </c>
      <c r="K58" s="3">
        <f>Raw_Production!L58</f>
        <v>74</v>
      </c>
      <c r="L58" s="3">
        <f>Raw_Production!M58</f>
        <v>0</v>
      </c>
      <c r="M58" s="3">
        <f>Raw_Production!F58</f>
        <v>1</v>
      </c>
      <c r="N58" s="3">
        <f>Raw_Production!K58</f>
        <v>549</v>
      </c>
      <c r="O58" s="3">
        <f>Raw_Production!H58</f>
        <v>17.3</v>
      </c>
      <c r="P58" s="3">
        <f>Raw_Production!E58</f>
        <v>28</v>
      </c>
    </row>
    <row r="59" spans="1:16" x14ac:dyDescent="0.3">
      <c r="A59" s="4">
        <f>Raw_Production!A59</f>
        <v>46036</v>
      </c>
      <c r="B59" s="3" t="str">
        <f>Raw_Production!C59</f>
        <v>Sewing</v>
      </c>
      <c r="C59" s="3" t="str">
        <f>Raw_Production!D59</f>
        <v>T03</v>
      </c>
      <c r="D59" s="3" t="str">
        <f>Raw_Production!P59</f>
        <v>ST-103</v>
      </c>
      <c r="E59" s="3" t="str">
        <f>Raw_Production!O59</f>
        <v>Hoodie</v>
      </c>
      <c r="F59" s="6">
        <f>Raw_Production!G59</f>
        <v>0.88</v>
      </c>
      <c r="G59" s="6">
        <f>Raw_Production!N59</f>
        <v>0.88</v>
      </c>
      <c r="H59" s="6">
        <f t="shared" si="0"/>
        <v>0</v>
      </c>
      <c r="I59" s="3">
        <f>Raw_Production!I59</f>
        <v>213</v>
      </c>
      <c r="J59" s="3">
        <f>Raw_Production!J59</f>
        <v>10</v>
      </c>
      <c r="K59" s="3">
        <f>Raw_Production!L59</f>
        <v>99</v>
      </c>
      <c r="L59" s="3">
        <f>Raw_Production!M59</f>
        <v>2</v>
      </c>
      <c r="M59" s="3">
        <f>Raw_Production!F59</f>
        <v>0</v>
      </c>
      <c r="N59" s="3">
        <f>Raw_Production!K59</f>
        <v>4342</v>
      </c>
      <c r="O59" s="3">
        <f>Raw_Production!H59</f>
        <v>8.6</v>
      </c>
      <c r="P59" s="3">
        <f>Raw_Production!E59</f>
        <v>20</v>
      </c>
    </row>
    <row r="60" spans="1:16" x14ac:dyDescent="0.3">
      <c r="A60" s="4">
        <f>Raw_Production!A60</f>
        <v>46036</v>
      </c>
      <c r="B60" s="3" t="str">
        <f>Raw_Production!C60</f>
        <v>Finishing</v>
      </c>
      <c r="C60" s="3" t="str">
        <f>Raw_Production!D60</f>
        <v>T04</v>
      </c>
      <c r="D60" s="3" t="str">
        <f>Raw_Production!P60</f>
        <v>ST-104</v>
      </c>
      <c r="E60" s="3" t="str">
        <f>Raw_Production!O60</f>
        <v>Shirt</v>
      </c>
      <c r="F60" s="6">
        <f>Raw_Production!G60</f>
        <v>0.88</v>
      </c>
      <c r="G60" s="6">
        <f>Raw_Production!N60</f>
        <v>0.88</v>
      </c>
      <c r="H60" s="6">
        <f t="shared" si="0"/>
        <v>0</v>
      </c>
      <c r="I60" s="3">
        <f>Raw_Production!I60</f>
        <v>362</v>
      </c>
      <c r="J60" s="3">
        <f>Raw_Production!J60</f>
        <v>85</v>
      </c>
      <c r="K60" s="3">
        <f>Raw_Production!L60</f>
        <v>69</v>
      </c>
      <c r="L60" s="3">
        <f>Raw_Production!M60</f>
        <v>7</v>
      </c>
      <c r="M60" s="3">
        <f>Raw_Production!F60</f>
        <v>0</v>
      </c>
      <c r="N60" s="3">
        <f>Raw_Production!K60</f>
        <v>1302</v>
      </c>
      <c r="O60" s="3">
        <f>Raw_Production!H60</f>
        <v>13</v>
      </c>
      <c r="P60" s="3">
        <f>Raw_Production!E60</f>
        <v>35</v>
      </c>
    </row>
    <row r="61" spans="1:16" x14ac:dyDescent="0.3">
      <c r="A61" s="4">
        <f>Raw_Production!A61</f>
        <v>46036</v>
      </c>
      <c r="B61" s="3" t="str">
        <f>Raw_Production!C61</f>
        <v>Finishing</v>
      </c>
      <c r="C61" s="3" t="str">
        <f>Raw_Production!D61</f>
        <v>T05</v>
      </c>
      <c r="D61" s="3" t="str">
        <f>Raw_Production!P61</f>
        <v>ST-101</v>
      </c>
      <c r="E61" s="3" t="str">
        <f>Raw_Production!O61</f>
        <v>T-Shirt</v>
      </c>
      <c r="F61" s="6">
        <f>Raw_Production!G61</f>
        <v>0.73</v>
      </c>
      <c r="G61" s="6">
        <f>Raw_Production!N61</f>
        <v>0.78</v>
      </c>
      <c r="H61" s="6">
        <f t="shared" si="0"/>
        <v>5.0000000000000044E-2</v>
      </c>
      <c r="I61" s="3">
        <f>Raw_Production!I61</f>
        <v>118</v>
      </c>
      <c r="J61" s="3">
        <f>Raw_Production!J61</f>
        <v>137</v>
      </c>
      <c r="K61" s="3">
        <f>Raw_Production!L61</f>
        <v>45</v>
      </c>
      <c r="L61" s="3">
        <f>Raw_Production!M61</f>
        <v>3</v>
      </c>
      <c r="M61" s="3">
        <f>Raw_Production!F61</f>
        <v>0</v>
      </c>
      <c r="N61" s="3">
        <f>Raw_Production!K61</f>
        <v>2800</v>
      </c>
      <c r="O61" s="3">
        <f>Raw_Production!H61</f>
        <v>16.8</v>
      </c>
      <c r="P61" s="3">
        <f>Raw_Production!E61</f>
        <v>27</v>
      </c>
    </row>
    <row r="62" spans="1:16" x14ac:dyDescent="0.3">
      <c r="A62" s="4">
        <f>Raw_Production!A62</f>
        <v>46037</v>
      </c>
      <c r="B62" s="3" t="str">
        <f>Raw_Production!C62</f>
        <v>Cutting</v>
      </c>
      <c r="C62" s="3" t="str">
        <f>Raw_Production!D62</f>
        <v>T01</v>
      </c>
      <c r="D62" s="3" t="str">
        <f>Raw_Production!P62</f>
        <v>ST-109</v>
      </c>
      <c r="E62" s="3" t="str">
        <f>Raw_Production!O62</f>
        <v>Shirt</v>
      </c>
      <c r="F62" s="6">
        <f>Raw_Production!G62</f>
        <v>0.85</v>
      </c>
      <c r="G62" s="6">
        <f>Raw_Production!N62</f>
        <v>0.8</v>
      </c>
      <c r="H62" s="6">
        <f t="shared" si="0"/>
        <v>-4.9999999999999933E-2</v>
      </c>
      <c r="I62" s="3">
        <f>Raw_Production!I62</f>
        <v>121</v>
      </c>
      <c r="J62" s="3">
        <f>Raw_Production!J62</f>
        <v>26</v>
      </c>
      <c r="K62" s="3">
        <f>Raw_Production!L62</f>
        <v>97</v>
      </c>
      <c r="L62" s="3">
        <f>Raw_Production!M62</f>
        <v>2</v>
      </c>
      <c r="M62" s="3">
        <f>Raw_Production!F62</f>
        <v>3</v>
      </c>
      <c r="N62" s="3">
        <f>Raw_Production!K62</f>
        <v>4240</v>
      </c>
      <c r="O62" s="3">
        <f>Raw_Production!H62</f>
        <v>10.1</v>
      </c>
      <c r="P62" s="3">
        <f>Raw_Production!E62</f>
        <v>30</v>
      </c>
    </row>
    <row r="63" spans="1:16" x14ac:dyDescent="0.3">
      <c r="A63" s="4">
        <f>Raw_Production!A63</f>
        <v>46037</v>
      </c>
      <c r="B63" s="3" t="str">
        <f>Raw_Production!C63</f>
        <v>Cutting</v>
      </c>
      <c r="C63" s="3" t="str">
        <f>Raw_Production!D63</f>
        <v>T06</v>
      </c>
      <c r="D63" s="3" t="str">
        <f>Raw_Production!P63</f>
        <v>ST-108</v>
      </c>
      <c r="E63" s="3" t="str">
        <f>Raw_Production!O63</f>
        <v>Hoodie</v>
      </c>
      <c r="F63" s="6">
        <f>Raw_Production!G63</f>
        <v>0.73</v>
      </c>
      <c r="G63" s="6">
        <f>Raw_Production!N63</f>
        <v>0.69</v>
      </c>
      <c r="H63" s="6">
        <f t="shared" si="0"/>
        <v>-4.0000000000000036E-2</v>
      </c>
      <c r="I63" s="3">
        <f>Raw_Production!I63</f>
        <v>360</v>
      </c>
      <c r="J63" s="3">
        <f>Raw_Production!J63</f>
        <v>5</v>
      </c>
      <c r="K63" s="3">
        <f>Raw_Production!L63</f>
        <v>112</v>
      </c>
      <c r="L63" s="3">
        <f>Raw_Production!M63</f>
        <v>5</v>
      </c>
      <c r="M63" s="3">
        <f>Raw_Production!F63</f>
        <v>4</v>
      </c>
      <c r="N63" s="3">
        <f>Raw_Production!K63</f>
        <v>3938</v>
      </c>
      <c r="O63" s="3">
        <f>Raw_Production!H63</f>
        <v>10.7</v>
      </c>
      <c r="P63" s="3">
        <f>Raw_Production!E63</f>
        <v>31</v>
      </c>
    </row>
    <row r="64" spans="1:16" x14ac:dyDescent="0.3">
      <c r="A64" s="4">
        <f>Raw_Production!A64</f>
        <v>46037</v>
      </c>
      <c r="B64" s="3" t="str">
        <f>Raw_Production!C64</f>
        <v>Sewing</v>
      </c>
      <c r="C64" s="3" t="str">
        <f>Raw_Production!D64</f>
        <v>T02</v>
      </c>
      <c r="D64" s="3" t="str">
        <f>Raw_Production!P64</f>
        <v>ST-104</v>
      </c>
      <c r="E64" s="3" t="str">
        <f>Raw_Production!O64</f>
        <v>Shirt</v>
      </c>
      <c r="F64" s="6">
        <f>Raw_Production!G64</f>
        <v>0.83</v>
      </c>
      <c r="G64" s="6">
        <f>Raw_Production!N64</f>
        <v>0.84</v>
      </c>
      <c r="H64" s="6">
        <f t="shared" si="0"/>
        <v>1.0000000000000009E-2</v>
      </c>
      <c r="I64" s="3">
        <f>Raw_Production!I64</f>
        <v>235</v>
      </c>
      <c r="J64" s="3">
        <f>Raw_Production!J64</f>
        <v>30</v>
      </c>
      <c r="K64" s="3">
        <f>Raw_Production!L64</f>
        <v>87</v>
      </c>
      <c r="L64" s="3">
        <f>Raw_Production!M64</f>
        <v>2</v>
      </c>
      <c r="M64" s="3">
        <f>Raw_Production!F64</f>
        <v>0</v>
      </c>
      <c r="N64" s="3">
        <f>Raw_Production!K64</f>
        <v>301</v>
      </c>
      <c r="O64" s="3">
        <f>Raw_Production!H64</f>
        <v>16.3</v>
      </c>
      <c r="P64" s="3">
        <f>Raw_Production!E64</f>
        <v>22</v>
      </c>
    </row>
    <row r="65" spans="1:16" x14ac:dyDescent="0.3">
      <c r="A65" s="4">
        <f>Raw_Production!A65</f>
        <v>46037</v>
      </c>
      <c r="B65" s="3" t="str">
        <f>Raw_Production!C65</f>
        <v>Sewing</v>
      </c>
      <c r="C65" s="3" t="str">
        <f>Raw_Production!D65</f>
        <v>T03</v>
      </c>
      <c r="D65" s="3" t="str">
        <f>Raw_Production!P65</f>
        <v>ST-102</v>
      </c>
      <c r="E65" s="3" t="str">
        <f>Raw_Production!O65</f>
        <v>Polo</v>
      </c>
      <c r="F65" s="6">
        <f>Raw_Production!G65</f>
        <v>0.83</v>
      </c>
      <c r="G65" s="6">
        <f>Raw_Production!N65</f>
        <v>0.74</v>
      </c>
      <c r="H65" s="6">
        <f t="shared" si="0"/>
        <v>-8.9999999999999969E-2</v>
      </c>
      <c r="I65" s="3">
        <f>Raw_Production!I65</f>
        <v>181</v>
      </c>
      <c r="J65" s="3">
        <f>Raw_Production!J65</f>
        <v>71</v>
      </c>
      <c r="K65" s="3">
        <f>Raw_Production!L65</f>
        <v>115</v>
      </c>
      <c r="L65" s="3">
        <f>Raw_Production!M65</f>
        <v>0</v>
      </c>
      <c r="M65" s="3">
        <f>Raw_Production!F65</f>
        <v>3</v>
      </c>
      <c r="N65" s="3">
        <f>Raw_Production!K65</f>
        <v>1685</v>
      </c>
      <c r="O65" s="3">
        <f>Raw_Production!H65</f>
        <v>16.7</v>
      </c>
      <c r="P65" s="3">
        <f>Raw_Production!E65</f>
        <v>26</v>
      </c>
    </row>
    <row r="66" spans="1:16" x14ac:dyDescent="0.3">
      <c r="A66" s="4">
        <f>Raw_Production!A66</f>
        <v>46037</v>
      </c>
      <c r="B66" s="3" t="str">
        <f>Raw_Production!C66</f>
        <v>Finishing</v>
      </c>
      <c r="C66" s="3" t="str">
        <f>Raw_Production!D66</f>
        <v>T04</v>
      </c>
      <c r="D66" s="3" t="str">
        <f>Raw_Production!P66</f>
        <v>ST-107</v>
      </c>
      <c r="E66" s="3" t="str">
        <f>Raw_Production!O66</f>
        <v>Polo</v>
      </c>
      <c r="F66" s="6">
        <f>Raw_Production!G66</f>
        <v>0.87</v>
      </c>
      <c r="G66" s="6">
        <f>Raw_Production!N66</f>
        <v>0.71</v>
      </c>
      <c r="H66" s="6">
        <f t="shared" ref="H66:H129" si="1">G66-F66</f>
        <v>-0.16000000000000003</v>
      </c>
      <c r="I66" s="3">
        <f>Raw_Production!I66</f>
        <v>72</v>
      </c>
      <c r="J66" s="3">
        <f>Raw_Production!J66</f>
        <v>65</v>
      </c>
      <c r="K66" s="3">
        <f>Raw_Production!L66</f>
        <v>67</v>
      </c>
      <c r="L66" s="3">
        <f>Raw_Production!M66</f>
        <v>2</v>
      </c>
      <c r="M66" s="3">
        <f>Raw_Production!F66</f>
        <v>1</v>
      </c>
      <c r="N66" s="3">
        <f>Raw_Production!K66</f>
        <v>2141</v>
      </c>
      <c r="O66" s="3">
        <f>Raw_Production!H66</f>
        <v>9.1999999999999993</v>
      </c>
      <c r="P66" s="3">
        <f>Raw_Production!E66</f>
        <v>21</v>
      </c>
    </row>
    <row r="67" spans="1:16" x14ac:dyDescent="0.3">
      <c r="A67" s="4">
        <f>Raw_Production!A67</f>
        <v>46037</v>
      </c>
      <c r="B67" s="3" t="str">
        <f>Raw_Production!C67</f>
        <v>Finishing</v>
      </c>
      <c r="C67" s="3" t="str">
        <f>Raw_Production!D67</f>
        <v>T05</v>
      </c>
      <c r="D67" s="3" t="str">
        <f>Raw_Production!P67</f>
        <v>ST-105</v>
      </c>
      <c r="E67" s="3" t="str">
        <f>Raw_Production!O67</f>
        <v>Jacket</v>
      </c>
      <c r="F67" s="6">
        <f>Raw_Production!G67</f>
        <v>0.85</v>
      </c>
      <c r="G67" s="6">
        <f>Raw_Production!N67</f>
        <v>0.77</v>
      </c>
      <c r="H67" s="6">
        <f t="shared" si="1"/>
        <v>-7.999999999999996E-2</v>
      </c>
      <c r="I67" s="3">
        <f>Raw_Production!I67</f>
        <v>208</v>
      </c>
      <c r="J67" s="3">
        <f>Raw_Production!J67</f>
        <v>38</v>
      </c>
      <c r="K67" s="3">
        <f>Raw_Production!L67</f>
        <v>44</v>
      </c>
      <c r="L67" s="3">
        <f>Raw_Production!M67</f>
        <v>5</v>
      </c>
      <c r="M67" s="3">
        <f>Raw_Production!F67</f>
        <v>1</v>
      </c>
      <c r="N67" s="3">
        <f>Raw_Production!K67</f>
        <v>1587</v>
      </c>
      <c r="O67" s="3">
        <f>Raw_Production!H67</f>
        <v>17.7</v>
      </c>
      <c r="P67" s="3">
        <f>Raw_Production!E67</f>
        <v>32</v>
      </c>
    </row>
    <row r="68" spans="1:16" x14ac:dyDescent="0.3">
      <c r="A68" s="4">
        <f>Raw_Production!A68</f>
        <v>46038</v>
      </c>
      <c r="B68" s="3" t="str">
        <f>Raw_Production!C68</f>
        <v>Cutting</v>
      </c>
      <c r="C68" s="3" t="str">
        <f>Raw_Production!D68</f>
        <v>T01</v>
      </c>
      <c r="D68" s="3" t="str">
        <f>Raw_Production!P68</f>
        <v>ST-103</v>
      </c>
      <c r="E68" s="3" t="str">
        <f>Raw_Production!O68</f>
        <v>Hoodie</v>
      </c>
      <c r="F68" s="6">
        <f>Raw_Production!G68</f>
        <v>0.86</v>
      </c>
      <c r="G68" s="6">
        <f>Raw_Production!N68</f>
        <v>0.88</v>
      </c>
      <c r="H68" s="6">
        <f t="shared" si="1"/>
        <v>2.0000000000000018E-2</v>
      </c>
      <c r="I68" s="3">
        <f>Raw_Production!I68</f>
        <v>210</v>
      </c>
      <c r="J68" s="3">
        <f>Raw_Production!J68</f>
        <v>48</v>
      </c>
      <c r="K68" s="3">
        <f>Raw_Production!L68</f>
        <v>34</v>
      </c>
      <c r="L68" s="3">
        <f>Raw_Production!M68</f>
        <v>1</v>
      </c>
      <c r="M68" s="3">
        <f>Raw_Production!F68</f>
        <v>0</v>
      </c>
      <c r="N68" s="3">
        <f>Raw_Production!K68</f>
        <v>1019</v>
      </c>
      <c r="O68" s="3">
        <f>Raw_Production!H68</f>
        <v>11.1</v>
      </c>
      <c r="P68" s="3">
        <f>Raw_Production!E68</f>
        <v>26</v>
      </c>
    </row>
    <row r="69" spans="1:16" x14ac:dyDescent="0.3">
      <c r="A69" s="4">
        <f>Raw_Production!A69</f>
        <v>46038</v>
      </c>
      <c r="B69" s="3" t="str">
        <f>Raw_Production!C69</f>
        <v>Cutting</v>
      </c>
      <c r="C69" s="3" t="str">
        <f>Raw_Production!D69</f>
        <v>T06</v>
      </c>
      <c r="D69" s="3" t="str">
        <f>Raw_Production!P69</f>
        <v>ST-105</v>
      </c>
      <c r="E69" s="3" t="str">
        <f>Raw_Production!O69</f>
        <v>Jacket</v>
      </c>
      <c r="F69" s="6">
        <f>Raw_Production!G69</f>
        <v>0.9</v>
      </c>
      <c r="G69" s="6">
        <f>Raw_Production!N69</f>
        <v>0.81</v>
      </c>
      <c r="H69" s="6">
        <f t="shared" si="1"/>
        <v>-8.9999999999999969E-2</v>
      </c>
      <c r="I69" s="3">
        <f>Raw_Production!I69</f>
        <v>387</v>
      </c>
      <c r="J69" s="3">
        <f>Raw_Production!J69</f>
        <v>130</v>
      </c>
      <c r="K69" s="3">
        <f>Raw_Production!L69</f>
        <v>65</v>
      </c>
      <c r="L69" s="3">
        <f>Raw_Production!M69</f>
        <v>3</v>
      </c>
      <c r="M69" s="3">
        <f>Raw_Production!F69</f>
        <v>0</v>
      </c>
      <c r="N69" s="3">
        <f>Raw_Production!K69</f>
        <v>392</v>
      </c>
      <c r="O69" s="3">
        <f>Raw_Production!H69</f>
        <v>10.199999999999999</v>
      </c>
      <c r="P69" s="3">
        <f>Raw_Production!E69</f>
        <v>28</v>
      </c>
    </row>
    <row r="70" spans="1:16" x14ac:dyDescent="0.3">
      <c r="A70" s="4">
        <f>Raw_Production!A70</f>
        <v>46038</v>
      </c>
      <c r="B70" s="3" t="str">
        <f>Raw_Production!C70</f>
        <v>Sewing</v>
      </c>
      <c r="C70" s="3" t="str">
        <f>Raw_Production!D70</f>
        <v>T02</v>
      </c>
      <c r="D70" s="3" t="str">
        <f>Raw_Production!P70</f>
        <v>ST-102</v>
      </c>
      <c r="E70" s="3" t="str">
        <f>Raw_Production!O70</f>
        <v>Polo</v>
      </c>
      <c r="F70" s="6">
        <f>Raw_Production!G70</f>
        <v>0.81</v>
      </c>
      <c r="G70" s="6">
        <f>Raw_Production!N70</f>
        <v>0.69</v>
      </c>
      <c r="H70" s="6">
        <f t="shared" si="1"/>
        <v>-0.12000000000000011</v>
      </c>
      <c r="I70" s="3">
        <f>Raw_Production!I70</f>
        <v>101</v>
      </c>
      <c r="J70" s="3">
        <f>Raw_Production!J70</f>
        <v>55</v>
      </c>
      <c r="K70" s="3">
        <f>Raw_Production!L70</f>
        <v>118</v>
      </c>
      <c r="L70" s="3">
        <f>Raw_Production!M70</f>
        <v>0</v>
      </c>
      <c r="M70" s="3">
        <f>Raw_Production!F70</f>
        <v>0</v>
      </c>
      <c r="N70" s="3">
        <f>Raw_Production!K70</f>
        <v>627</v>
      </c>
      <c r="O70" s="3">
        <f>Raw_Production!H70</f>
        <v>16.2</v>
      </c>
      <c r="P70" s="3">
        <f>Raw_Production!E70</f>
        <v>31</v>
      </c>
    </row>
    <row r="71" spans="1:16" x14ac:dyDescent="0.3">
      <c r="A71" s="4">
        <f>Raw_Production!A71</f>
        <v>46038</v>
      </c>
      <c r="B71" s="3" t="str">
        <f>Raw_Production!C71</f>
        <v>Sewing</v>
      </c>
      <c r="C71" s="3" t="str">
        <f>Raw_Production!D71</f>
        <v>T03</v>
      </c>
      <c r="D71" s="3" t="str">
        <f>Raw_Production!P71</f>
        <v>ST-105</v>
      </c>
      <c r="E71" s="3" t="str">
        <f>Raw_Production!O71</f>
        <v>Jacket</v>
      </c>
      <c r="F71" s="6">
        <f>Raw_Production!G71</f>
        <v>0.72</v>
      </c>
      <c r="G71" s="6">
        <f>Raw_Production!N71</f>
        <v>0.56999999999999995</v>
      </c>
      <c r="H71" s="6">
        <f t="shared" si="1"/>
        <v>-0.15000000000000002</v>
      </c>
      <c r="I71" s="3">
        <f>Raw_Production!I71</f>
        <v>194</v>
      </c>
      <c r="J71" s="3">
        <f>Raw_Production!J71</f>
        <v>44</v>
      </c>
      <c r="K71" s="3">
        <f>Raw_Production!L71</f>
        <v>43</v>
      </c>
      <c r="L71" s="3">
        <f>Raw_Production!M71</f>
        <v>1</v>
      </c>
      <c r="M71" s="3">
        <f>Raw_Production!F71</f>
        <v>1</v>
      </c>
      <c r="N71" s="3">
        <f>Raw_Production!K71</f>
        <v>3949</v>
      </c>
      <c r="O71" s="3">
        <f>Raw_Production!H71</f>
        <v>9.9</v>
      </c>
      <c r="P71" s="3">
        <f>Raw_Production!E71</f>
        <v>37</v>
      </c>
    </row>
    <row r="72" spans="1:16" x14ac:dyDescent="0.3">
      <c r="A72" s="4">
        <f>Raw_Production!A72</f>
        <v>46038</v>
      </c>
      <c r="B72" s="3" t="str">
        <f>Raw_Production!C72</f>
        <v>Finishing</v>
      </c>
      <c r="C72" s="3" t="str">
        <f>Raw_Production!D72</f>
        <v>T04</v>
      </c>
      <c r="D72" s="3" t="str">
        <f>Raw_Production!P72</f>
        <v>ST-107</v>
      </c>
      <c r="E72" s="3" t="str">
        <f>Raw_Production!O72</f>
        <v>Polo</v>
      </c>
      <c r="F72" s="6">
        <f>Raw_Production!G72</f>
        <v>0.79</v>
      </c>
      <c r="G72" s="6">
        <f>Raw_Production!N72</f>
        <v>0.69</v>
      </c>
      <c r="H72" s="6">
        <f t="shared" si="1"/>
        <v>-0.10000000000000009</v>
      </c>
      <c r="I72" s="3">
        <f>Raw_Production!I72</f>
        <v>200</v>
      </c>
      <c r="J72" s="3">
        <f>Raw_Production!J72</f>
        <v>147</v>
      </c>
      <c r="K72" s="3">
        <f>Raw_Production!L72</f>
        <v>88</v>
      </c>
      <c r="L72" s="3">
        <f>Raw_Production!M72</f>
        <v>6</v>
      </c>
      <c r="M72" s="3">
        <f>Raw_Production!F72</f>
        <v>0</v>
      </c>
      <c r="N72" s="3">
        <f>Raw_Production!K72</f>
        <v>954</v>
      </c>
      <c r="O72" s="3">
        <f>Raw_Production!H72</f>
        <v>18.100000000000001</v>
      </c>
      <c r="P72" s="3">
        <f>Raw_Production!E72</f>
        <v>30</v>
      </c>
    </row>
    <row r="73" spans="1:16" x14ac:dyDescent="0.3">
      <c r="A73" s="4">
        <f>Raw_Production!A73</f>
        <v>46038</v>
      </c>
      <c r="B73" s="3" t="str">
        <f>Raw_Production!C73</f>
        <v>Finishing</v>
      </c>
      <c r="C73" s="3" t="str">
        <f>Raw_Production!D73</f>
        <v>T05</v>
      </c>
      <c r="D73" s="3" t="str">
        <f>Raw_Production!P73</f>
        <v>ST-108</v>
      </c>
      <c r="E73" s="3" t="str">
        <f>Raw_Production!O73</f>
        <v>Hoodie</v>
      </c>
      <c r="F73" s="6">
        <f>Raw_Production!G73</f>
        <v>0.79</v>
      </c>
      <c r="G73" s="6">
        <f>Raw_Production!N73</f>
        <v>0.71</v>
      </c>
      <c r="H73" s="6">
        <f t="shared" si="1"/>
        <v>-8.0000000000000071E-2</v>
      </c>
      <c r="I73" s="3">
        <f>Raw_Production!I73</f>
        <v>315</v>
      </c>
      <c r="J73" s="3">
        <f>Raw_Production!J73</f>
        <v>4</v>
      </c>
      <c r="K73" s="3">
        <f>Raw_Production!L73</f>
        <v>16</v>
      </c>
      <c r="L73" s="3">
        <f>Raw_Production!M73</f>
        <v>0</v>
      </c>
      <c r="M73" s="3">
        <f>Raw_Production!F73</f>
        <v>0</v>
      </c>
      <c r="N73" s="3">
        <f>Raw_Production!K73</f>
        <v>769</v>
      </c>
      <c r="O73" s="3">
        <f>Raw_Production!H73</f>
        <v>16.2</v>
      </c>
      <c r="P73" s="3">
        <f>Raw_Production!E73</f>
        <v>21</v>
      </c>
    </row>
    <row r="74" spans="1:16" x14ac:dyDescent="0.3">
      <c r="A74" s="4">
        <f>Raw_Production!A74</f>
        <v>46039</v>
      </c>
      <c r="B74" s="3" t="str">
        <f>Raw_Production!C74</f>
        <v>Cutting</v>
      </c>
      <c r="C74" s="3" t="str">
        <f>Raw_Production!D74</f>
        <v>T01</v>
      </c>
      <c r="D74" s="3" t="str">
        <f>Raw_Production!P74</f>
        <v>ST-102</v>
      </c>
      <c r="E74" s="3" t="str">
        <f>Raw_Production!O74</f>
        <v>Polo</v>
      </c>
      <c r="F74" s="6">
        <f>Raw_Production!G74</f>
        <v>0.79</v>
      </c>
      <c r="G74" s="6">
        <f>Raw_Production!N74</f>
        <v>0.78</v>
      </c>
      <c r="H74" s="6">
        <f t="shared" si="1"/>
        <v>-1.0000000000000009E-2</v>
      </c>
      <c r="I74" s="3">
        <f>Raw_Production!I74</f>
        <v>93</v>
      </c>
      <c r="J74" s="3">
        <f>Raw_Production!J74</f>
        <v>148</v>
      </c>
      <c r="K74" s="3">
        <f>Raw_Production!L74</f>
        <v>29</v>
      </c>
      <c r="L74" s="3">
        <f>Raw_Production!M74</f>
        <v>2</v>
      </c>
      <c r="M74" s="3">
        <f>Raw_Production!F74</f>
        <v>4</v>
      </c>
      <c r="N74" s="3">
        <f>Raw_Production!K74</f>
        <v>3000</v>
      </c>
      <c r="O74" s="3">
        <f>Raw_Production!H74</f>
        <v>8</v>
      </c>
      <c r="P74" s="3">
        <f>Raw_Production!E74</f>
        <v>30</v>
      </c>
    </row>
    <row r="75" spans="1:16" x14ac:dyDescent="0.3">
      <c r="A75" s="4">
        <f>Raw_Production!A75</f>
        <v>46039</v>
      </c>
      <c r="B75" s="3" t="str">
        <f>Raw_Production!C75</f>
        <v>Cutting</v>
      </c>
      <c r="C75" s="3" t="str">
        <f>Raw_Production!D75</f>
        <v>T06</v>
      </c>
      <c r="D75" s="3" t="str">
        <f>Raw_Production!P75</f>
        <v>ST-105</v>
      </c>
      <c r="E75" s="3" t="str">
        <f>Raw_Production!O75</f>
        <v>Jacket</v>
      </c>
      <c r="F75" s="6">
        <f>Raw_Production!G75</f>
        <v>0.73</v>
      </c>
      <c r="G75" s="6">
        <f>Raw_Production!N75</f>
        <v>0.62</v>
      </c>
      <c r="H75" s="6">
        <f t="shared" si="1"/>
        <v>-0.10999999999999999</v>
      </c>
      <c r="I75" s="3">
        <f>Raw_Production!I75</f>
        <v>286</v>
      </c>
      <c r="J75" s="3">
        <f>Raw_Production!J75</f>
        <v>131</v>
      </c>
      <c r="K75" s="3">
        <f>Raw_Production!L75</f>
        <v>14</v>
      </c>
      <c r="L75" s="3">
        <f>Raw_Production!M75</f>
        <v>4</v>
      </c>
      <c r="M75" s="3">
        <f>Raw_Production!F75</f>
        <v>0</v>
      </c>
      <c r="N75" s="3">
        <f>Raw_Production!K75</f>
        <v>2166</v>
      </c>
      <c r="O75" s="3">
        <f>Raw_Production!H75</f>
        <v>16.5</v>
      </c>
      <c r="P75" s="3">
        <f>Raw_Production!E75</f>
        <v>35</v>
      </c>
    </row>
    <row r="76" spans="1:16" x14ac:dyDescent="0.3">
      <c r="A76" s="4">
        <f>Raw_Production!A76</f>
        <v>46039</v>
      </c>
      <c r="B76" s="3" t="str">
        <f>Raw_Production!C76</f>
        <v>Sewing</v>
      </c>
      <c r="C76" s="3" t="str">
        <f>Raw_Production!D76</f>
        <v>T02</v>
      </c>
      <c r="D76" s="3" t="str">
        <f>Raw_Production!P76</f>
        <v>ST-103</v>
      </c>
      <c r="E76" s="3" t="str">
        <f>Raw_Production!O76</f>
        <v>Hoodie</v>
      </c>
      <c r="F76" s="6">
        <f>Raw_Production!G76</f>
        <v>0.75</v>
      </c>
      <c r="G76" s="6">
        <f>Raw_Production!N76</f>
        <v>0.69</v>
      </c>
      <c r="H76" s="6">
        <f t="shared" si="1"/>
        <v>-6.0000000000000053E-2</v>
      </c>
      <c r="I76" s="3">
        <f>Raw_Production!I76</f>
        <v>316</v>
      </c>
      <c r="J76" s="3">
        <f>Raw_Production!J76</f>
        <v>92</v>
      </c>
      <c r="K76" s="3">
        <f>Raw_Production!L76</f>
        <v>11</v>
      </c>
      <c r="L76" s="3">
        <f>Raw_Production!M76</f>
        <v>3</v>
      </c>
      <c r="M76" s="3">
        <f>Raw_Production!F76</f>
        <v>1</v>
      </c>
      <c r="N76" s="3">
        <f>Raw_Production!K76</f>
        <v>3732</v>
      </c>
      <c r="O76" s="3">
        <f>Raw_Production!H76</f>
        <v>11.1</v>
      </c>
      <c r="P76" s="3">
        <f>Raw_Production!E76</f>
        <v>23</v>
      </c>
    </row>
    <row r="77" spans="1:16" x14ac:dyDescent="0.3">
      <c r="A77" s="4">
        <f>Raw_Production!A77</f>
        <v>46039</v>
      </c>
      <c r="B77" s="3" t="str">
        <f>Raw_Production!C77</f>
        <v>Sewing</v>
      </c>
      <c r="C77" s="3" t="str">
        <f>Raw_Production!D77</f>
        <v>T03</v>
      </c>
      <c r="D77" s="3" t="str">
        <f>Raw_Production!P77</f>
        <v>ST-107</v>
      </c>
      <c r="E77" s="3" t="str">
        <f>Raw_Production!O77</f>
        <v>Polo</v>
      </c>
      <c r="F77" s="6">
        <f>Raw_Production!G77</f>
        <v>0.82</v>
      </c>
      <c r="G77" s="6">
        <f>Raw_Production!N77</f>
        <v>0.76</v>
      </c>
      <c r="H77" s="6">
        <f t="shared" si="1"/>
        <v>-5.9999999999999942E-2</v>
      </c>
      <c r="I77" s="3">
        <f>Raw_Production!I77</f>
        <v>209</v>
      </c>
      <c r="J77" s="3">
        <f>Raw_Production!J77</f>
        <v>5</v>
      </c>
      <c r="K77" s="3">
        <f>Raw_Production!L77</f>
        <v>35</v>
      </c>
      <c r="L77" s="3">
        <f>Raw_Production!M77</f>
        <v>4</v>
      </c>
      <c r="M77" s="3">
        <f>Raw_Production!F77</f>
        <v>0</v>
      </c>
      <c r="N77" s="3">
        <f>Raw_Production!K77</f>
        <v>3613</v>
      </c>
      <c r="O77" s="3">
        <f>Raw_Production!H77</f>
        <v>16.600000000000001</v>
      </c>
      <c r="P77" s="3">
        <f>Raw_Production!E77</f>
        <v>24</v>
      </c>
    </row>
    <row r="78" spans="1:16" x14ac:dyDescent="0.3">
      <c r="A78" s="4">
        <f>Raw_Production!A78</f>
        <v>46039</v>
      </c>
      <c r="B78" s="3" t="str">
        <f>Raw_Production!C78</f>
        <v>Finishing</v>
      </c>
      <c r="C78" s="3" t="str">
        <f>Raw_Production!D78</f>
        <v>T04</v>
      </c>
      <c r="D78" s="3" t="str">
        <f>Raw_Production!P78</f>
        <v>ST-105</v>
      </c>
      <c r="E78" s="3" t="str">
        <f>Raw_Production!O78</f>
        <v>Jacket</v>
      </c>
      <c r="F78" s="6">
        <f>Raw_Production!G78</f>
        <v>0.74</v>
      </c>
      <c r="G78" s="6">
        <f>Raw_Production!N78</f>
        <v>0.63</v>
      </c>
      <c r="H78" s="6">
        <f t="shared" si="1"/>
        <v>-0.10999999999999999</v>
      </c>
      <c r="I78" s="3">
        <f>Raw_Production!I78</f>
        <v>103</v>
      </c>
      <c r="J78" s="3">
        <f>Raw_Production!J78</f>
        <v>18</v>
      </c>
      <c r="K78" s="3">
        <f>Raw_Production!L78</f>
        <v>120</v>
      </c>
      <c r="L78" s="3">
        <f>Raw_Production!M78</f>
        <v>2</v>
      </c>
      <c r="M78" s="3">
        <f>Raw_Production!F78</f>
        <v>1</v>
      </c>
      <c r="N78" s="3">
        <f>Raw_Production!K78</f>
        <v>1822</v>
      </c>
      <c r="O78" s="3">
        <f>Raw_Production!H78</f>
        <v>13.3</v>
      </c>
      <c r="P78" s="3">
        <f>Raw_Production!E78</f>
        <v>27</v>
      </c>
    </row>
    <row r="79" spans="1:16" x14ac:dyDescent="0.3">
      <c r="A79" s="4">
        <f>Raw_Production!A79</f>
        <v>46039</v>
      </c>
      <c r="B79" s="3" t="str">
        <f>Raw_Production!C79</f>
        <v>Finishing</v>
      </c>
      <c r="C79" s="3" t="str">
        <f>Raw_Production!D79</f>
        <v>T05</v>
      </c>
      <c r="D79" s="3" t="str">
        <f>Raw_Production!P79</f>
        <v>ST-104</v>
      </c>
      <c r="E79" s="3" t="str">
        <f>Raw_Production!O79</f>
        <v>Shirt</v>
      </c>
      <c r="F79" s="6">
        <f>Raw_Production!G79</f>
        <v>0.72</v>
      </c>
      <c r="G79" s="6">
        <f>Raw_Production!N79</f>
        <v>0.56000000000000005</v>
      </c>
      <c r="H79" s="6">
        <f t="shared" si="1"/>
        <v>-0.15999999999999992</v>
      </c>
      <c r="I79" s="3">
        <f>Raw_Production!I79</f>
        <v>317</v>
      </c>
      <c r="J79" s="3">
        <f>Raw_Production!J79</f>
        <v>18</v>
      </c>
      <c r="K79" s="3">
        <f>Raw_Production!L79</f>
        <v>23</v>
      </c>
      <c r="L79" s="3">
        <f>Raw_Production!M79</f>
        <v>5</v>
      </c>
      <c r="M79" s="3">
        <f>Raw_Production!F79</f>
        <v>0</v>
      </c>
      <c r="N79" s="3">
        <f>Raw_Production!K79</f>
        <v>2340</v>
      </c>
      <c r="O79" s="3">
        <f>Raw_Production!H79</f>
        <v>13.6</v>
      </c>
      <c r="P79" s="3">
        <f>Raw_Production!E79</f>
        <v>29</v>
      </c>
    </row>
    <row r="80" spans="1:16" x14ac:dyDescent="0.3">
      <c r="A80" s="4">
        <f>Raw_Production!A80</f>
        <v>46040</v>
      </c>
      <c r="B80" s="3" t="str">
        <f>Raw_Production!C80</f>
        <v>Cutting</v>
      </c>
      <c r="C80" s="3" t="str">
        <f>Raw_Production!D80</f>
        <v>T01</v>
      </c>
      <c r="D80" s="3" t="str">
        <f>Raw_Production!P80</f>
        <v>ST-106</v>
      </c>
      <c r="E80" s="3" t="str">
        <f>Raw_Production!O80</f>
        <v>T-Shirt</v>
      </c>
      <c r="F80" s="6">
        <f>Raw_Production!G80</f>
        <v>0.82</v>
      </c>
      <c r="G80" s="6">
        <f>Raw_Production!N80</f>
        <v>0.62</v>
      </c>
      <c r="H80" s="6">
        <f t="shared" si="1"/>
        <v>-0.19999999999999996</v>
      </c>
      <c r="I80" s="3">
        <f>Raw_Production!I80</f>
        <v>301</v>
      </c>
      <c r="J80" s="3">
        <f>Raw_Production!J80</f>
        <v>30</v>
      </c>
      <c r="K80" s="3">
        <f>Raw_Production!L80</f>
        <v>118</v>
      </c>
      <c r="L80" s="3">
        <f>Raw_Production!M80</f>
        <v>1</v>
      </c>
      <c r="M80" s="3">
        <f>Raw_Production!F80</f>
        <v>1</v>
      </c>
      <c r="N80" s="3">
        <f>Raw_Production!K80</f>
        <v>4233</v>
      </c>
      <c r="O80" s="3">
        <f>Raw_Production!H80</f>
        <v>15.6</v>
      </c>
      <c r="P80" s="3">
        <f>Raw_Production!E80</f>
        <v>30</v>
      </c>
    </row>
    <row r="81" spans="1:16" x14ac:dyDescent="0.3">
      <c r="A81" s="4">
        <f>Raw_Production!A81</f>
        <v>46040</v>
      </c>
      <c r="B81" s="3" t="str">
        <f>Raw_Production!C81</f>
        <v>Cutting</v>
      </c>
      <c r="C81" s="3" t="str">
        <f>Raw_Production!D81</f>
        <v>T06</v>
      </c>
      <c r="D81" s="3" t="str">
        <f>Raw_Production!P81</f>
        <v>ST-101</v>
      </c>
      <c r="E81" s="3" t="str">
        <f>Raw_Production!O81</f>
        <v>T-Shirt</v>
      </c>
      <c r="F81" s="6">
        <f>Raw_Production!G81</f>
        <v>0.74</v>
      </c>
      <c r="G81" s="6">
        <f>Raw_Production!N81</f>
        <v>0.75</v>
      </c>
      <c r="H81" s="6">
        <f t="shared" si="1"/>
        <v>1.0000000000000009E-2</v>
      </c>
      <c r="I81" s="3">
        <f>Raw_Production!I81</f>
        <v>238</v>
      </c>
      <c r="J81" s="3">
        <f>Raw_Production!J81</f>
        <v>124</v>
      </c>
      <c r="K81" s="3">
        <f>Raw_Production!L81</f>
        <v>31</v>
      </c>
      <c r="L81" s="3">
        <f>Raw_Production!M81</f>
        <v>4</v>
      </c>
      <c r="M81" s="3">
        <f>Raw_Production!F81</f>
        <v>1</v>
      </c>
      <c r="N81" s="3">
        <f>Raw_Production!K81</f>
        <v>2442</v>
      </c>
      <c r="O81" s="3">
        <f>Raw_Production!H81</f>
        <v>17.399999999999999</v>
      </c>
      <c r="P81" s="3">
        <f>Raw_Production!E81</f>
        <v>29</v>
      </c>
    </row>
    <row r="82" spans="1:16" x14ac:dyDescent="0.3">
      <c r="A82" s="4">
        <f>Raw_Production!A82</f>
        <v>46040</v>
      </c>
      <c r="B82" s="3" t="str">
        <f>Raw_Production!C82</f>
        <v>Sewing</v>
      </c>
      <c r="C82" s="3" t="str">
        <f>Raw_Production!D82</f>
        <v>T02</v>
      </c>
      <c r="D82" s="3" t="str">
        <f>Raw_Production!P82</f>
        <v>ST-110</v>
      </c>
      <c r="E82" s="3" t="str">
        <f>Raw_Production!O82</f>
        <v>Jacket</v>
      </c>
      <c r="F82" s="6">
        <f>Raw_Production!G82</f>
        <v>0.8</v>
      </c>
      <c r="G82" s="6">
        <f>Raw_Production!N82</f>
        <v>0.65</v>
      </c>
      <c r="H82" s="6">
        <f t="shared" si="1"/>
        <v>-0.15000000000000002</v>
      </c>
      <c r="I82" s="3">
        <f>Raw_Production!I82</f>
        <v>180</v>
      </c>
      <c r="J82" s="3">
        <f>Raw_Production!J82</f>
        <v>48</v>
      </c>
      <c r="K82" s="3">
        <f>Raw_Production!L82</f>
        <v>86</v>
      </c>
      <c r="L82" s="3">
        <f>Raw_Production!M82</f>
        <v>4</v>
      </c>
      <c r="M82" s="3">
        <f>Raw_Production!F82</f>
        <v>2</v>
      </c>
      <c r="N82" s="3">
        <f>Raw_Production!K82</f>
        <v>812</v>
      </c>
      <c r="O82" s="3">
        <f>Raw_Production!H82</f>
        <v>11.8</v>
      </c>
      <c r="P82" s="3">
        <f>Raw_Production!E82</f>
        <v>21</v>
      </c>
    </row>
    <row r="83" spans="1:16" x14ac:dyDescent="0.3">
      <c r="A83" s="4">
        <f>Raw_Production!A83</f>
        <v>46040</v>
      </c>
      <c r="B83" s="3" t="str">
        <f>Raw_Production!C83</f>
        <v>Sewing</v>
      </c>
      <c r="C83" s="3" t="str">
        <f>Raw_Production!D83</f>
        <v>T03</v>
      </c>
      <c r="D83" s="3" t="str">
        <f>Raw_Production!P83</f>
        <v>ST-105</v>
      </c>
      <c r="E83" s="3" t="str">
        <f>Raw_Production!O83</f>
        <v>Jacket</v>
      </c>
      <c r="F83" s="6">
        <f>Raw_Production!G83</f>
        <v>0.9</v>
      </c>
      <c r="G83" s="6">
        <f>Raw_Production!N83</f>
        <v>0.77</v>
      </c>
      <c r="H83" s="6">
        <f t="shared" si="1"/>
        <v>-0.13</v>
      </c>
      <c r="I83" s="3">
        <f>Raw_Production!I83</f>
        <v>252</v>
      </c>
      <c r="J83" s="3">
        <f>Raw_Production!J83</f>
        <v>51</v>
      </c>
      <c r="K83" s="3">
        <f>Raw_Production!L83</f>
        <v>106</v>
      </c>
      <c r="L83" s="3">
        <f>Raw_Production!M83</f>
        <v>0</v>
      </c>
      <c r="M83" s="3">
        <f>Raw_Production!F83</f>
        <v>3</v>
      </c>
      <c r="N83" s="3">
        <f>Raw_Production!K83</f>
        <v>236</v>
      </c>
      <c r="O83" s="3">
        <f>Raw_Production!H83</f>
        <v>10.3</v>
      </c>
      <c r="P83" s="3">
        <f>Raw_Production!E83</f>
        <v>22</v>
      </c>
    </row>
    <row r="84" spans="1:16" x14ac:dyDescent="0.3">
      <c r="A84" s="4">
        <f>Raw_Production!A84</f>
        <v>46040</v>
      </c>
      <c r="B84" s="3" t="str">
        <f>Raw_Production!C84</f>
        <v>Finishing</v>
      </c>
      <c r="C84" s="3" t="str">
        <f>Raw_Production!D84</f>
        <v>T04</v>
      </c>
      <c r="D84" s="3" t="str">
        <f>Raw_Production!P84</f>
        <v>ST-101</v>
      </c>
      <c r="E84" s="3" t="str">
        <f>Raw_Production!O84</f>
        <v>T-Shirt</v>
      </c>
      <c r="F84" s="6">
        <f>Raw_Production!G84</f>
        <v>0.83</v>
      </c>
      <c r="G84" s="6">
        <f>Raw_Production!N84</f>
        <v>0.71</v>
      </c>
      <c r="H84" s="6">
        <f t="shared" si="1"/>
        <v>-0.12</v>
      </c>
      <c r="I84" s="3">
        <f>Raw_Production!I84</f>
        <v>247</v>
      </c>
      <c r="J84" s="3">
        <f>Raw_Production!J84</f>
        <v>10</v>
      </c>
      <c r="K84" s="3">
        <f>Raw_Production!L84</f>
        <v>92</v>
      </c>
      <c r="L84" s="3">
        <f>Raw_Production!M84</f>
        <v>0</v>
      </c>
      <c r="M84" s="3">
        <f>Raw_Production!F84</f>
        <v>3</v>
      </c>
      <c r="N84" s="3">
        <f>Raw_Production!K84</f>
        <v>4239</v>
      </c>
      <c r="O84" s="3">
        <f>Raw_Production!H84</f>
        <v>9.6</v>
      </c>
      <c r="P84" s="3">
        <f>Raw_Production!E84</f>
        <v>26</v>
      </c>
    </row>
    <row r="85" spans="1:16" x14ac:dyDescent="0.3">
      <c r="A85" s="4">
        <f>Raw_Production!A85</f>
        <v>46040</v>
      </c>
      <c r="B85" s="3" t="str">
        <f>Raw_Production!C85</f>
        <v>Finishing</v>
      </c>
      <c r="C85" s="3" t="str">
        <f>Raw_Production!D85</f>
        <v>T05</v>
      </c>
      <c r="D85" s="3" t="str">
        <f>Raw_Production!P85</f>
        <v>ST-108</v>
      </c>
      <c r="E85" s="3" t="str">
        <f>Raw_Production!O85</f>
        <v>Hoodie</v>
      </c>
      <c r="F85" s="6">
        <f>Raw_Production!G85</f>
        <v>0.73</v>
      </c>
      <c r="G85" s="6">
        <f>Raw_Production!N85</f>
        <v>0.7</v>
      </c>
      <c r="H85" s="6">
        <f t="shared" si="1"/>
        <v>-3.0000000000000027E-2</v>
      </c>
      <c r="I85" s="3">
        <f>Raw_Production!I85</f>
        <v>136</v>
      </c>
      <c r="J85" s="3">
        <f>Raw_Production!J85</f>
        <v>82</v>
      </c>
      <c r="K85" s="3">
        <f>Raw_Production!L85</f>
        <v>55</v>
      </c>
      <c r="L85" s="3">
        <f>Raw_Production!M85</f>
        <v>2</v>
      </c>
      <c r="M85" s="3">
        <f>Raw_Production!F85</f>
        <v>0</v>
      </c>
      <c r="N85" s="3">
        <f>Raw_Production!K85</f>
        <v>1318</v>
      </c>
      <c r="O85" s="3">
        <f>Raw_Production!H85</f>
        <v>16.899999999999999</v>
      </c>
      <c r="P85" s="3">
        <f>Raw_Production!E85</f>
        <v>28</v>
      </c>
    </row>
    <row r="86" spans="1:16" x14ac:dyDescent="0.3">
      <c r="A86" s="4">
        <f>Raw_Production!A86</f>
        <v>46041</v>
      </c>
      <c r="B86" s="3" t="str">
        <f>Raw_Production!C86</f>
        <v>Cutting</v>
      </c>
      <c r="C86" s="3" t="str">
        <f>Raw_Production!D86</f>
        <v>T01</v>
      </c>
      <c r="D86" s="3" t="str">
        <f>Raw_Production!P86</f>
        <v>ST-110</v>
      </c>
      <c r="E86" s="3" t="str">
        <f>Raw_Production!O86</f>
        <v>Jacket</v>
      </c>
      <c r="F86" s="6">
        <f>Raw_Production!G86</f>
        <v>0.87</v>
      </c>
      <c r="G86" s="6">
        <f>Raw_Production!N86</f>
        <v>0.67</v>
      </c>
      <c r="H86" s="6">
        <f t="shared" si="1"/>
        <v>-0.19999999999999996</v>
      </c>
      <c r="I86" s="3">
        <f>Raw_Production!I86</f>
        <v>49</v>
      </c>
      <c r="J86" s="3">
        <f>Raw_Production!J86</f>
        <v>28</v>
      </c>
      <c r="K86" s="3">
        <f>Raw_Production!L86</f>
        <v>67</v>
      </c>
      <c r="L86" s="3">
        <f>Raw_Production!M86</f>
        <v>5</v>
      </c>
      <c r="M86" s="3">
        <f>Raw_Production!F86</f>
        <v>2</v>
      </c>
      <c r="N86" s="3">
        <f>Raw_Production!K86</f>
        <v>3349</v>
      </c>
      <c r="O86" s="3">
        <f>Raw_Production!H86</f>
        <v>16.899999999999999</v>
      </c>
      <c r="P86" s="3">
        <f>Raw_Production!E86</f>
        <v>25</v>
      </c>
    </row>
    <row r="87" spans="1:16" x14ac:dyDescent="0.3">
      <c r="A87" s="4">
        <f>Raw_Production!A87</f>
        <v>46041</v>
      </c>
      <c r="B87" s="3" t="str">
        <f>Raw_Production!C87</f>
        <v>Cutting</v>
      </c>
      <c r="C87" s="3" t="str">
        <f>Raw_Production!D87</f>
        <v>T06</v>
      </c>
      <c r="D87" s="3" t="str">
        <f>Raw_Production!P87</f>
        <v>ST-104</v>
      </c>
      <c r="E87" s="3" t="str">
        <f>Raw_Production!O87</f>
        <v>Shirt</v>
      </c>
      <c r="F87" s="6">
        <f>Raw_Production!G87</f>
        <v>0.89</v>
      </c>
      <c r="G87" s="6">
        <f>Raw_Production!N87</f>
        <v>0.85</v>
      </c>
      <c r="H87" s="6">
        <f t="shared" si="1"/>
        <v>-4.0000000000000036E-2</v>
      </c>
      <c r="I87" s="3">
        <f>Raw_Production!I87</f>
        <v>31</v>
      </c>
      <c r="J87" s="3">
        <f>Raw_Production!J87</f>
        <v>31</v>
      </c>
      <c r="K87" s="3">
        <f>Raw_Production!L87</f>
        <v>60</v>
      </c>
      <c r="L87" s="3">
        <f>Raw_Production!M87</f>
        <v>5</v>
      </c>
      <c r="M87" s="3">
        <f>Raw_Production!F87</f>
        <v>0</v>
      </c>
      <c r="N87" s="3">
        <f>Raw_Production!K87</f>
        <v>4005</v>
      </c>
      <c r="O87" s="3">
        <f>Raw_Production!H87</f>
        <v>9.9</v>
      </c>
      <c r="P87" s="3">
        <f>Raw_Production!E87</f>
        <v>23</v>
      </c>
    </row>
    <row r="88" spans="1:16" x14ac:dyDescent="0.3">
      <c r="A88" s="4">
        <f>Raw_Production!A88</f>
        <v>46041</v>
      </c>
      <c r="B88" s="3" t="str">
        <f>Raw_Production!C88</f>
        <v>Sewing</v>
      </c>
      <c r="C88" s="3" t="str">
        <f>Raw_Production!D88</f>
        <v>T02</v>
      </c>
      <c r="D88" s="3" t="str">
        <f>Raw_Production!P88</f>
        <v>ST-104</v>
      </c>
      <c r="E88" s="3" t="str">
        <f>Raw_Production!O88</f>
        <v>Shirt</v>
      </c>
      <c r="F88" s="6">
        <f>Raw_Production!G88</f>
        <v>0.89</v>
      </c>
      <c r="G88" s="6">
        <f>Raw_Production!N88</f>
        <v>0.86</v>
      </c>
      <c r="H88" s="6">
        <f t="shared" si="1"/>
        <v>-3.0000000000000027E-2</v>
      </c>
      <c r="I88" s="3">
        <f>Raw_Production!I88</f>
        <v>424</v>
      </c>
      <c r="J88" s="3">
        <f>Raw_Production!J88</f>
        <v>21</v>
      </c>
      <c r="K88" s="3">
        <f>Raw_Production!L88</f>
        <v>4</v>
      </c>
      <c r="L88" s="3">
        <f>Raw_Production!M88</f>
        <v>0</v>
      </c>
      <c r="M88" s="3">
        <f>Raw_Production!F88</f>
        <v>1</v>
      </c>
      <c r="N88" s="3">
        <f>Raw_Production!K88</f>
        <v>3744</v>
      </c>
      <c r="O88" s="3">
        <f>Raw_Production!H88</f>
        <v>14.5</v>
      </c>
      <c r="P88" s="3">
        <f>Raw_Production!E88</f>
        <v>23</v>
      </c>
    </row>
    <row r="89" spans="1:16" x14ac:dyDescent="0.3">
      <c r="A89" s="4">
        <f>Raw_Production!A89</f>
        <v>46041</v>
      </c>
      <c r="B89" s="3" t="str">
        <f>Raw_Production!C89</f>
        <v>Sewing</v>
      </c>
      <c r="C89" s="3" t="str">
        <f>Raw_Production!D89</f>
        <v>T03</v>
      </c>
      <c r="D89" s="3" t="str">
        <f>Raw_Production!P89</f>
        <v>ST-101</v>
      </c>
      <c r="E89" s="3" t="str">
        <f>Raw_Production!O89</f>
        <v>T-Shirt</v>
      </c>
      <c r="F89" s="6">
        <f>Raw_Production!G89</f>
        <v>0.82</v>
      </c>
      <c r="G89" s="6">
        <f>Raw_Production!N89</f>
        <v>0.66</v>
      </c>
      <c r="H89" s="6">
        <f t="shared" si="1"/>
        <v>-0.15999999999999992</v>
      </c>
      <c r="I89" s="3">
        <f>Raw_Production!I89</f>
        <v>135</v>
      </c>
      <c r="J89" s="3">
        <f>Raw_Production!J89</f>
        <v>84</v>
      </c>
      <c r="K89" s="3">
        <f>Raw_Production!L89</f>
        <v>34</v>
      </c>
      <c r="L89" s="3">
        <f>Raw_Production!M89</f>
        <v>4</v>
      </c>
      <c r="M89" s="3">
        <f>Raw_Production!F89</f>
        <v>0</v>
      </c>
      <c r="N89" s="3">
        <f>Raw_Production!K89</f>
        <v>2049</v>
      </c>
      <c r="O89" s="3">
        <f>Raw_Production!H89</f>
        <v>12.8</v>
      </c>
      <c r="P89" s="3">
        <f>Raw_Production!E89</f>
        <v>27</v>
      </c>
    </row>
    <row r="90" spans="1:16" x14ac:dyDescent="0.3">
      <c r="A90" s="4">
        <f>Raw_Production!A90</f>
        <v>46041</v>
      </c>
      <c r="B90" s="3" t="str">
        <f>Raw_Production!C90</f>
        <v>Finishing</v>
      </c>
      <c r="C90" s="3" t="str">
        <f>Raw_Production!D90</f>
        <v>T04</v>
      </c>
      <c r="D90" s="3" t="str">
        <f>Raw_Production!P90</f>
        <v>ST-103</v>
      </c>
      <c r="E90" s="3" t="str">
        <f>Raw_Production!O90</f>
        <v>Hoodie</v>
      </c>
      <c r="F90" s="6">
        <f>Raw_Production!G90</f>
        <v>0.76</v>
      </c>
      <c r="G90" s="6">
        <f>Raw_Production!N90</f>
        <v>0.72</v>
      </c>
      <c r="H90" s="6">
        <f t="shared" si="1"/>
        <v>-4.0000000000000036E-2</v>
      </c>
      <c r="I90" s="3">
        <f>Raw_Production!I90</f>
        <v>58</v>
      </c>
      <c r="J90" s="3">
        <f>Raw_Production!J90</f>
        <v>70</v>
      </c>
      <c r="K90" s="3">
        <f>Raw_Production!L90</f>
        <v>53</v>
      </c>
      <c r="L90" s="3">
        <f>Raw_Production!M90</f>
        <v>7</v>
      </c>
      <c r="M90" s="3">
        <f>Raw_Production!F90</f>
        <v>0</v>
      </c>
      <c r="N90" s="3">
        <f>Raw_Production!K90</f>
        <v>2222</v>
      </c>
      <c r="O90" s="3">
        <f>Raw_Production!H90</f>
        <v>7.7</v>
      </c>
      <c r="P90" s="3">
        <f>Raw_Production!E90</f>
        <v>38</v>
      </c>
    </row>
    <row r="91" spans="1:16" x14ac:dyDescent="0.3">
      <c r="A91" s="4">
        <f>Raw_Production!A91</f>
        <v>46041</v>
      </c>
      <c r="B91" s="3" t="str">
        <f>Raw_Production!C91</f>
        <v>Finishing</v>
      </c>
      <c r="C91" s="3" t="str">
        <f>Raw_Production!D91</f>
        <v>T05</v>
      </c>
      <c r="D91" s="3" t="str">
        <f>Raw_Production!P91</f>
        <v>ST-104</v>
      </c>
      <c r="E91" s="3" t="str">
        <f>Raw_Production!O91</f>
        <v>Shirt</v>
      </c>
      <c r="F91" s="6">
        <f>Raw_Production!G91</f>
        <v>0.75</v>
      </c>
      <c r="G91" s="6">
        <f>Raw_Production!N91</f>
        <v>0.71</v>
      </c>
      <c r="H91" s="6">
        <f t="shared" si="1"/>
        <v>-4.0000000000000036E-2</v>
      </c>
      <c r="I91" s="3">
        <f>Raw_Production!I91</f>
        <v>398</v>
      </c>
      <c r="J91" s="3">
        <f>Raw_Production!J91</f>
        <v>22</v>
      </c>
      <c r="K91" s="3">
        <f>Raw_Production!L91</f>
        <v>34</v>
      </c>
      <c r="L91" s="3">
        <f>Raw_Production!M91</f>
        <v>5</v>
      </c>
      <c r="M91" s="3">
        <f>Raw_Production!F91</f>
        <v>0</v>
      </c>
      <c r="N91" s="3">
        <f>Raw_Production!K91</f>
        <v>468</v>
      </c>
      <c r="O91" s="3">
        <f>Raw_Production!H91</f>
        <v>13.8</v>
      </c>
      <c r="P91" s="3">
        <f>Raw_Production!E91</f>
        <v>36</v>
      </c>
    </row>
    <row r="92" spans="1:16" x14ac:dyDescent="0.3">
      <c r="A92" s="4">
        <f>Raw_Production!A92</f>
        <v>46042</v>
      </c>
      <c r="B92" s="3" t="str">
        <f>Raw_Production!C92</f>
        <v>Cutting</v>
      </c>
      <c r="C92" s="3" t="str">
        <f>Raw_Production!D92</f>
        <v>T01</v>
      </c>
      <c r="D92" s="3" t="str">
        <f>Raw_Production!P92</f>
        <v>ST-108</v>
      </c>
      <c r="E92" s="3" t="str">
        <f>Raw_Production!O92</f>
        <v>Hoodie</v>
      </c>
      <c r="F92" s="6">
        <f>Raw_Production!G92</f>
        <v>0.74</v>
      </c>
      <c r="G92" s="6">
        <f>Raw_Production!N92</f>
        <v>0.61</v>
      </c>
      <c r="H92" s="6">
        <f t="shared" si="1"/>
        <v>-0.13</v>
      </c>
      <c r="I92" s="3">
        <f>Raw_Production!I92</f>
        <v>424</v>
      </c>
      <c r="J92" s="3">
        <f>Raw_Production!J92</f>
        <v>58</v>
      </c>
      <c r="K92" s="3">
        <f>Raw_Production!L92</f>
        <v>12</v>
      </c>
      <c r="L92" s="3">
        <f>Raw_Production!M92</f>
        <v>3</v>
      </c>
      <c r="M92" s="3">
        <f>Raw_Production!F92</f>
        <v>0</v>
      </c>
      <c r="N92" s="3">
        <f>Raw_Production!K92</f>
        <v>3214</v>
      </c>
      <c r="O92" s="3">
        <f>Raw_Production!H92</f>
        <v>14.4</v>
      </c>
      <c r="P92" s="3">
        <f>Raw_Production!E92</f>
        <v>22</v>
      </c>
    </row>
    <row r="93" spans="1:16" x14ac:dyDescent="0.3">
      <c r="A93" s="4">
        <f>Raw_Production!A93</f>
        <v>46042</v>
      </c>
      <c r="B93" s="3" t="str">
        <f>Raw_Production!C93</f>
        <v>Cutting</v>
      </c>
      <c r="C93" s="3" t="str">
        <f>Raw_Production!D93</f>
        <v>T06</v>
      </c>
      <c r="D93" s="3" t="str">
        <f>Raw_Production!P93</f>
        <v>ST-106</v>
      </c>
      <c r="E93" s="3" t="str">
        <f>Raw_Production!O93</f>
        <v>T-Shirt</v>
      </c>
      <c r="F93" s="6">
        <f>Raw_Production!G93</f>
        <v>0.86</v>
      </c>
      <c r="G93" s="6">
        <f>Raw_Production!N93</f>
        <v>0.71</v>
      </c>
      <c r="H93" s="6">
        <f t="shared" si="1"/>
        <v>-0.15000000000000002</v>
      </c>
      <c r="I93" s="3">
        <f>Raw_Production!I93</f>
        <v>317</v>
      </c>
      <c r="J93" s="3">
        <f>Raw_Production!J93</f>
        <v>145</v>
      </c>
      <c r="K93" s="3">
        <f>Raw_Production!L93</f>
        <v>6</v>
      </c>
      <c r="L93" s="3">
        <f>Raw_Production!M93</f>
        <v>2</v>
      </c>
      <c r="M93" s="3">
        <f>Raw_Production!F93</f>
        <v>1</v>
      </c>
      <c r="N93" s="3">
        <f>Raw_Production!K93</f>
        <v>2113</v>
      </c>
      <c r="O93" s="3">
        <f>Raw_Production!H93</f>
        <v>7.5</v>
      </c>
      <c r="P93" s="3">
        <f>Raw_Production!E93</f>
        <v>25</v>
      </c>
    </row>
    <row r="94" spans="1:16" x14ac:dyDescent="0.3">
      <c r="A94" s="4">
        <f>Raw_Production!A94</f>
        <v>46042</v>
      </c>
      <c r="B94" s="3" t="str">
        <f>Raw_Production!C94</f>
        <v>Sewing</v>
      </c>
      <c r="C94" s="3" t="str">
        <f>Raw_Production!D94</f>
        <v>T02</v>
      </c>
      <c r="D94" s="3" t="str">
        <f>Raw_Production!P94</f>
        <v>ST-105</v>
      </c>
      <c r="E94" s="3" t="str">
        <f>Raw_Production!O94</f>
        <v>Jacket</v>
      </c>
      <c r="F94" s="6">
        <f>Raw_Production!G94</f>
        <v>0.81</v>
      </c>
      <c r="G94" s="6">
        <f>Raw_Production!N94</f>
        <v>0.76</v>
      </c>
      <c r="H94" s="6">
        <f t="shared" si="1"/>
        <v>-5.0000000000000044E-2</v>
      </c>
      <c r="I94" s="3">
        <f>Raw_Production!I94</f>
        <v>190</v>
      </c>
      <c r="J94" s="3">
        <f>Raw_Production!J94</f>
        <v>132</v>
      </c>
      <c r="K94" s="3">
        <f>Raw_Production!L94</f>
        <v>43</v>
      </c>
      <c r="L94" s="3">
        <f>Raw_Production!M94</f>
        <v>6</v>
      </c>
      <c r="M94" s="3">
        <f>Raw_Production!F94</f>
        <v>0</v>
      </c>
      <c r="N94" s="3">
        <f>Raw_Production!K94</f>
        <v>3861</v>
      </c>
      <c r="O94" s="3">
        <f>Raw_Production!H94</f>
        <v>9.5</v>
      </c>
      <c r="P94" s="3">
        <f>Raw_Production!E94</f>
        <v>34</v>
      </c>
    </row>
    <row r="95" spans="1:16" x14ac:dyDescent="0.3">
      <c r="A95" s="4">
        <f>Raw_Production!A95</f>
        <v>46042</v>
      </c>
      <c r="B95" s="3" t="str">
        <f>Raw_Production!C95</f>
        <v>Sewing</v>
      </c>
      <c r="C95" s="3" t="str">
        <f>Raw_Production!D95</f>
        <v>T03</v>
      </c>
      <c r="D95" s="3" t="str">
        <f>Raw_Production!P95</f>
        <v>ST-105</v>
      </c>
      <c r="E95" s="3" t="str">
        <f>Raw_Production!O95</f>
        <v>Jacket</v>
      </c>
      <c r="F95" s="6">
        <f>Raw_Production!G95</f>
        <v>0.81</v>
      </c>
      <c r="G95" s="6">
        <f>Raw_Production!N95</f>
        <v>0.86</v>
      </c>
      <c r="H95" s="6">
        <f t="shared" si="1"/>
        <v>4.9999999999999933E-2</v>
      </c>
      <c r="I95" s="3">
        <f>Raw_Production!I95</f>
        <v>213</v>
      </c>
      <c r="J95" s="3">
        <f>Raw_Production!J95</f>
        <v>116</v>
      </c>
      <c r="K95" s="3">
        <f>Raw_Production!L95</f>
        <v>2</v>
      </c>
      <c r="L95" s="3">
        <f>Raw_Production!M95</f>
        <v>2</v>
      </c>
      <c r="M95" s="3">
        <f>Raw_Production!F95</f>
        <v>0</v>
      </c>
      <c r="N95" s="3">
        <f>Raw_Production!K95</f>
        <v>4240</v>
      </c>
      <c r="O95" s="3">
        <f>Raw_Production!H95</f>
        <v>13.3</v>
      </c>
      <c r="P95" s="3">
        <f>Raw_Production!E95</f>
        <v>33</v>
      </c>
    </row>
    <row r="96" spans="1:16" x14ac:dyDescent="0.3">
      <c r="A96" s="4">
        <f>Raw_Production!A96</f>
        <v>46042</v>
      </c>
      <c r="B96" s="3" t="str">
        <f>Raw_Production!C96</f>
        <v>Finishing</v>
      </c>
      <c r="C96" s="3" t="str">
        <f>Raw_Production!D96</f>
        <v>T04</v>
      </c>
      <c r="D96" s="3" t="str">
        <f>Raw_Production!P96</f>
        <v>ST-110</v>
      </c>
      <c r="E96" s="3" t="str">
        <f>Raw_Production!O96</f>
        <v>Jacket</v>
      </c>
      <c r="F96" s="6">
        <f>Raw_Production!G96</f>
        <v>0.84</v>
      </c>
      <c r="G96" s="6">
        <f>Raw_Production!N96</f>
        <v>0.74</v>
      </c>
      <c r="H96" s="6">
        <f t="shared" si="1"/>
        <v>-9.9999999999999978E-2</v>
      </c>
      <c r="I96" s="3">
        <f>Raw_Production!I96</f>
        <v>303</v>
      </c>
      <c r="J96" s="3">
        <f>Raw_Production!J96</f>
        <v>8</v>
      </c>
      <c r="K96" s="3">
        <f>Raw_Production!L96</f>
        <v>16</v>
      </c>
      <c r="L96" s="3">
        <f>Raw_Production!M96</f>
        <v>4</v>
      </c>
      <c r="M96" s="3">
        <f>Raw_Production!F96</f>
        <v>1</v>
      </c>
      <c r="N96" s="3">
        <f>Raw_Production!K96</f>
        <v>1254</v>
      </c>
      <c r="O96" s="3">
        <f>Raw_Production!H96</f>
        <v>10.6</v>
      </c>
      <c r="P96" s="3">
        <f>Raw_Production!E96</f>
        <v>32</v>
      </c>
    </row>
    <row r="97" spans="1:16" x14ac:dyDescent="0.3">
      <c r="A97" s="4">
        <f>Raw_Production!A97</f>
        <v>46042</v>
      </c>
      <c r="B97" s="3" t="str">
        <f>Raw_Production!C97</f>
        <v>Finishing</v>
      </c>
      <c r="C97" s="3" t="str">
        <f>Raw_Production!D97</f>
        <v>T05</v>
      </c>
      <c r="D97" s="3" t="str">
        <f>Raw_Production!P97</f>
        <v>ST-110</v>
      </c>
      <c r="E97" s="3" t="str">
        <f>Raw_Production!O97</f>
        <v>Jacket</v>
      </c>
      <c r="F97" s="6">
        <f>Raw_Production!G97</f>
        <v>0.81</v>
      </c>
      <c r="G97" s="6">
        <f>Raw_Production!N97</f>
        <v>0.74</v>
      </c>
      <c r="H97" s="6">
        <f t="shared" si="1"/>
        <v>-7.0000000000000062E-2</v>
      </c>
      <c r="I97" s="3">
        <f>Raw_Production!I97</f>
        <v>386</v>
      </c>
      <c r="J97" s="3">
        <f>Raw_Production!J97</f>
        <v>143</v>
      </c>
      <c r="K97" s="3">
        <f>Raw_Production!L97</f>
        <v>11</v>
      </c>
      <c r="L97" s="3">
        <f>Raw_Production!M97</f>
        <v>3</v>
      </c>
      <c r="M97" s="3">
        <f>Raw_Production!F97</f>
        <v>3</v>
      </c>
      <c r="N97" s="3">
        <f>Raw_Production!K97</f>
        <v>4378</v>
      </c>
      <c r="O97" s="3">
        <f>Raw_Production!H97</f>
        <v>16.5</v>
      </c>
      <c r="P97" s="3">
        <f>Raw_Production!E97</f>
        <v>30</v>
      </c>
    </row>
    <row r="98" spans="1:16" x14ac:dyDescent="0.3">
      <c r="A98" s="4">
        <f>Raw_Production!A98</f>
        <v>46043</v>
      </c>
      <c r="B98" s="3" t="str">
        <f>Raw_Production!C98</f>
        <v>Cutting</v>
      </c>
      <c r="C98" s="3" t="str">
        <f>Raw_Production!D98</f>
        <v>T01</v>
      </c>
      <c r="D98" s="3" t="str">
        <f>Raw_Production!P98</f>
        <v>ST-105</v>
      </c>
      <c r="E98" s="3" t="str">
        <f>Raw_Production!O98</f>
        <v>Jacket</v>
      </c>
      <c r="F98" s="6">
        <f>Raw_Production!G98</f>
        <v>0.72</v>
      </c>
      <c r="G98" s="6">
        <f>Raw_Production!N98</f>
        <v>0.56000000000000005</v>
      </c>
      <c r="H98" s="6">
        <f t="shared" si="1"/>
        <v>-0.15999999999999992</v>
      </c>
      <c r="I98" s="3">
        <f>Raw_Production!I98</f>
        <v>286</v>
      </c>
      <c r="J98" s="3">
        <f>Raw_Production!J98</f>
        <v>56</v>
      </c>
      <c r="K98" s="3">
        <f>Raw_Production!L98</f>
        <v>108</v>
      </c>
      <c r="L98" s="3">
        <f>Raw_Production!M98</f>
        <v>1</v>
      </c>
      <c r="M98" s="3">
        <f>Raw_Production!F98</f>
        <v>3</v>
      </c>
      <c r="N98" s="3">
        <f>Raw_Production!K98</f>
        <v>1923</v>
      </c>
      <c r="O98" s="3">
        <f>Raw_Production!H98</f>
        <v>12.1</v>
      </c>
      <c r="P98" s="3">
        <f>Raw_Production!E98</f>
        <v>26</v>
      </c>
    </row>
    <row r="99" spans="1:16" x14ac:dyDescent="0.3">
      <c r="A99" s="4">
        <f>Raw_Production!A99</f>
        <v>46043</v>
      </c>
      <c r="B99" s="3" t="str">
        <f>Raw_Production!C99</f>
        <v>Cutting</v>
      </c>
      <c r="C99" s="3" t="str">
        <f>Raw_Production!D99</f>
        <v>T06</v>
      </c>
      <c r="D99" s="3" t="str">
        <f>Raw_Production!P99</f>
        <v>ST-107</v>
      </c>
      <c r="E99" s="3" t="str">
        <f>Raw_Production!O99</f>
        <v>Polo</v>
      </c>
      <c r="F99" s="6">
        <f>Raw_Production!G99</f>
        <v>0.79</v>
      </c>
      <c r="G99" s="6">
        <f>Raw_Production!N99</f>
        <v>0.79</v>
      </c>
      <c r="H99" s="6">
        <f t="shared" si="1"/>
        <v>0</v>
      </c>
      <c r="I99" s="3">
        <f>Raw_Production!I99</f>
        <v>156</v>
      </c>
      <c r="J99" s="3">
        <f>Raw_Production!J99</f>
        <v>26</v>
      </c>
      <c r="K99" s="3">
        <f>Raw_Production!L99</f>
        <v>66</v>
      </c>
      <c r="L99" s="3">
        <f>Raw_Production!M99</f>
        <v>5</v>
      </c>
      <c r="M99" s="3">
        <f>Raw_Production!F99</f>
        <v>4</v>
      </c>
      <c r="N99" s="3">
        <f>Raw_Production!K99</f>
        <v>3987</v>
      </c>
      <c r="O99" s="3">
        <f>Raw_Production!H99</f>
        <v>17.600000000000001</v>
      </c>
      <c r="P99" s="3">
        <f>Raw_Production!E99</f>
        <v>34</v>
      </c>
    </row>
    <row r="100" spans="1:16" x14ac:dyDescent="0.3">
      <c r="A100" s="4">
        <f>Raw_Production!A100</f>
        <v>46043</v>
      </c>
      <c r="B100" s="3" t="str">
        <f>Raw_Production!C100</f>
        <v>Sewing</v>
      </c>
      <c r="C100" s="3" t="str">
        <f>Raw_Production!D100</f>
        <v>T02</v>
      </c>
      <c r="D100" s="3" t="str">
        <f>Raw_Production!P100</f>
        <v>ST-106</v>
      </c>
      <c r="E100" s="3" t="str">
        <f>Raw_Production!O100</f>
        <v>T-Shirt</v>
      </c>
      <c r="F100" s="6">
        <f>Raw_Production!G100</f>
        <v>0.8</v>
      </c>
      <c r="G100" s="6">
        <f>Raw_Production!N100</f>
        <v>0.67</v>
      </c>
      <c r="H100" s="6">
        <f t="shared" si="1"/>
        <v>-0.13</v>
      </c>
      <c r="I100" s="3">
        <f>Raw_Production!I100</f>
        <v>379</v>
      </c>
      <c r="J100" s="3">
        <f>Raw_Production!J100</f>
        <v>88</v>
      </c>
      <c r="K100" s="3">
        <f>Raw_Production!L100</f>
        <v>65</v>
      </c>
      <c r="L100" s="3">
        <f>Raw_Production!M100</f>
        <v>3</v>
      </c>
      <c r="M100" s="3">
        <f>Raw_Production!F100</f>
        <v>0</v>
      </c>
      <c r="N100" s="3">
        <f>Raw_Production!K100</f>
        <v>3414</v>
      </c>
      <c r="O100" s="3">
        <f>Raw_Production!H100</f>
        <v>18</v>
      </c>
      <c r="P100" s="3">
        <f>Raw_Production!E100</f>
        <v>26</v>
      </c>
    </row>
    <row r="101" spans="1:16" x14ac:dyDescent="0.3">
      <c r="A101" s="4">
        <f>Raw_Production!A101</f>
        <v>46043</v>
      </c>
      <c r="B101" s="3" t="str">
        <f>Raw_Production!C101</f>
        <v>Sewing</v>
      </c>
      <c r="C101" s="3" t="str">
        <f>Raw_Production!D101</f>
        <v>T03</v>
      </c>
      <c r="D101" s="3" t="str">
        <f>Raw_Production!P101</f>
        <v>ST-108</v>
      </c>
      <c r="E101" s="3" t="str">
        <f>Raw_Production!O101</f>
        <v>Hoodie</v>
      </c>
      <c r="F101" s="6">
        <f>Raw_Production!G101</f>
        <v>0.79</v>
      </c>
      <c r="G101" s="6">
        <f>Raw_Production!N101</f>
        <v>0.73</v>
      </c>
      <c r="H101" s="6">
        <f t="shared" si="1"/>
        <v>-6.0000000000000053E-2</v>
      </c>
      <c r="I101" s="3">
        <f>Raw_Production!I101</f>
        <v>313</v>
      </c>
      <c r="J101" s="3">
        <f>Raw_Production!J101</f>
        <v>102</v>
      </c>
      <c r="K101" s="3">
        <f>Raw_Production!L101</f>
        <v>107</v>
      </c>
      <c r="L101" s="3">
        <f>Raw_Production!M101</f>
        <v>4</v>
      </c>
      <c r="M101" s="3">
        <f>Raw_Production!F101</f>
        <v>1</v>
      </c>
      <c r="N101" s="3">
        <f>Raw_Production!K101</f>
        <v>2886</v>
      </c>
      <c r="O101" s="3">
        <f>Raw_Production!H101</f>
        <v>11.1</v>
      </c>
      <c r="P101" s="3">
        <f>Raw_Production!E101</f>
        <v>37</v>
      </c>
    </row>
    <row r="102" spans="1:16" x14ac:dyDescent="0.3">
      <c r="A102" s="4">
        <f>Raw_Production!A102</f>
        <v>46043</v>
      </c>
      <c r="B102" s="3" t="str">
        <f>Raw_Production!C102</f>
        <v>Finishing</v>
      </c>
      <c r="C102" s="3" t="str">
        <f>Raw_Production!D102</f>
        <v>T04</v>
      </c>
      <c r="D102" s="3" t="str">
        <f>Raw_Production!P102</f>
        <v>ST-101</v>
      </c>
      <c r="E102" s="3" t="str">
        <f>Raw_Production!O102</f>
        <v>T-Shirt</v>
      </c>
      <c r="F102" s="6">
        <f>Raw_Production!G102</f>
        <v>0.8</v>
      </c>
      <c r="G102" s="6">
        <f>Raw_Production!N102</f>
        <v>0.57999999999999996</v>
      </c>
      <c r="H102" s="6">
        <f t="shared" si="1"/>
        <v>-0.22000000000000008</v>
      </c>
      <c r="I102" s="3">
        <f>Raw_Production!I102</f>
        <v>212</v>
      </c>
      <c r="J102" s="3">
        <f>Raw_Production!J102</f>
        <v>102</v>
      </c>
      <c r="K102" s="3">
        <f>Raw_Production!L102</f>
        <v>81</v>
      </c>
      <c r="L102" s="3">
        <f>Raw_Production!M102</f>
        <v>0</v>
      </c>
      <c r="M102" s="3">
        <f>Raw_Production!F102</f>
        <v>3</v>
      </c>
      <c r="N102" s="3">
        <f>Raw_Production!K102</f>
        <v>3204</v>
      </c>
      <c r="O102" s="3">
        <f>Raw_Production!H102</f>
        <v>7.7</v>
      </c>
      <c r="P102" s="3">
        <f>Raw_Production!E102</f>
        <v>30</v>
      </c>
    </row>
    <row r="103" spans="1:16" x14ac:dyDescent="0.3">
      <c r="A103" s="4">
        <f>Raw_Production!A103</f>
        <v>46043</v>
      </c>
      <c r="B103" s="3" t="str">
        <f>Raw_Production!C103</f>
        <v>Finishing</v>
      </c>
      <c r="C103" s="3" t="str">
        <f>Raw_Production!D103</f>
        <v>T05</v>
      </c>
      <c r="D103" s="3" t="str">
        <f>Raw_Production!P103</f>
        <v>ST-108</v>
      </c>
      <c r="E103" s="3" t="str">
        <f>Raw_Production!O103</f>
        <v>Hoodie</v>
      </c>
      <c r="F103" s="6">
        <f>Raw_Production!G103</f>
        <v>0.76</v>
      </c>
      <c r="G103" s="6">
        <f>Raw_Production!N103</f>
        <v>0.77</v>
      </c>
      <c r="H103" s="6">
        <f t="shared" si="1"/>
        <v>1.0000000000000009E-2</v>
      </c>
      <c r="I103" s="3">
        <f>Raw_Production!I103</f>
        <v>437</v>
      </c>
      <c r="J103" s="3">
        <f>Raw_Production!J103</f>
        <v>53</v>
      </c>
      <c r="K103" s="3">
        <f>Raw_Production!L103</f>
        <v>120</v>
      </c>
      <c r="L103" s="3">
        <f>Raw_Production!M103</f>
        <v>4</v>
      </c>
      <c r="M103" s="3">
        <f>Raw_Production!F103</f>
        <v>0</v>
      </c>
      <c r="N103" s="3">
        <f>Raw_Production!K103</f>
        <v>3402</v>
      </c>
      <c r="O103" s="3">
        <f>Raw_Production!H103</f>
        <v>18</v>
      </c>
      <c r="P103" s="3">
        <f>Raw_Production!E103</f>
        <v>21</v>
      </c>
    </row>
    <row r="104" spans="1:16" x14ac:dyDescent="0.3">
      <c r="A104" s="4">
        <f>Raw_Production!A104</f>
        <v>46044</v>
      </c>
      <c r="B104" s="3" t="str">
        <f>Raw_Production!C104</f>
        <v>Cutting</v>
      </c>
      <c r="C104" s="3" t="str">
        <f>Raw_Production!D104</f>
        <v>T01</v>
      </c>
      <c r="D104" s="3" t="str">
        <f>Raw_Production!P104</f>
        <v>ST-110</v>
      </c>
      <c r="E104" s="3" t="str">
        <f>Raw_Production!O104</f>
        <v>Jacket</v>
      </c>
      <c r="F104" s="6">
        <f>Raw_Production!G104</f>
        <v>0.73</v>
      </c>
      <c r="G104" s="6">
        <f>Raw_Production!N104</f>
        <v>0.56000000000000005</v>
      </c>
      <c r="H104" s="6">
        <f t="shared" si="1"/>
        <v>-0.16999999999999993</v>
      </c>
      <c r="I104" s="3">
        <f>Raw_Production!I104</f>
        <v>374</v>
      </c>
      <c r="J104" s="3">
        <f>Raw_Production!J104</f>
        <v>34</v>
      </c>
      <c r="K104" s="3">
        <f>Raw_Production!L104</f>
        <v>113</v>
      </c>
      <c r="L104" s="3">
        <f>Raw_Production!M104</f>
        <v>2</v>
      </c>
      <c r="M104" s="3">
        <f>Raw_Production!F104</f>
        <v>0</v>
      </c>
      <c r="N104" s="3">
        <f>Raw_Production!K104</f>
        <v>730</v>
      </c>
      <c r="O104" s="3">
        <f>Raw_Production!H104</f>
        <v>9.3000000000000007</v>
      </c>
      <c r="P104" s="3">
        <f>Raw_Production!E104</f>
        <v>27</v>
      </c>
    </row>
    <row r="105" spans="1:16" x14ac:dyDescent="0.3">
      <c r="A105" s="4">
        <f>Raw_Production!A105</f>
        <v>46044</v>
      </c>
      <c r="B105" s="3" t="str">
        <f>Raw_Production!C105</f>
        <v>Cutting</v>
      </c>
      <c r="C105" s="3" t="str">
        <f>Raw_Production!D105</f>
        <v>T06</v>
      </c>
      <c r="D105" s="3" t="str">
        <f>Raw_Production!P105</f>
        <v>ST-104</v>
      </c>
      <c r="E105" s="3" t="str">
        <f>Raw_Production!O105</f>
        <v>Shirt</v>
      </c>
      <c r="F105" s="6">
        <f>Raw_Production!G105</f>
        <v>0.84</v>
      </c>
      <c r="G105" s="6">
        <f>Raw_Production!N105</f>
        <v>0.75</v>
      </c>
      <c r="H105" s="6">
        <f t="shared" si="1"/>
        <v>-8.9999999999999969E-2</v>
      </c>
      <c r="I105" s="3">
        <f>Raw_Production!I105</f>
        <v>288</v>
      </c>
      <c r="J105" s="3">
        <f>Raw_Production!J105</f>
        <v>78</v>
      </c>
      <c r="K105" s="3">
        <f>Raw_Production!L105</f>
        <v>62</v>
      </c>
      <c r="L105" s="3">
        <f>Raw_Production!M105</f>
        <v>5</v>
      </c>
      <c r="M105" s="3">
        <f>Raw_Production!F105</f>
        <v>0</v>
      </c>
      <c r="N105" s="3">
        <f>Raw_Production!K105</f>
        <v>156</v>
      </c>
      <c r="O105" s="3">
        <f>Raw_Production!H105</f>
        <v>8.9</v>
      </c>
      <c r="P105" s="3">
        <f>Raw_Production!E105</f>
        <v>28</v>
      </c>
    </row>
    <row r="106" spans="1:16" x14ac:dyDescent="0.3">
      <c r="A106" s="4">
        <f>Raw_Production!A106</f>
        <v>46044</v>
      </c>
      <c r="B106" s="3" t="str">
        <f>Raw_Production!C106</f>
        <v>Sewing</v>
      </c>
      <c r="C106" s="3" t="str">
        <f>Raw_Production!D106</f>
        <v>T02</v>
      </c>
      <c r="D106" s="3" t="str">
        <f>Raw_Production!P106</f>
        <v>ST-108</v>
      </c>
      <c r="E106" s="3" t="str">
        <f>Raw_Production!O106</f>
        <v>Hoodie</v>
      </c>
      <c r="F106" s="6">
        <f>Raw_Production!G106</f>
        <v>0.79</v>
      </c>
      <c r="G106" s="6">
        <f>Raw_Production!N106</f>
        <v>0.77</v>
      </c>
      <c r="H106" s="6">
        <f t="shared" si="1"/>
        <v>-2.0000000000000018E-2</v>
      </c>
      <c r="I106" s="3">
        <f>Raw_Production!I106</f>
        <v>374</v>
      </c>
      <c r="J106" s="3">
        <f>Raw_Production!J106</f>
        <v>27</v>
      </c>
      <c r="K106" s="3">
        <f>Raw_Production!L106</f>
        <v>34</v>
      </c>
      <c r="L106" s="3">
        <f>Raw_Production!M106</f>
        <v>6</v>
      </c>
      <c r="M106" s="3">
        <f>Raw_Production!F106</f>
        <v>4</v>
      </c>
      <c r="N106" s="3">
        <f>Raw_Production!K106</f>
        <v>3705</v>
      </c>
      <c r="O106" s="3">
        <f>Raw_Production!H106</f>
        <v>13.7</v>
      </c>
      <c r="P106" s="3">
        <f>Raw_Production!E106</f>
        <v>27</v>
      </c>
    </row>
    <row r="107" spans="1:16" x14ac:dyDescent="0.3">
      <c r="A107" s="4">
        <f>Raw_Production!A107</f>
        <v>46044</v>
      </c>
      <c r="B107" s="3" t="str">
        <f>Raw_Production!C107</f>
        <v>Sewing</v>
      </c>
      <c r="C107" s="3" t="str">
        <f>Raw_Production!D107</f>
        <v>T03</v>
      </c>
      <c r="D107" s="3" t="str">
        <f>Raw_Production!P107</f>
        <v>ST-106</v>
      </c>
      <c r="E107" s="3" t="str">
        <f>Raw_Production!O107</f>
        <v>T-Shirt</v>
      </c>
      <c r="F107" s="6">
        <f>Raw_Production!G107</f>
        <v>0.81</v>
      </c>
      <c r="G107" s="6">
        <f>Raw_Production!N107</f>
        <v>0.77</v>
      </c>
      <c r="H107" s="6">
        <f t="shared" si="1"/>
        <v>-4.0000000000000036E-2</v>
      </c>
      <c r="I107" s="3">
        <f>Raw_Production!I107</f>
        <v>75</v>
      </c>
      <c r="J107" s="3">
        <f>Raw_Production!J107</f>
        <v>11</v>
      </c>
      <c r="K107" s="3">
        <f>Raw_Production!L107</f>
        <v>35</v>
      </c>
      <c r="L107" s="3">
        <f>Raw_Production!M107</f>
        <v>2</v>
      </c>
      <c r="M107" s="3">
        <f>Raw_Production!F107</f>
        <v>0</v>
      </c>
      <c r="N107" s="3">
        <f>Raw_Production!K107</f>
        <v>494</v>
      </c>
      <c r="O107" s="3">
        <f>Raw_Production!H107</f>
        <v>8.3000000000000007</v>
      </c>
      <c r="P107" s="3">
        <f>Raw_Production!E107</f>
        <v>23</v>
      </c>
    </row>
    <row r="108" spans="1:16" x14ac:dyDescent="0.3">
      <c r="A108" s="4">
        <f>Raw_Production!A108</f>
        <v>46044</v>
      </c>
      <c r="B108" s="3" t="str">
        <f>Raw_Production!C108</f>
        <v>Finishing</v>
      </c>
      <c r="C108" s="3" t="str">
        <f>Raw_Production!D108</f>
        <v>T04</v>
      </c>
      <c r="D108" s="3" t="str">
        <f>Raw_Production!P108</f>
        <v>ST-103</v>
      </c>
      <c r="E108" s="3" t="str">
        <f>Raw_Production!O108</f>
        <v>Hoodie</v>
      </c>
      <c r="F108" s="6">
        <f>Raw_Production!G108</f>
        <v>0.82</v>
      </c>
      <c r="G108" s="6">
        <f>Raw_Production!N108</f>
        <v>0.76</v>
      </c>
      <c r="H108" s="6">
        <f t="shared" si="1"/>
        <v>-5.9999999999999942E-2</v>
      </c>
      <c r="I108" s="3">
        <f>Raw_Production!I108</f>
        <v>154</v>
      </c>
      <c r="J108" s="3">
        <f>Raw_Production!J108</f>
        <v>55</v>
      </c>
      <c r="K108" s="3">
        <f>Raw_Production!L108</f>
        <v>62</v>
      </c>
      <c r="L108" s="3">
        <f>Raw_Production!M108</f>
        <v>3</v>
      </c>
      <c r="M108" s="3">
        <f>Raw_Production!F108</f>
        <v>1</v>
      </c>
      <c r="N108" s="3">
        <f>Raw_Production!K108</f>
        <v>611</v>
      </c>
      <c r="O108" s="3">
        <f>Raw_Production!H108</f>
        <v>9.1999999999999993</v>
      </c>
      <c r="P108" s="3">
        <f>Raw_Production!E108</f>
        <v>38</v>
      </c>
    </row>
    <row r="109" spans="1:16" x14ac:dyDescent="0.3">
      <c r="A109" s="4">
        <f>Raw_Production!A109</f>
        <v>46044</v>
      </c>
      <c r="B109" s="3" t="str">
        <f>Raw_Production!C109</f>
        <v>Finishing</v>
      </c>
      <c r="C109" s="3" t="str">
        <f>Raw_Production!D109</f>
        <v>T05</v>
      </c>
      <c r="D109" s="3" t="str">
        <f>Raw_Production!P109</f>
        <v>ST-107</v>
      </c>
      <c r="E109" s="3" t="str">
        <f>Raw_Production!O109</f>
        <v>Polo</v>
      </c>
      <c r="F109" s="6">
        <f>Raw_Production!G109</f>
        <v>0.78</v>
      </c>
      <c r="G109" s="6">
        <f>Raw_Production!N109</f>
        <v>0.67</v>
      </c>
      <c r="H109" s="6">
        <f t="shared" si="1"/>
        <v>-0.10999999999999999</v>
      </c>
      <c r="I109" s="3">
        <f>Raw_Production!I109</f>
        <v>389</v>
      </c>
      <c r="J109" s="3">
        <f>Raw_Production!J109</f>
        <v>14</v>
      </c>
      <c r="K109" s="3">
        <f>Raw_Production!L109</f>
        <v>81</v>
      </c>
      <c r="L109" s="3">
        <f>Raw_Production!M109</f>
        <v>2</v>
      </c>
      <c r="M109" s="3">
        <f>Raw_Production!F109</f>
        <v>1</v>
      </c>
      <c r="N109" s="3">
        <f>Raw_Production!K109</f>
        <v>2748</v>
      </c>
      <c r="O109" s="3">
        <f>Raw_Production!H109</f>
        <v>9.6999999999999993</v>
      </c>
      <c r="P109" s="3">
        <f>Raw_Production!E109</f>
        <v>21</v>
      </c>
    </row>
    <row r="110" spans="1:16" x14ac:dyDescent="0.3">
      <c r="A110" s="4">
        <f>Raw_Production!A110</f>
        <v>46045</v>
      </c>
      <c r="B110" s="3" t="str">
        <f>Raw_Production!C110</f>
        <v>Cutting</v>
      </c>
      <c r="C110" s="3" t="str">
        <f>Raw_Production!D110</f>
        <v>T01</v>
      </c>
      <c r="D110" s="3" t="str">
        <f>Raw_Production!P110</f>
        <v>ST-101</v>
      </c>
      <c r="E110" s="3" t="str">
        <f>Raw_Production!O110</f>
        <v>T-Shirt</v>
      </c>
      <c r="F110" s="6">
        <f>Raw_Production!G110</f>
        <v>0.73</v>
      </c>
      <c r="G110" s="6">
        <f>Raw_Production!N110</f>
        <v>0.67</v>
      </c>
      <c r="H110" s="6">
        <f t="shared" si="1"/>
        <v>-5.9999999999999942E-2</v>
      </c>
      <c r="I110" s="3">
        <f>Raw_Production!I110</f>
        <v>204</v>
      </c>
      <c r="J110" s="3">
        <f>Raw_Production!J110</f>
        <v>82</v>
      </c>
      <c r="K110" s="3">
        <f>Raw_Production!L110</f>
        <v>47</v>
      </c>
      <c r="L110" s="3">
        <f>Raw_Production!M110</f>
        <v>2</v>
      </c>
      <c r="M110" s="3">
        <f>Raw_Production!F110</f>
        <v>3</v>
      </c>
      <c r="N110" s="3">
        <f>Raw_Production!K110</f>
        <v>1737</v>
      </c>
      <c r="O110" s="3">
        <f>Raw_Production!H110</f>
        <v>14.8</v>
      </c>
      <c r="P110" s="3">
        <f>Raw_Production!E110</f>
        <v>31</v>
      </c>
    </row>
    <row r="111" spans="1:16" x14ac:dyDescent="0.3">
      <c r="A111" s="4">
        <f>Raw_Production!A111</f>
        <v>46045</v>
      </c>
      <c r="B111" s="3" t="str">
        <f>Raw_Production!C111</f>
        <v>Cutting</v>
      </c>
      <c r="C111" s="3" t="str">
        <f>Raw_Production!D111</f>
        <v>T06</v>
      </c>
      <c r="D111" s="3" t="str">
        <f>Raw_Production!P111</f>
        <v>ST-107</v>
      </c>
      <c r="E111" s="3" t="str">
        <f>Raw_Production!O111</f>
        <v>Polo</v>
      </c>
      <c r="F111" s="6">
        <f>Raw_Production!G111</f>
        <v>0.83</v>
      </c>
      <c r="G111" s="6">
        <f>Raw_Production!N111</f>
        <v>0.69</v>
      </c>
      <c r="H111" s="6">
        <f t="shared" si="1"/>
        <v>-0.14000000000000001</v>
      </c>
      <c r="I111" s="3">
        <f>Raw_Production!I111</f>
        <v>54</v>
      </c>
      <c r="J111" s="3">
        <f>Raw_Production!J111</f>
        <v>14</v>
      </c>
      <c r="K111" s="3">
        <f>Raw_Production!L111</f>
        <v>116</v>
      </c>
      <c r="L111" s="3">
        <f>Raw_Production!M111</f>
        <v>1</v>
      </c>
      <c r="M111" s="3">
        <f>Raw_Production!F111</f>
        <v>0</v>
      </c>
      <c r="N111" s="3">
        <f>Raw_Production!K111</f>
        <v>41</v>
      </c>
      <c r="O111" s="3">
        <f>Raw_Production!H111</f>
        <v>9.6999999999999993</v>
      </c>
      <c r="P111" s="3">
        <f>Raw_Production!E111</f>
        <v>29</v>
      </c>
    </row>
    <row r="112" spans="1:16" x14ac:dyDescent="0.3">
      <c r="A112" s="4">
        <f>Raw_Production!A112</f>
        <v>46045</v>
      </c>
      <c r="B112" s="3" t="str">
        <f>Raw_Production!C112</f>
        <v>Sewing</v>
      </c>
      <c r="C112" s="3" t="str">
        <f>Raw_Production!D112</f>
        <v>T02</v>
      </c>
      <c r="D112" s="3" t="str">
        <f>Raw_Production!P112</f>
        <v>ST-107</v>
      </c>
      <c r="E112" s="3" t="str">
        <f>Raw_Production!O112</f>
        <v>Polo</v>
      </c>
      <c r="F112" s="6">
        <f>Raw_Production!G112</f>
        <v>0.75</v>
      </c>
      <c r="G112" s="6">
        <f>Raw_Production!N112</f>
        <v>0.61</v>
      </c>
      <c r="H112" s="6">
        <f t="shared" si="1"/>
        <v>-0.14000000000000001</v>
      </c>
      <c r="I112" s="3">
        <f>Raw_Production!I112</f>
        <v>109</v>
      </c>
      <c r="J112" s="3">
        <f>Raw_Production!J112</f>
        <v>57</v>
      </c>
      <c r="K112" s="3">
        <f>Raw_Production!L112</f>
        <v>5</v>
      </c>
      <c r="L112" s="3">
        <f>Raw_Production!M112</f>
        <v>6</v>
      </c>
      <c r="M112" s="3">
        <f>Raw_Production!F112</f>
        <v>0</v>
      </c>
      <c r="N112" s="3">
        <f>Raw_Production!K112</f>
        <v>1884</v>
      </c>
      <c r="O112" s="3">
        <f>Raw_Production!H112</f>
        <v>12.6</v>
      </c>
      <c r="P112" s="3">
        <f>Raw_Production!E112</f>
        <v>32</v>
      </c>
    </row>
    <row r="113" spans="1:16" x14ac:dyDescent="0.3">
      <c r="A113" s="4">
        <f>Raw_Production!A113</f>
        <v>46045</v>
      </c>
      <c r="B113" s="3" t="str">
        <f>Raw_Production!C113</f>
        <v>Sewing</v>
      </c>
      <c r="C113" s="3" t="str">
        <f>Raw_Production!D113</f>
        <v>T03</v>
      </c>
      <c r="D113" s="3" t="str">
        <f>Raw_Production!P113</f>
        <v>ST-110</v>
      </c>
      <c r="E113" s="3" t="str">
        <f>Raw_Production!O113</f>
        <v>Jacket</v>
      </c>
      <c r="F113" s="6">
        <f>Raw_Production!G113</f>
        <v>0.79</v>
      </c>
      <c r="G113" s="6">
        <f>Raw_Production!N113</f>
        <v>0.64</v>
      </c>
      <c r="H113" s="6">
        <f t="shared" si="1"/>
        <v>-0.15000000000000002</v>
      </c>
      <c r="I113" s="3">
        <f>Raw_Production!I113</f>
        <v>337</v>
      </c>
      <c r="J113" s="3">
        <f>Raw_Production!J113</f>
        <v>13</v>
      </c>
      <c r="K113" s="3">
        <f>Raw_Production!L113</f>
        <v>56</v>
      </c>
      <c r="L113" s="3">
        <f>Raw_Production!M113</f>
        <v>2</v>
      </c>
      <c r="M113" s="3">
        <f>Raw_Production!F113</f>
        <v>0</v>
      </c>
      <c r="N113" s="3">
        <f>Raw_Production!K113</f>
        <v>3816</v>
      </c>
      <c r="O113" s="3">
        <f>Raw_Production!H113</f>
        <v>12.7</v>
      </c>
      <c r="P113" s="3">
        <f>Raw_Production!E113</f>
        <v>25</v>
      </c>
    </row>
    <row r="114" spans="1:16" x14ac:dyDescent="0.3">
      <c r="A114" s="4">
        <f>Raw_Production!A114</f>
        <v>46045</v>
      </c>
      <c r="B114" s="3" t="str">
        <f>Raw_Production!C114</f>
        <v>Finishing</v>
      </c>
      <c r="C114" s="3" t="str">
        <f>Raw_Production!D114</f>
        <v>T04</v>
      </c>
      <c r="D114" s="3" t="str">
        <f>Raw_Production!P114</f>
        <v>ST-108</v>
      </c>
      <c r="E114" s="3" t="str">
        <f>Raw_Production!O114</f>
        <v>Hoodie</v>
      </c>
      <c r="F114" s="6">
        <f>Raw_Production!G114</f>
        <v>0.76</v>
      </c>
      <c r="G114" s="6">
        <f>Raw_Production!N114</f>
        <v>0.73</v>
      </c>
      <c r="H114" s="6">
        <f t="shared" si="1"/>
        <v>-3.0000000000000027E-2</v>
      </c>
      <c r="I114" s="3">
        <f>Raw_Production!I114</f>
        <v>34</v>
      </c>
      <c r="J114" s="3">
        <f>Raw_Production!J114</f>
        <v>144</v>
      </c>
      <c r="K114" s="3">
        <f>Raw_Production!L114</f>
        <v>68</v>
      </c>
      <c r="L114" s="3">
        <f>Raw_Production!M114</f>
        <v>1</v>
      </c>
      <c r="M114" s="3">
        <f>Raw_Production!F114</f>
        <v>1</v>
      </c>
      <c r="N114" s="3">
        <f>Raw_Production!K114</f>
        <v>3163</v>
      </c>
      <c r="O114" s="3">
        <f>Raw_Production!H114</f>
        <v>11.4</v>
      </c>
      <c r="P114" s="3">
        <f>Raw_Production!E114</f>
        <v>35</v>
      </c>
    </row>
    <row r="115" spans="1:16" x14ac:dyDescent="0.3">
      <c r="A115" s="4">
        <f>Raw_Production!A115</f>
        <v>46045</v>
      </c>
      <c r="B115" s="3" t="str">
        <f>Raw_Production!C115</f>
        <v>Finishing</v>
      </c>
      <c r="C115" s="3" t="str">
        <f>Raw_Production!D115</f>
        <v>T05</v>
      </c>
      <c r="D115" s="3" t="str">
        <f>Raw_Production!P115</f>
        <v>ST-103</v>
      </c>
      <c r="E115" s="3" t="str">
        <f>Raw_Production!O115</f>
        <v>Hoodie</v>
      </c>
      <c r="F115" s="6">
        <f>Raw_Production!G115</f>
        <v>0.76</v>
      </c>
      <c r="G115" s="6">
        <f>Raw_Production!N115</f>
        <v>0.8</v>
      </c>
      <c r="H115" s="6">
        <f t="shared" si="1"/>
        <v>4.0000000000000036E-2</v>
      </c>
      <c r="I115" s="3">
        <f>Raw_Production!I115</f>
        <v>180</v>
      </c>
      <c r="J115" s="3">
        <f>Raw_Production!J115</f>
        <v>64</v>
      </c>
      <c r="K115" s="3">
        <f>Raw_Production!L115</f>
        <v>12</v>
      </c>
      <c r="L115" s="3">
        <f>Raw_Production!M115</f>
        <v>5</v>
      </c>
      <c r="M115" s="3">
        <f>Raw_Production!F115</f>
        <v>0</v>
      </c>
      <c r="N115" s="3">
        <f>Raw_Production!K115</f>
        <v>2850</v>
      </c>
      <c r="O115" s="3">
        <f>Raw_Production!H115</f>
        <v>9.5</v>
      </c>
      <c r="P115" s="3">
        <f>Raw_Production!E115</f>
        <v>21</v>
      </c>
    </row>
    <row r="116" spans="1:16" x14ac:dyDescent="0.3">
      <c r="A116" s="4">
        <f>Raw_Production!A116</f>
        <v>46046</v>
      </c>
      <c r="B116" s="3" t="str">
        <f>Raw_Production!C116</f>
        <v>Cutting</v>
      </c>
      <c r="C116" s="3" t="str">
        <f>Raw_Production!D116</f>
        <v>T01</v>
      </c>
      <c r="D116" s="3" t="str">
        <f>Raw_Production!P116</f>
        <v>ST-109</v>
      </c>
      <c r="E116" s="3" t="str">
        <f>Raw_Production!O116</f>
        <v>Shirt</v>
      </c>
      <c r="F116" s="6">
        <f>Raw_Production!G116</f>
        <v>0.8</v>
      </c>
      <c r="G116" s="6">
        <f>Raw_Production!N116</f>
        <v>0.66</v>
      </c>
      <c r="H116" s="6">
        <f t="shared" si="1"/>
        <v>-0.14000000000000001</v>
      </c>
      <c r="I116" s="3">
        <f>Raw_Production!I116</f>
        <v>363</v>
      </c>
      <c r="J116" s="3">
        <f>Raw_Production!J116</f>
        <v>52</v>
      </c>
      <c r="K116" s="3">
        <f>Raw_Production!L116</f>
        <v>94</v>
      </c>
      <c r="L116" s="3">
        <f>Raw_Production!M116</f>
        <v>5</v>
      </c>
      <c r="M116" s="3">
        <f>Raw_Production!F116</f>
        <v>0</v>
      </c>
      <c r="N116" s="3">
        <f>Raw_Production!K116</f>
        <v>2410</v>
      </c>
      <c r="O116" s="3">
        <f>Raw_Production!H116</f>
        <v>15.2</v>
      </c>
      <c r="P116" s="3">
        <f>Raw_Production!E116</f>
        <v>27</v>
      </c>
    </row>
    <row r="117" spans="1:16" x14ac:dyDescent="0.3">
      <c r="A117" s="4">
        <f>Raw_Production!A117</f>
        <v>46046</v>
      </c>
      <c r="B117" s="3" t="str">
        <f>Raw_Production!C117</f>
        <v>Cutting</v>
      </c>
      <c r="C117" s="3" t="str">
        <f>Raw_Production!D117</f>
        <v>T06</v>
      </c>
      <c r="D117" s="3" t="str">
        <f>Raw_Production!P117</f>
        <v>ST-107</v>
      </c>
      <c r="E117" s="3" t="str">
        <f>Raw_Production!O117</f>
        <v>Polo</v>
      </c>
      <c r="F117" s="6">
        <f>Raw_Production!G117</f>
        <v>0.88</v>
      </c>
      <c r="G117" s="6">
        <f>Raw_Production!N117</f>
        <v>0.95</v>
      </c>
      <c r="H117" s="6">
        <f t="shared" si="1"/>
        <v>6.9999999999999951E-2</v>
      </c>
      <c r="I117" s="3">
        <f>Raw_Production!I117</f>
        <v>50</v>
      </c>
      <c r="J117" s="3">
        <f>Raw_Production!J117</f>
        <v>138</v>
      </c>
      <c r="K117" s="3">
        <f>Raw_Production!L117</f>
        <v>49</v>
      </c>
      <c r="L117" s="3">
        <f>Raw_Production!M117</f>
        <v>0</v>
      </c>
      <c r="M117" s="3">
        <f>Raw_Production!F117</f>
        <v>0</v>
      </c>
      <c r="N117" s="3">
        <f>Raw_Production!K117</f>
        <v>2168</v>
      </c>
      <c r="O117" s="3">
        <f>Raw_Production!H117</f>
        <v>9.8000000000000007</v>
      </c>
      <c r="P117" s="3">
        <f>Raw_Production!E117</f>
        <v>23</v>
      </c>
    </row>
    <row r="118" spans="1:16" x14ac:dyDescent="0.3">
      <c r="A118" s="4">
        <f>Raw_Production!A118</f>
        <v>46046</v>
      </c>
      <c r="B118" s="3" t="str">
        <f>Raw_Production!C118</f>
        <v>Sewing</v>
      </c>
      <c r="C118" s="3" t="str">
        <f>Raw_Production!D118</f>
        <v>T02</v>
      </c>
      <c r="D118" s="3" t="str">
        <f>Raw_Production!P118</f>
        <v>ST-102</v>
      </c>
      <c r="E118" s="3" t="str">
        <f>Raw_Production!O118</f>
        <v>Polo</v>
      </c>
      <c r="F118" s="6">
        <f>Raw_Production!G118</f>
        <v>0.76</v>
      </c>
      <c r="G118" s="6">
        <f>Raw_Production!N118</f>
        <v>0.72</v>
      </c>
      <c r="H118" s="6">
        <f t="shared" si="1"/>
        <v>-4.0000000000000036E-2</v>
      </c>
      <c r="I118" s="3">
        <f>Raw_Production!I118</f>
        <v>405</v>
      </c>
      <c r="J118" s="3">
        <f>Raw_Production!J118</f>
        <v>18</v>
      </c>
      <c r="K118" s="3">
        <f>Raw_Production!L118</f>
        <v>99</v>
      </c>
      <c r="L118" s="3">
        <f>Raw_Production!M118</f>
        <v>1</v>
      </c>
      <c r="M118" s="3">
        <f>Raw_Production!F118</f>
        <v>0</v>
      </c>
      <c r="N118" s="3">
        <f>Raw_Production!K118</f>
        <v>1908</v>
      </c>
      <c r="O118" s="3">
        <f>Raw_Production!H118</f>
        <v>14.3</v>
      </c>
      <c r="P118" s="3">
        <f>Raw_Production!E118</f>
        <v>23</v>
      </c>
    </row>
    <row r="119" spans="1:16" x14ac:dyDescent="0.3">
      <c r="A119" s="4">
        <f>Raw_Production!A119</f>
        <v>46046</v>
      </c>
      <c r="B119" s="3" t="str">
        <f>Raw_Production!C119</f>
        <v>Sewing</v>
      </c>
      <c r="C119" s="3" t="str">
        <f>Raw_Production!D119</f>
        <v>T03</v>
      </c>
      <c r="D119" s="3" t="str">
        <f>Raw_Production!P119</f>
        <v>ST-108</v>
      </c>
      <c r="E119" s="3" t="str">
        <f>Raw_Production!O119</f>
        <v>Hoodie</v>
      </c>
      <c r="F119" s="6">
        <f>Raw_Production!G119</f>
        <v>0.77</v>
      </c>
      <c r="G119" s="6">
        <f>Raw_Production!N119</f>
        <v>0.78</v>
      </c>
      <c r="H119" s="6">
        <f t="shared" si="1"/>
        <v>1.0000000000000009E-2</v>
      </c>
      <c r="I119" s="3">
        <f>Raw_Production!I119</f>
        <v>177</v>
      </c>
      <c r="J119" s="3">
        <f>Raw_Production!J119</f>
        <v>64</v>
      </c>
      <c r="K119" s="3">
        <f>Raw_Production!L119</f>
        <v>118</v>
      </c>
      <c r="L119" s="3">
        <f>Raw_Production!M119</f>
        <v>2</v>
      </c>
      <c r="M119" s="3">
        <f>Raw_Production!F119</f>
        <v>0</v>
      </c>
      <c r="N119" s="3">
        <f>Raw_Production!K119</f>
        <v>317</v>
      </c>
      <c r="O119" s="3">
        <f>Raw_Production!H119</f>
        <v>16.600000000000001</v>
      </c>
      <c r="P119" s="3">
        <f>Raw_Production!E119</f>
        <v>35</v>
      </c>
    </row>
    <row r="120" spans="1:16" x14ac:dyDescent="0.3">
      <c r="A120" s="4">
        <f>Raw_Production!A120</f>
        <v>46046</v>
      </c>
      <c r="B120" s="3" t="str">
        <f>Raw_Production!C120</f>
        <v>Finishing</v>
      </c>
      <c r="C120" s="3" t="str">
        <f>Raw_Production!D120</f>
        <v>T04</v>
      </c>
      <c r="D120" s="3" t="str">
        <f>Raw_Production!P120</f>
        <v>ST-103</v>
      </c>
      <c r="E120" s="3" t="str">
        <f>Raw_Production!O120</f>
        <v>Hoodie</v>
      </c>
      <c r="F120" s="6">
        <f>Raw_Production!G120</f>
        <v>0.85</v>
      </c>
      <c r="G120" s="6">
        <f>Raw_Production!N120</f>
        <v>0.89</v>
      </c>
      <c r="H120" s="6">
        <f t="shared" si="1"/>
        <v>4.0000000000000036E-2</v>
      </c>
      <c r="I120" s="3">
        <f>Raw_Production!I120</f>
        <v>361</v>
      </c>
      <c r="J120" s="3">
        <f>Raw_Production!J120</f>
        <v>83</v>
      </c>
      <c r="K120" s="3">
        <f>Raw_Production!L120</f>
        <v>24</v>
      </c>
      <c r="L120" s="3">
        <f>Raw_Production!M120</f>
        <v>7</v>
      </c>
      <c r="M120" s="3">
        <f>Raw_Production!F120</f>
        <v>0</v>
      </c>
      <c r="N120" s="3">
        <f>Raw_Production!K120</f>
        <v>1126</v>
      </c>
      <c r="O120" s="3">
        <f>Raw_Production!H120</f>
        <v>18.3</v>
      </c>
      <c r="P120" s="3">
        <f>Raw_Production!E120</f>
        <v>30</v>
      </c>
    </row>
    <row r="121" spans="1:16" x14ac:dyDescent="0.3">
      <c r="A121" s="4">
        <f>Raw_Production!A121</f>
        <v>46046</v>
      </c>
      <c r="B121" s="3" t="str">
        <f>Raw_Production!C121</f>
        <v>Finishing</v>
      </c>
      <c r="C121" s="3" t="str">
        <f>Raw_Production!D121</f>
        <v>T05</v>
      </c>
      <c r="D121" s="3" t="str">
        <f>Raw_Production!P121</f>
        <v>ST-109</v>
      </c>
      <c r="E121" s="3" t="str">
        <f>Raw_Production!O121</f>
        <v>Shirt</v>
      </c>
      <c r="F121" s="6">
        <f>Raw_Production!G121</f>
        <v>0.8</v>
      </c>
      <c r="G121" s="6">
        <f>Raw_Production!N121</f>
        <v>0.68</v>
      </c>
      <c r="H121" s="6">
        <f t="shared" si="1"/>
        <v>-0.12</v>
      </c>
      <c r="I121" s="3">
        <f>Raw_Production!I121</f>
        <v>208</v>
      </c>
      <c r="J121" s="3">
        <f>Raw_Production!J121</f>
        <v>85</v>
      </c>
      <c r="K121" s="3">
        <f>Raw_Production!L121</f>
        <v>63</v>
      </c>
      <c r="L121" s="3">
        <f>Raw_Production!M121</f>
        <v>6</v>
      </c>
      <c r="M121" s="3">
        <f>Raw_Production!F121</f>
        <v>1</v>
      </c>
      <c r="N121" s="3">
        <f>Raw_Production!K121</f>
        <v>2596</v>
      </c>
      <c r="O121" s="3">
        <f>Raw_Production!H121</f>
        <v>14.4</v>
      </c>
      <c r="P121" s="3">
        <f>Raw_Production!E121</f>
        <v>35</v>
      </c>
    </row>
    <row r="122" spans="1:16" x14ac:dyDescent="0.3">
      <c r="A122" s="4">
        <f>Raw_Production!A122</f>
        <v>46047</v>
      </c>
      <c r="B122" s="3" t="str">
        <f>Raw_Production!C122</f>
        <v>Cutting</v>
      </c>
      <c r="C122" s="3" t="str">
        <f>Raw_Production!D122</f>
        <v>T01</v>
      </c>
      <c r="D122" s="3" t="str">
        <f>Raw_Production!P122</f>
        <v>ST-104</v>
      </c>
      <c r="E122" s="3" t="str">
        <f>Raw_Production!O122</f>
        <v>Shirt</v>
      </c>
      <c r="F122" s="6">
        <f>Raw_Production!G122</f>
        <v>0.89</v>
      </c>
      <c r="G122" s="6">
        <f>Raw_Production!N122</f>
        <v>0.92</v>
      </c>
      <c r="H122" s="6">
        <f t="shared" si="1"/>
        <v>3.0000000000000027E-2</v>
      </c>
      <c r="I122" s="3">
        <f>Raw_Production!I122</f>
        <v>231</v>
      </c>
      <c r="J122" s="3">
        <f>Raw_Production!J122</f>
        <v>93</v>
      </c>
      <c r="K122" s="3">
        <f>Raw_Production!L122</f>
        <v>6</v>
      </c>
      <c r="L122" s="3">
        <f>Raw_Production!M122</f>
        <v>1</v>
      </c>
      <c r="M122" s="3">
        <f>Raw_Production!F122</f>
        <v>3</v>
      </c>
      <c r="N122" s="3">
        <f>Raw_Production!K122</f>
        <v>2700</v>
      </c>
      <c r="O122" s="3">
        <f>Raw_Production!H122</f>
        <v>18.2</v>
      </c>
      <c r="P122" s="3">
        <f>Raw_Production!E122</f>
        <v>20</v>
      </c>
    </row>
    <row r="123" spans="1:16" x14ac:dyDescent="0.3">
      <c r="A123" s="4">
        <f>Raw_Production!A123</f>
        <v>46047</v>
      </c>
      <c r="B123" s="3" t="str">
        <f>Raw_Production!C123</f>
        <v>Cutting</v>
      </c>
      <c r="C123" s="3" t="str">
        <f>Raw_Production!D123</f>
        <v>T06</v>
      </c>
      <c r="D123" s="3" t="str">
        <f>Raw_Production!P123</f>
        <v>ST-107</v>
      </c>
      <c r="E123" s="3" t="str">
        <f>Raw_Production!O123</f>
        <v>Polo</v>
      </c>
      <c r="F123" s="6">
        <f>Raw_Production!G123</f>
        <v>0.73</v>
      </c>
      <c r="G123" s="6">
        <f>Raw_Production!N123</f>
        <v>0.63</v>
      </c>
      <c r="H123" s="6">
        <f t="shared" si="1"/>
        <v>-9.9999999999999978E-2</v>
      </c>
      <c r="I123" s="3">
        <f>Raw_Production!I123</f>
        <v>239</v>
      </c>
      <c r="J123" s="3">
        <f>Raw_Production!J123</f>
        <v>33</v>
      </c>
      <c r="K123" s="3">
        <f>Raw_Production!L123</f>
        <v>55</v>
      </c>
      <c r="L123" s="3">
        <f>Raw_Production!M123</f>
        <v>3</v>
      </c>
      <c r="M123" s="3">
        <f>Raw_Production!F123</f>
        <v>2</v>
      </c>
      <c r="N123" s="3">
        <f>Raw_Production!K123</f>
        <v>104</v>
      </c>
      <c r="O123" s="3">
        <f>Raw_Production!H123</f>
        <v>17.2</v>
      </c>
      <c r="P123" s="3">
        <f>Raw_Production!E123</f>
        <v>21</v>
      </c>
    </row>
    <row r="124" spans="1:16" x14ac:dyDescent="0.3">
      <c r="A124" s="4">
        <f>Raw_Production!A124</f>
        <v>46047</v>
      </c>
      <c r="B124" s="3" t="str">
        <f>Raw_Production!C124</f>
        <v>Sewing</v>
      </c>
      <c r="C124" s="3" t="str">
        <f>Raw_Production!D124</f>
        <v>T02</v>
      </c>
      <c r="D124" s="3" t="str">
        <f>Raw_Production!P124</f>
        <v>ST-103</v>
      </c>
      <c r="E124" s="3" t="str">
        <f>Raw_Production!O124</f>
        <v>Hoodie</v>
      </c>
      <c r="F124" s="6">
        <f>Raw_Production!G124</f>
        <v>0.87</v>
      </c>
      <c r="G124" s="6">
        <f>Raw_Production!N124</f>
        <v>0.68</v>
      </c>
      <c r="H124" s="6">
        <f t="shared" si="1"/>
        <v>-0.18999999999999995</v>
      </c>
      <c r="I124" s="3">
        <f>Raw_Production!I124</f>
        <v>184</v>
      </c>
      <c r="J124" s="3">
        <f>Raw_Production!J124</f>
        <v>99</v>
      </c>
      <c r="K124" s="3">
        <f>Raw_Production!L124</f>
        <v>44</v>
      </c>
      <c r="L124" s="3">
        <f>Raw_Production!M124</f>
        <v>4</v>
      </c>
      <c r="M124" s="3">
        <f>Raw_Production!F124</f>
        <v>2</v>
      </c>
      <c r="N124" s="3">
        <f>Raw_Production!K124</f>
        <v>3967</v>
      </c>
      <c r="O124" s="3">
        <f>Raw_Production!H124</f>
        <v>17.899999999999999</v>
      </c>
      <c r="P124" s="3">
        <f>Raw_Production!E124</f>
        <v>25</v>
      </c>
    </row>
    <row r="125" spans="1:16" x14ac:dyDescent="0.3">
      <c r="A125" s="4">
        <f>Raw_Production!A125</f>
        <v>46047</v>
      </c>
      <c r="B125" s="3" t="str">
        <f>Raw_Production!C125</f>
        <v>Sewing</v>
      </c>
      <c r="C125" s="3" t="str">
        <f>Raw_Production!D125</f>
        <v>T03</v>
      </c>
      <c r="D125" s="3" t="str">
        <f>Raw_Production!P125</f>
        <v>ST-102</v>
      </c>
      <c r="E125" s="3" t="str">
        <f>Raw_Production!O125</f>
        <v>Polo</v>
      </c>
      <c r="F125" s="6">
        <f>Raw_Production!G125</f>
        <v>0.89</v>
      </c>
      <c r="G125" s="6">
        <f>Raw_Production!N125</f>
        <v>0.83</v>
      </c>
      <c r="H125" s="6">
        <f t="shared" si="1"/>
        <v>-6.0000000000000053E-2</v>
      </c>
      <c r="I125" s="3">
        <f>Raw_Production!I125</f>
        <v>118</v>
      </c>
      <c r="J125" s="3">
        <f>Raw_Production!J125</f>
        <v>4</v>
      </c>
      <c r="K125" s="3">
        <f>Raw_Production!L125</f>
        <v>62</v>
      </c>
      <c r="L125" s="3">
        <f>Raw_Production!M125</f>
        <v>8</v>
      </c>
      <c r="M125" s="3">
        <f>Raw_Production!F125</f>
        <v>0</v>
      </c>
      <c r="N125" s="3">
        <f>Raw_Production!K125</f>
        <v>213</v>
      </c>
      <c r="O125" s="3">
        <f>Raw_Production!H125</f>
        <v>13.3</v>
      </c>
      <c r="P125" s="3">
        <f>Raw_Production!E125</f>
        <v>32</v>
      </c>
    </row>
    <row r="126" spans="1:16" x14ac:dyDescent="0.3">
      <c r="A126" s="4">
        <f>Raw_Production!A126</f>
        <v>46047</v>
      </c>
      <c r="B126" s="3" t="str">
        <f>Raw_Production!C126</f>
        <v>Finishing</v>
      </c>
      <c r="C126" s="3" t="str">
        <f>Raw_Production!D126</f>
        <v>T04</v>
      </c>
      <c r="D126" s="3" t="str">
        <f>Raw_Production!P126</f>
        <v>ST-108</v>
      </c>
      <c r="E126" s="3" t="str">
        <f>Raw_Production!O126</f>
        <v>Hoodie</v>
      </c>
      <c r="F126" s="6">
        <f>Raw_Production!G126</f>
        <v>0.77</v>
      </c>
      <c r="G126" s="6">
        <f>Raw_Production!N126</f>
        <v>0.69</v>
      </c>
      <c r="H126" s="6">
        <f t="shared" si="1"/>
        <v>-8.0000000000000071E-2</v>
      </c>
      <c r="I126" s="3">
        <f>Raw_Production!I126</f>
        <v>51</v>
      </c>
      <c r="J126" s="3">
        <f>Raw_Production!J126</f>
        <v>13</v>
      </c>
      <c r="K126" s="3">
        <f>Raw_Production!L126</f>
        <v>26</v>
      </c>
      <c r="L126" s="3">
        <f>Raw_Production!M126</f>
        <v>4</v>
      </c>
      <c r="M126" s="3">
        <f>Raw_Production!F126</f>
        <v>0</v>
      </c>
      <c r="N126" s="3">
        <f>Raw_Production!K126</f>
        <v>2852</v>
      </c>
      <c r="O126" s="3">
        <f>Raw_Production!H126</f>
        <v>17</v>
      </c>
      <c r="P126" s="3">
        <f>Raw_Production!E126</f>
        <v>36</v>
      </c>
    </row>
    <row r="127" spans="1:16" x14ac:dyDescent="0.3">
      <c r="A127" s="4">
        <f>Raw_Production!A127</f>
        <v>46047</v>
      </c>
      <c r="B127" s="3" t="str">
        <f>Raw_Production!C127</f>
        <v>Finishing</v>
      </c>
      <c r="C127" s="3" t="str">
        <f>Raw_Production!D127</f>
        <v>T05</v>
      </c>
      <c r="D127" s="3" t="str">
        <f>Raw_Production!P127</f>
        <v>ST-105</v>
      </c>
      <c r="E127" s="3" t="str">
        <f>Raw_Production!O127</f>
        <v>Jacket</v>
      </c>
      <c r="F127" s="6">
        <f>Raw_Production!G127</f>
        <v>0.81</v>
      </c>
      <c r="G127" s="6">
        <f>Raw_Production!N127</f>
        <v>0.65</v>
      </c>
      <c r="H127" s="6">
        <f t="shared" si="1"/>
        <v>-0.16000000000000003</v>
      </c>
      <c r="I127" s="3">
        <f>Raw_Production!I127</f>
        <v>202</v>
      </c>
      <c r="J127" s="3">
        <f>Raw_Production!J127</f>
        <v>50</v>
      </c>
      <c r="K127" s="3">
        <f>Raw_Production!L127</f>
        <v>78</v>
      </c>
      <c r="L127" s="3">
        <f>Raw_Production!M127</f>
        <v>5</v>
      </c>
      <c r="M127" s="3">
        <f>Raw_Production!F127</f>
        <v>0</v>
      </c>
      <c r="N127" s="3">
        <f>Raw_Production!K127</f>
        <v>4470</v>
      </c>
      <c r="O127" s="3">
        <f>Raw_Production!H127</f>
        <v>17.600000000000001</v>
      </c>
      <c r="P127" s="3">
        <f>Raw_Production!E127</f>
        <v>26</v>
      </c>
    </row>
    <row r="128" spans="1:16" x14ac:dyDescent="0.3">
      <c r="A128" s="4">
        <f>Raw_Production!A128</f>
        <v>46048</v>
      </c>
      <c r="B128" s="3" t="str">
        <f>Raw_Production!C128</f>
        <v>Cutting</v>
      </c>
      <c r="C128" s="3" t="str">
        <f>Raw_Production!D128</f>
        <v>T01</v>
      </c>
      <c r="D128" s="3" t="str">
        <f>Raw_Production!P128</f>
        <v>ST-105</v>
      </c>
      <c r="E128" s="3" t="str">
        <f>Raw_Production!O128</f>
        <v>Jacket</v>
      </c>
      <c r="F128" s="6">
        <f>Raw_Production!G128</f>
        <v>0.79</v>
      </c>
      <c r="G128" s="6">
        <f>Raw_Production!N128</f>
        <v>0.74</v>
      </c>
      <c r="H128" s="6">
        <f t="shared" si="1"/>
        <v>-5.0000000000000044E-2</v>
      </c>
      <c r="I128" s="3">
        <f>Raw_Production!I128</f>
        <v>214</v>
      </c>
      <c r="J128" s="3">
        <f>Raw_Production!J128</f>
        <v>105</v>
      </c>
      <c r="K128" s="3">
        <f>Raw_Production!L128</f>
        <v>14</v>
      </c>
      <c r="L128" s="3">
        <f>Raw_Production!M128</f>
        <v>0</v>
      </c>
      <c r="M128" s="3">
        <f>Raw_Production!F128</f>
        <v>0</v>
      </c>
      <c r="N128" s="3">
        <f>Raw_Production!K128</f>
        <v>3171</v>
      </c>
      <c r="O128" s="3">
        <f>Raw_Production!H128</f>
        <v>14.8</v>
      </c>
      <c r="P128" s="3">
        <f>Raw_Production!E128</f>
        <v>28</v>
      </c>
    </row>
    <row r="129" spans="1:16" x14ac:dyDescent="0.3">
      <c r="A129" s="4">
        <f>Raw_Production!A129</f>
        <v>46048</v>
      </c>
      <c r="B129" s="3" t="str">
        <f>Raw_Production!C129</f>
        <v>Cutting</v>
      </c>
      <c r="C129" s="3" t="str">
        <f>Raw_Production!D129</f>
        <v>T06</v>
      </c>
      <c r="D129" s="3" t="str">
        <f>Raw_Production!P129</f>
        <v>ST-104</v>
      </c>
      <c r="E129" s="3" t="str">
        <f>Raw_Production!O129</f>
        <v>Shirt</v>
      </c>
      <c r="F129" s="6">
        <f>Raw_Production!G129</f>
        <v>0.86</v>
      </c>
      <c r="G129" s="6">
        <f>Raw_Production!N129</f>
        <v>0.73</v>
      </c>
      <c r="H129" s="6">
        <f t="shared" si="1"/>
        <v>-0.13</v>
      </c>
      <c r="I129" s="3">
        <f>Raw_Production!I129</f>
        <v>303</v>
      </c>
      <c r="J129" s="3">
        <f>Raw_Production!J129</f>
        <v>59</v>
      </c>
      <c r="K129" s="3">
        <f>Raw_Production!L129</f>
        <v>76</v>
      </c>
      <c r="L129" s="3">
        <f>Raw_Production!M129</f>
        <v>2</v>
      </c>
      <c r="M129" s="3">
        <f>Raw_Production!F129</f>
        <v>0</v>
      </c>
      <c r="N129" s="3">
        <f>Raw_Production!K129</f>
        <v>1833</v>
      </c>
      <c r="O129" s="3">
        <f>Raw_Production!H129</f>
        <v>18.2</v>
      </c>
      <c r="P129" s="3">
        <f>Raw_Production!E129</f>
        <v>35</v>
      </c>
    </row>
    <row r="130" spans="1:16" x14ac:dyDescent="0.3">
      <c r="A130" s="4">
        <f>Raw_Production!A130</f>
        <v>46048</v>
      </c>
      <c r="B130" s="3" t="str">
        <f>Raw_Production!C130</f>
        <v>Sewing</v>
      </c>
      <c r="C130" s="3" t="str">
        <f>Raw_Production!D130</f>
        <v>T02</v>
      </c>
      <c r="D130" s="3" t="str">
        <f>Raw_Production!P130</f>
        <v>ST-106</v>
      </c>
      <c r="E130" s="3" t="str">
        <f>Raw_Production!O130</f>
        <v>T-Shirt</v>
      </c>
      <c r="F130" s="6">
        <f>Raw_Production!G130</f>
        <v>0.73</v>
      </c>
      <c r="G130" s="6">
        <f>Raw_Production!N130</f>
        <v>0.77</v>
      </c>
      <c r="H130" s="6">
        <f t="shared" ref="H130:H193" si="2">G130-F130</f>
        <v>4.0000000000000036E-2</v>
      </c>
      <c r="I130" s="3">
        <f>Raw_Production!I130</f>
        <v>261</v>
      </c>
      <c r="J130" s="3">
        <f>Raw_Production!J130</f>
        <v>118</v>
      </c>
      <c r="K130" s="3">
        <f>Raw_Production!L130</f>
        <v>65</v>
      </c>
      <c r="L130" s="3">
        <f>Raw_Production!M130</f>
        <v>1</v>
      </c>
      <c r="M130" s="3">
        <f>Raw_Production!F130</f>
        <v>1</v>
      </c>
      <c r="N130" s="3">
        <f>Raw_Production!K130</f>
        <v>2563</v>
      </c>
      <c r="O130" s="3">
        <f>Raw_Production!H130</f>
        <v>15</v>
      </c>
      <c r="P130" s="3">
        <f>Raw_Production!E130</f>
        <v>35</v>
      </c>
    </row>
    <row r="131" spans="1:16" x14ac:dyDescent="0.3">
      <c r="A131" s="4">
        <f>Raw_Production!A131</f>
        <v>46048</v>
      </c>
      <c r="B131" s="3" t="str">
        <f>Raw_Production!C131</f>
        <v>Sewing</v>
      </c>
      <c r="C131" s="3" t="str">
        <f>Raw_Production!D131</f>
        <v>T03</v>
      </c>
      <c r="D131" s="3" t="str">
        <f>Raw_Production!P131</f>
        <v>ST-104</v>
      </c>
      <c r="E131" s="3" t="str">
        <f>Raw_Production!O131</f>
        <v>Shirt</v>
      </c>
      <c r="F131" s="6">
        <f>Raw_Production!G131</f>
        <v>0.86</v>
      </c>
      <c r="G131" s="6">
        <f>Raw_Production!N131</f>
        <v>0.74</v>
      </c>
      <c r="H131" s="6">
        <f t="shared" si="2"/>
        <v>-0.12</v>
      </c>
      <c r="I131" s="3">
        <f>Raw_Production!I131</f>
        <v>47</v>
      </c>
      <c r="J131" s="3">
        <f>Raw_Production!J131</f>
        <v>45</v>
      </c>
      <c r="K131" s="3">
        <f>Raw_Production!L131</f>
        <v>95</v>
      </c>
      <c r="L131" s="3">
        <f>Raw_Production!M131</f>
        <v>3</v>
      </c>
      <c r="M131" s="3">
        <f>Raw_Production!F131</f>
        <v>0</v>
      </c>
      <c r="N131" s="3">
        <f>Raw_Production!K131</f>
        <v>1178</v>
      </c>
      <c r="O131" s="3">
        <f>Raw_Production!H131</f>
        <v>16.399999999999999</v>
      </c>
      <c r="P131" s="3">
        <f>Raw_Production!E131</f>
        <v>22</v>
      </c>
    </row>
    <row r="132" spans="1:16" x14ac:dyDescent="0.3">
      <c r="A132" s="4">
        <f>Raw_Production!A132</f>
        <v>46048</v>
      </c>
      <c r="B132" s="3" t="str">
        <f>Raw_Production!C132</f>
        <v>Finishing</v>
      </c>
      <c r="C132" s="3" t="str">
        <f>Raw_Production!D132</f>
        <v>T04</v>
      </c>
      <c r="D132" s="3" t="str">
        <f>Raw_Production!P132</f>
        <v>ST-110</v>
      </c>
      <c r="E132" s="3" t="str">
        <f>Raw_Production!O132</f>
        <v>Jacket</v>
      </c>
      <c r="F132" s="6">
        <f>Raw_Production!G132</f>
        <v>0.83</v>
      </c>
      <c r="G132" s="6">
        <f>Raw_Production!N132</f>
        <v>0.85</v>
      </c>
      <c r="H132" s="6">
        <f t="shared" si="2"/>
        <v>2.0000000000000018E-2</v>
      </c>
      <c r="I132" s="3">
        <f>Raw_Production!I132</f>
        <v>417</v>
      </c>
      <c r="J132" s="3">
        <f>Raw_Production!J132</f>
        <v>104</v>
      </c>
      <c r="K132" s="3">
        <f>Raw_Production!L132</f>
        <v>96</v>
      </c>
      <c r="L132" s="3">
        <f>Raw_Production!M132</f>
        <v>3</v>
      </c>
      <c r="M132" s="3">
        <f>Raw_Production!F132</f>
        <v>0</v>
      </c>
      <c r="N132" s="3">
        <f>Raw_Production!K132</f>
        <v>3548</v>
      </c>
      <c r="O132" s="3">
        <f>Raw_Production!H132</f>
        <v>10.6</v>
      </c>
      <c r="P132" s="3">
        <f>Raw_Production!E132</f>
        <v>31</v>
      </c>
    </row>
    <row r="133" spans="1:16" x14ac:dyDescent="0.3">
      <c r="A133" s="4">
        <f>Raw_Production!A133</f>
        <v>46048</v>
      </c>
      <c r="B133" s="3" t="str">
        <f>Raw_Production!C133</f>
        <v>Finishing</v>
      </c>
      <c r="C133" s="3" t="str">
        <f>Raw_Production!D133</f>
        <v>T05</v>
      </c>
      <c r="D133" s="3" t="str">
        <f>Raw_Production!P133</f>
        <v>ST-103</v>
      </c>
      <c r="E133" s="3" t="str">
        <f>Raw_Production!O133</f>
        <v>Hoodie</v>
      </c>
      <c r="F133" s="6">
        <f>Raw_Production!G133</f>
        <v>0.87</v>
      </c>
      <c r="G133" s="6">
        <f>Raw_Production!N133</f>
        <v>0.94</v>
      </c>
      <c r="H133" s="6">
        <f t="shared" si="2"/>
        <v>6.9999999999999951E-2</v>
      </c>
      <c r="I133" s="3">
        <f>Raw_Production!I133</f>
        <v>414</v>
      </c>
      <c r="J133" s="3">
        <f>Raw_Production!J133</f>
        <v>31</v>
      </c>
      <c r="K133" s="3">
        <f>Raw_Production!L133</f>
        <v>37</v>
      </c>
      <c r="L133" s="3">
        <f>Raw_Production!M133</f>
        <v>3</v>
      </c>
      <c r="M133" s="3">
        <f>Raw_Production!F133</f>
        <v>1</v>
      </c>
      <c r="N133" s="3">
        <f>Raw_Production!K133</f>
        <v>669</v>
      </c>
      <c r="O133" s="3">
        <f>Raw_Production!H133</f>
        <v>16.3</v>
      </c>
      <c r="P133" s="3">
        <f>Raw_Production!E133</f>
        <v>20</v>
      </c>
    </row>
    <row r="134" spans="1:16" x14ac:dyDescent="0.3">
      <c r="A134" s="4">
        <f>Raw_Production!A134</f>
        <v>46049</v>
      </c>
      <c r="B134" s="3" t="str">
        <f>Raw_Production!C134</f>
        <v>Cutting</v>
      </c>
      <c r="C134" s="3" t="str">
        <f>Raw_Production!D134</f>
        <v>T01</v>
      </c>
      <c r="D134" s="3" t="str">
        <f>Raw_Production!P134</f>
        <v>ST-106</v>
      </c>
      <c r="E134" s="3" t="str">
        <f>Raw_Production!O134</f>
        <v>T-Shirt</v>
      </c>
      <c r="F134" s="6">
        <f>Raw_Production!G134</f>
        <v>0.76</v>
      </c>
      <c r="G134" s="6">
        <f>Raw_Production!N134</f>
        <v>0.76</v>
      </c>
      <c r="H134" s="6">
        <f t="shared" si="2"/>
        <v>0</v>
      </c>
      <c r="I134" s="3">
        <f>Raw_Production!I134</f>
        <v>171</v>
      </c>
      <c r="J134" s="3">
        <f>Raw_Production!J134</f>
        <v>10</v>
      </c>
      <c r="K134" s="3">
        <f>Raw_Production!L134</f>
        <v>95</v>
      </c>
      <c r="L134" s="3">
        <f>Raw_Production!M134</f>
        <v>1</v>
      </c>
      <c r="M134" s="3">
        <f>Raw_Production!F134</f>
        <v>2</v>
      </c>
      <c r="N134" s="3">
        <f>Raw_Production!K134</f>
        <v>1243</v>
      </c>
      <c r="O134" s="3">
        <f>Raw_Production!H134</f>
        <v>16.899999999999999</v>
      </c>
      <c r="P134" s="3">
        <f>Raw_Production!E134</f>
        <v>21</v>
      </c>
    </row>
    <row r="135" spans="1:16" x14ac:dyDescent="0.3">
      <c r="A135" s="4">
        <f>Raw_Production!A135</f>
        <v>46049</v>
      </c>
      <c r="B135" s="3" t="str">
        <f>Raw_Production!C135</f>
        <v>Cutting</v>
      </c>
      <c r="C135" s="3" t="str">
        <f>Raw_Production!D135</f>
        <v>T06</v>
      </c>
      <c r="D135" s="3" t="str">
        <f>Raw_Production!P135</f>
        <v>ST-106</v>
      </c>
      <c r="E135" s="3" t="str">
        <f>Raw_Production!O135</f>
        <v>T-Shirt</v>
      </c>
      <c r="F135" s="6">
        <f>Raw_Production!G135</f>
        <v>0.74</v>
      </c>
      <c r="G135" s="6">
        <f>Raw_Production!N135</f>
        <v>0.68</v>
      </c>
      <c r="H135" s="6">
        <f t="shared" si="2"/>
        <v>-5.9999999999999942E-2</v>
      </c>
      <c r="I135" s="3">
        <f>Raw_Production!I135</f>
        <v>106</v>
      </c>
      <c r="J135" s="3">
        <f>Raw_Production!J135</f>
        <v>44</v>
      </c>
      <c r="K135" s="3">
        <f>Raw_Production!L135</f>
        <v>52</v>
      </c>
      <c r="L135" s="3">
        <f>Raw_Production!M135</f>
        <v>0</v>
      </c>
      <c r="M135" s="3">
        <f>Raw_Production!F135</f>
        <v>1</v>
      </c>
      <c r="N135" s="3">
        <f>Raw_Production!K135</f>
        <v>2307</v>
      </c>
      <c r="O135" s="3">
        <f>Raw_Production!H135</f>
        <v>12.2</v>
      </c>
      <c r="P135" s="3">
        <f>Raw_Production!E135</f>
        <v>24</v>
      </c>
    </row>
    <row r="136" spans="1:16" x14ac:dyDescent="0.3">
      <c r="A136" s="4">
        <f>Raw_Production!A136</f>
        <v>46049</v>
      </c>
      <c r="B136" s="3" t="str">
        <f>Raw_Production!C136</f>
        <v>Sewing</v>
      </c>
      <c r="C136" s="3" t="str">
        <f>Raw_Production!D136</f>
        <v>T02</v>
      </c>
      <c r="D136" s="3" t="str">
        <f>Raw_Production!P136</f>
        <v>ST-109</v>
      </c>
      <c r="E136" s="3" t="str">
        <f>Raw_Production!O136</f>
        <v>Shirt</v>
      </c>
      <c r="F136" s="6">
        <f>Raw_Production!G136</f>
        <v>0.84</v>
      </c>
      <c r="G136" s="6">
        <f>Raw_Production!N136</f>
        <v>0.76</v>
      </c>
      <c r="H136" s="6">
        <f t="shared" si="2"/>
        <v>-7.999999999999996E-2</v>
      </c>
      <c r="I136" s="3">
        <f>Raw_Production!I136</f>
        <v>427</v>
      </c>
      <c r="J136" s="3">
        <f>Raw_Production!J136</f>
        <v>49</v>
      </c>
      <c r="K136" s="3">
        <f>Raw_Production!L136</f>
        <v>100</v>
      </c>
      <c r="L136" s="3">
        <f>Raw_Production!M136</f>
        <v>1</v>
      </c>
      <c r="M136" s="3">
        <f>Raw_Production!F136</f>
        <v>1</v>
      </c>
      <c r="N136" s="3">
        <f>Raw_Production!K136</f>
        <v>2923</v>
      </c>
      <c r="O136" s="3">
        <f>Raw_Production!H136</f>
        <v>13.8</v>
      </c>
      <c r="P136" s="3">
        <f>Raw_Production!E136</f>
        <v>26</v>
      </c>
    </row>
    <row r="137" spans="1:16" x14ac:dyDescent="0.3">
      <c r="A137" s="4">
        <f>Raw_Production!A137</f>
        <v>46049</v>
      </c>
      <c r="B137" s="3" t="str">
        <f>Raw_Production!C137</f>
        <v>Sewing</v>
      </c>
      <c r="C137" s="3" t="str">
        <f>Raw_Production!D137</f>
        <v>T03</v>
      </c>
      <c r="D137" s="3" t="str">
        <f>Raw_Production!P137</f>
        <v>ST-105</v>
      </c>
      <c r="E137" s="3" t="str">
        <f>Raw_Production!O137</f>
        <v>Jacket</v>
      </c>
      <c r="F137" s="6">
        <f>Raw_Production!G137</f>
        <v>0.72</v>
      </c>
      <c r="G137" s="6">
        <f>Raw_Production!N137</f>
        <v>0.59</v>
      </c>
      <c r="H137" s="6">
        <f t="shared" si="2"/>
        <v>-0.13</v>
      </c>
      <c r="I137" s="3">
        <f>Raw_Production!I137</f>
        <v>324</v>
      </c>
      <c r="J137" s="3">
        <f>Raw_Production!J137</f>
        <v>6</v>
      </c>
      <c r="K137" s="3">
        <f>Raw_Production!L137</f>
        <v>8</v>
      </c>
      <c r="L137" s="3">
        <f>Raw_Production!M137</f>
        <v>0</v>
      </c>
      <c r="M137" s="3">
        <f>Raw_Production!F137</f>
        <v>1</v>
      </c>
      <c r="N137" s="3">
        <f>Raw_Production!K137</f>
        <v>1181</v>
      </c>
      <c r="O137" s="3">
        <f>Raw_Production!H137</f>
        <v>16.600000000000001</v>
      </c>
      <c r="P137" s="3">
        <f>Raw_Production!E137</f>
        <v>23</v>
      </c>
    </row>
    <row r="138" spans="1:16" x14ac:dyDescent="0.3">
      <c r="A138" s="4">
        <f>Raw_Production!A138</f>
        <v>46049</v>
      </c>
      <c r="B138" s="3" t="str">
        <f>Raw_Production!C138</f>
        <v>Finishing</v>
      </c>
      <c r="C138" s="3" t="str">
        <f>Raw_Production!D138</f>
        <v>T04</v>
      </c>
      <c r="D138" s="3" t="str">
        <f>Raw_Production!P138</f>
        <v>ST-109</v>
      </c>
      <c r="E138" s="3" t="str">
        <f>Raw_Production!O138</f>
        <v>Shirt</v>
      </c>
      <c r="F138" s="6">
        <f>Raw_Production!G138</f>
        <v>0.86</v>
      </c>
      <c r="G138" s="6">
        <f>Raw_Production!N138</f>
        <v>0.75</v>
      </c>
      <c r="H138" s="6">
        <f t="shared" si="2"/>
        <v>-0.10999999999999999</v>
      </c>
      <c r="I138" s="3">
        <f>Raw_Production!I138</f>
        <v>354</v>
      </c>
      <c r="J138" s="3">
        <f>Raw_Production!J138</f>
        <v>45</v>
      </c>
      <c r="K138" s="3">
        <f>Raw_Production!L138</f>
        <v>28</v>
      </c>
      <c r="L138" s="3">
        <f>Raw_Production!M138</f>
        <v>8</v>
      </c>
      <c r="M138" s="3">
        <f>Raw_Production!F138</f>
        <v>1</v>
      </c>
      <c r="N138" s="3">
        <f>Raw_Production!K138</f>
        <v>3201</v>
      </c>
      <c r="O138" s="3">
        <f>Raw_Production!H138</f>
        <v>18.100000000000001</v>
      </c>
      <c r="P138" s="3">
        <f>Raw_Production!E138</f>
        <v>32</v>
      </c>
    </row>
    <row r="139" spans="1:16" x14ac:dyDescent="0.3">
      <c r="A139" s="4">
        <f>Raw_Production!A139</f>
        <v>46049</v>
      </c>
      <c r="B139" s="3" t="str">
        <f>Raw_Production!C139</f>
        <v>Finishing</v>
      </c>
      <c r="C139" s="3" t="str">
        <f>Raw_Production!D139</f>
        <v>T05</v>
      </c>
      <c r="D139" s="3" t="str">
        <f>Raw_Production!P139</f>
        <v>ST-102</v>
      </c>
      <c r="E139" s="3" t="str">
        <f>Raw_Production!O139</f>
        <v>Polo</v>
      </c>
      <c r="F139" s="6">
        <f>Raw_Production!G139</f>
        <v>0.82</v>
      </c>
      <c r="G139" s="6">
        <f>Raw_Production!N139</f>
        <v>0.67</v>
      </c>
      <c r="H139" s="6">
        <f t="shared" si="2"/>
        <v>-0.14999999999999991</v>
      </c>
      <c r="I139" s="3">
        <f>Raw_Production!I139</f>
        <v>200</v>
      </c>
      <c r="J139" s="3">
        <f>Raw_Production!J139</f>
        <v>124</v>
      </c>
      <c r="K139" s="3">
        <f>Raw_Production!L139</f>
        <v>8</v>
      </c>
      <c r="L139" s="3">
        <f>Raw_Production!M139</f>
        <v>1</v>
      </c>
      <c r="M139" s="3">
        <f>Raw_Production!F139</f>
        <v>2</v>
      </c>
      <c r="N139" s="3">
        <f>Raw_Production!K139</f>
        <v>3071</v>
      </c>
      <c r="O139" s="3">
        <f>Raw_Production!H139</f>
        <v>18.2</v>
      </c>
      <c r="P139" s="3">
        <f>Raw_Production!E139</f>
        <v>25</v>
      </c>
    </row>
    <row r="140" spans="1:16" x14ac:dyDescent="0.3">
      <c r="A140" s="4">
        <f>Raw_Production!A140</f>
        <v>46050</v>
      </c>
      <c r="B140" s="3" t="str">
        <f>Raw_Production!C140</f>
        <v>Cutting</v>
      </c>
      <c r="C140" s="3" t="str">
        <f>Raw_Production!D140</f>
        <v>T01</v>
      </c>
      <c r="D140" s="3" t="str">
        <f>Raw_Production!P140</f>
        <v>ST-105</v>
      </c>
      <c r="E140" s="3" t="str">
        <f>Raw_Production!O140</f>
        <v>Jacket</v>
      </c>
      <c r="F140" s="6">
        <f>Raw_Production!G140</f>
        <v>0.76</v>
      </c>
      <c r="G140" s="6">
        <f>Raw_Production!N140</f>
        <v>0.59</v>
      </c>
      <c r="H140" s="6">
        <f t="shared" si="2"/>
        <v>-0.17000000000000004</v>
      </c>
      <c r="I140" s="3">
        <f>Raw_Production!I140</f>
        <v>341</v>
      </c>
      <c r="J140" s="3">
        <f>Raw_Production!J140</f>
        <v>46</v>
      </c>
      <c r="K140" s="3">
        <f>Raw_Production!L140</f>
        <v>46</v>
      </c>
      <c r="L140" s="3">
        <f>Raw_Production!M140</f>
        <v>3</v>
      </c>
      <c r="M140" s="3">
        <f>Raw_Production!F140</f>
        <v>0</v>
      </c>
      <c r="N140" s="3">
        <f>Raw_Production!K140</f>
        <v>3855</v>
      </c>
      <c r="O140" s="3">
        <f>Raw_Production!H140</f>
        <v>12.8</v>
      </c>
      <c r="P140" s="3">
        <f>Raw_Production!E140</f>
        <v>34</v>
      </c>
    </row>
    <row r="141" spans="1:16" x14ac:dyDescent="0.3">
      <c r="A141" s="4">
        <f>Raw_Production!A141</f>
        <v>46050</v>
      </c>
      <c r="B141" s="3" t="str">
        <f>Raw_Production!C141</f>
        <v>Cutting</v>
      </c>
      <c r="C141" s="3" t="str">
        <f>Raw_Production!D141</f>
        <v>T06</v>
      </c>
      <c r="D141" s="3" t="str">
        <f>Raw_Production!P141</f>
        <v>ST-105</v>
      </c>
      <c r="E141" s="3" t="str">
        <f>Raw_Production!O141</f>
        <v>Jacket</v>
      </c>
      <c r="F141" s="6">
        <f>Raw_Production!G141</f>
        <v>0.83</v>
      </c>
      <c r="G141" s="6">
        <f>Raw_Production!N141</f>
        <v>0.66</v>
      </c>
      <c r="H141" s="6">
        <f t="shared" si="2"/>
        <v>-0.16999999999999993</v>
      </c>
      <c r="I141" s="3">
        <f>Raw_Production!I141</f>
        <v>426</v>
      </c>
      <c r="J141" s="3">
        <f>Raw_Production!J141</f>
        <v>90</v>
      </c>
      <c r="K141" s="3">
        <f>Raw_Production!L141</f>
        <v>8</v>
      </c>
      <c r="L141" s="3">
        <f>Raw_Production!M141</f>
        <v>3</v>
      </c>
      <c r="M141" s="3">
        <f>Raw_Production!F141</f>
        <v>2</v>
      </c>
      <c r="N141" s="3">
        <f>Raw_Production!K141</f>
        <v>2212</v>
      </c>
      <c r="O141" s="3">
        <f>Raw_Production!H141</f>
        <v>15.3</v>
      </c>
      <c r="P141" s="3">
        <f>Raw_Production!E141</f>
        <v>30</v>
      </c>
    </row>
    <row r="142" spans="1:16" x14ac:dyDescent="0.3">
      <c r="A142" s="4">
        <f>Raw_Production!A142</f>
        <v>46050</v>
      </c>
      <c r="B142" s="3" t="str">
        <f>Raw_Production!C142</f>
        <v>Sewing</v>
      </c>
      <c r="C142" s="3" t="str">
        <f>Raw_Production!D142</f>
        <v>T02</v>
      </c>
      <c r="D142" s="3" t="str">
        <f>Raw_Production!P142</f>
        <v>ST-107</v>
      </c>
      <c r="E142" s="3" t="str">
        <f>Raw_Production!O142</f>
        <v>Polo</v>
      </c>
      <c r="F142" s="6">
        <f>Raw_Production!G142</f>
        <v>0.78</v>
      </c>
      <c r="G142" s="6">
        <f>Raw_Production!N142</f>
        <v>0.76</v>
      </c>
      <c r="H142" s="6">
        <f t="shared" si="2"/>
        <v>-2.0000000000000018E-2</v>
      </c>
      <c r="I142" s="3">
        <f>Raw_Production!I142</f>
        <v>199</v>
      </c>
      <c r="J142" s="3">
        <f>Raw_Production!J142</f>
        <v>81</v>
      </c>
      <c r="K142" s="3">
        <f>Raw_Production!L142</f>
        <v>43</v>
      </c>
      <c r="L142" s="3">
        <f>Raw_Production!M142</f>
        <v>2</v>
      </c>
      <c r="M142" s="3">
        <f>Raw_Production!F142</f>
        <v>0</v>
      </c>
      <c r="N142" s="3">
        <f>Raw_Production!K142</f>
        <v>370</v>
      </c>
      <c r="O142" s="3">
        <f>Raw_Production!H142</f>
        <v>13.4</v>
      </c>
      <c r="P142" s="3">
        <f>Raw_Production!E142</f>
        <v>31</v>
      </c>
    </row>
    <row r="143" spans="1:16" x14ac:dyDescent="0.3">
      <c r="A143" s="4">
        <f>Raw_Production!A143</f>
        <v>46050</v>
      </c>
      <c r="B143" s="3" t="str">
        <f>Raw_Production!C143</f>
        <v>Sewing</v>
      </c>
      <c r="C143" s="3" t="str">
        <f>Raw_Production!D143</f>
        <v>T03</v>
      </c>
      <c r="D143" s="3" t="str">
        <f>Raw_Production!P143</f>
        <v>ST-102</v>
      </c>
      <c r="E143" s="3" t="str">
        <f>Raw_Production!O143</f>
        <v>Polo</v>
      </c>
      <c r="F143" s="6">
        <f>Raw_Production!G143</f>
        <v>0.79</v>
      </c>
      <c r="G143" s="6">
        <f>Raw_Production!N143</f>
        <v>0.61</v>
      </c>
      <c r="H143" s="6">
        <f t="shared" si="2"/>
        <v>-0.18000000000000005</v>
      </c>
      <c r="I143" s="3">
        <f>Raw_Production!I143</f>
        <v>349</v>
      </c>
      <c r="J143" s="3">
        <f>Raw_Production!J143</f>
        <v>59</v>
      </c>
      <c r="K143" s="3">
        <f>Raw_Production!L143</f>
        <v>67</v>
      </c>
      <c r="L143" s="3">
        <f>Raw_Production!M143</f>
        <v>7</v>
      </c>
      <c r="M143" s="3">
        <f>Raw_Production!F143</f>
        <v>0</v>
      </c>
      <c r="N143" s="3">
        <f>Raw_Production!K143</f>
        <v>857</v>
      </c>
      <c r="O143" s="3">
        <f>Raw_Production!H143</f>
        <v>12.8</v>
      </c>
      <c r="P143" s="3">
        <f>Raw_Production!E143</f>
        <v>38</v>
      </c>
    </row>
    <row r="144" spans="1:16" x14ac:dyDescent="0.3">
      <c r="A144" s="4">
        <f>Raw_Production!A144</f>
        <v>46050</v>
      </c>
      <c r="B144" s="3" t="str">
        <f>Raw_Production!C144</f>
        <v>Finishing</v>
      </c>
      <c r="C144" s="3" t="str">
        <f>Raw_Production!D144</f>
        <v>T04</v>
      </c>
      <c r="D144" s="3" t="str">
        <f>Raw_Production!P144</f>
        <v>ST-108</v>
      </c>
      <c r="E144" s="3" t="str">
        <f>Raw_Production!O144</f>
        <v>Hoodie</v>
      </c>
      <c r="F144" s="6">
        <f>Raw_Production!G144</f>
        <v>0.75</v>
      </c>
      <c r="G144" s="6">
        <f>Raw_Production!N144</f>
        <v>0.53</v>
      </c>
      <c r="H144" s="6">
        <f t="shared" si="2"/>
        <v>-0.21999999999999997</v>
      </c>
      <c r="I144" s="3">
        <f>Raw_Production!I144</f>
        <v>340</v>
      </c>
      <c r="J144" s="3">
        <f>Raw_Production!J144</f>
        <v>110</v>
      </c>
      <c r="K144" s="3">
        <f>Raw_Production!L144</f>
        <v>66</v>
      </c>
      <c r="L144" s="3">
        <f>Raw_Production!M144</f>
        <v>8</v>
      </c>
      <c r="M144" s="3">
        <f>Raw_Production!F144</f>
        <v>3</v>
      </c>
      <c r="N144" s="3">
        <f>Raw_Production!K144</f>
        <v>1380</v>
      </c>
      <c r="O144" s="3">
        <f>Raw_Production!H144</f>
        <v>10.6</v>
      </c>
      <c r="P144" s="3">
        <f>Raw_Production!E144</f>
        <v>38</v>
      </c>
    </row>
    <row r="145" spans="1:16" x14ac:dyDescent="0.3">
      <c r="A145" s="4">
        <f>Raw_Production!A145</f>
        <v>46050</v>
      </c>
      <c r="B145" s="3" t="str">
        <f>Raw_Production!C145</f>
        <v>Finishing</v>
      </c>
      <c r="C145" s="3" t="str">
        <f>Raw_Production!D145</f>
        <v>T05</v>
      </c>
      <c r="D145" s="3" t="str">
        <f>Raw_Production!P145</f>
        <v>ST-103</v>
      </c>
      <c r="E145" s="3" t="str">
        <f>Raw_Production!O145</f>
        <v>Hoodie</v>
      </c>
      <c r="F145" s="6">
        <f>Raw_Production!G145</f>
        <v>0.77</v>
      </c>
      <c r="G145" s="6">
        <f>Raw_Production!N145</f>
        <v>0.64</v>
      </c>
      <c r="H145" s="6">
        <f t="shared" si="2"/>
        <v>-0.13</v>
      </c>
      <c r="I145" s="3">
        <f>Raw_Production!I145</f>
        <v>384</v>
      </c>
      <c r="J145" s="3">
        <f>Raw_Production!J145</f>
        <v>110</v>
      </c>
      <c r="K145" s="3">
        <f>Raw_Production!L145</f>
        <v>35</v>
      </c>
      <c r="L145" s="3">
        <f>Raw_Production!M145</f>
        <v>0</v>
      </c>
      <c r="M145" s="3">
        <f>Raw_Production!F145</f>
        <v>1</v>
      </c>
      <c r="N145" s="3">
        <f>Raw_Production!K145</f>
        <v>850</v>
      </c>
      <c r="O145" s="3">
        <f>Raw_Production!H145</f>
        <v>9.6</v>
      </c>
      <c r="P145" s="3">
        <f>Raw_Production!E145</f>
        <v>24</v>
      </c>
    </row>
    <row r="146" spans="1:16" x14ac:dyDescent="0.3">
      <c r="A146" s="4">
        <f>Raw_Production!A146</f>
        <v>46051</v>
      </c>
      <c r="B146" s="3" t="str">
        <f>Raw_Production!C146</f>
        <v>Cutting</v>
      </c>
      <c r="C146" s="3" t="str">
        <f>Raw_Production!D146</f>
        <v>T01</v>
      </c>
      <c r="D146" s="3" t="str">
        <f>Raw_Production!P146</f>
        <v>ST-110</v>
      </c>
      <c r="E146" s="3" t="str">
        <f>Raw_Production!O146</f>
        <v>Jacket</v>
      </c>
      <c r="F146" s="6">
        <f>Raw_Production!G146</f>
        <v>0.87</v>
      </c>
      <c r="G146" s="6">
        <f>Raw_Production!N146</f>
        <v>0.89</v>
      </c>
      <c r="H146" s="6">
        <f t="shared" si="2"/>
        <v>2.0000000000000018E-2</v>
      </c>
      <c r="I146" s="3">
        <f>Raw_Production!I146</f>
        <v>386</v>
      </c>
      <c r="J146" s="3">
        <f>Raw_Production!J146</f>
        <v>122</v>
      </c>
      <c r="K146" s="3">
        <f>Raw_Production!L146</f>
        <v>24</v>
      </c>
      <c r="L146" s="3">
        <f>Raw_Production!M146</f>
        <v>5</v>
      </c>
      <c r="M146" s="3">
        <f>Raw_Production!F146</f>
        <v>0</v>
      </c>
      <c r="N146" s="3">
        <f>Raw_Production!K146</f>
        <v>3278</v>
      </c>
      <c r="O146" s="3">
        <f>Raw_Production!H146</f>
        <v>11.6</v>
      </c>
      <c r="P146" s="3">
        <f>Raw_Production!E146</f>
        <v>31</v>
      </c>
    </row>
    <row r="147" spans="1:16" x14ac:dyDescent="0.3">
      <c r="A147" s="4">
        <f>Raw_Production!A147</f>
        <v>46051</v>
      </c>
      <c r="B147" s="3" t="str">
        <f>Raw_Production!C147</f>
        <v>Cutting</v>
      </c>
      <c r="C147" s="3" t="str">
        <f>Raw_Production!D147</f>
        <v>T06</v>
      </c>
      <c r="D147" s="3" t="str">
        <f>Raw_Production!P147</f>
        <v>ST-109</v>
      </c>
      <c r="E147" s="3" t="str">
        <f>Raw_Production!O147</f>
        <v>Shirt</v>
      </c>
      <c r="F147" s="6">
        <f>Raw_Production!G147</f>
        <v>0.79</v>
      </c>
      <c r="G147" s="6">
        <f>Raw_Production!N147</f>
        <v>0.73</v>
      </c>
      <c r="H147" s="6">
        <f t="shared" si="2"/>
        <v>-6.0000000000000053E-2</v>
      </c>
      <c r="I147" s="3">
        <f>Raw_Production!I147</f>
        <v>340</v>
      </c>
      <c r="J147" s="3">
        <f>Raw_Production!J147</f>
        <v>32</v>
      </c>
      <c r="K147" s="3">
        <f>Raw_Production!L147</f>
        <v>85</v>
      </c>
      <c r="L147" s="3">
        <f>Raw_Production!M147</f>
        <v>0</v>
      </c>
      <c r="M147" s="3">
        <f>Raw_Production!F147</f>
        <v>3</v>
      </c>
      <c r="N147" s="3">
        <f>Raw_Production!K147</f>
        <v>38</v>
      </c>
      <c r="O147" s="3">
        <f>Raw_Production!H147</f>
        <v>17.899999999999999</v>
      </c>
      <c r="P147" s="3">
        <f>Raw_Production!E147</f>
        <v>26</v>
      </c>
    </row>
    <row r="148" spans="1:16" x14ac:dyDescent="0.3">
      <c r="A148" s="4">
        <f>Raw_Production!A148</f>
        <v>46051</v>
      </c>
      <c r="B148" s="3" t="str">
        <f>Raw_Production!C148</f>
        <v>Sewing</v>
      </c>
      <c r="C148" s="3" t="str">
        <f>Raw_Production!D148</f>
        <v>T02</v>
      </c>
      <c r="D148" s="3" t="str">
        <f>Raw_Production!P148</f>
        <v>ST-103</v>
      </c>
      <c r="E148" s="3" t="str">
        <f>Raw_Production!O148</f>
        <v>Hoodie</v>
      </c>
      <c r="F148" s="6">
        <f>Raw_Production!G148</f>
        <v>0.76</v>
      </c>
      <c r="G148" s="6">
        <f>Raw_Production!N148</f>
        <v>0.81</v>
      </c>
      <c r="H148" s="6">
        <f t="shared" si="2"/>
        <v>5.0000000000000044E-2</v>
      </c>
      <c r="I148" s="3">
        <f>Raw_Production!I148</f>
        <v>37</v>
      </c>
      <c r="J148" s="3">
        <f>Raw_Production!J148</f>
        <v>30</v>
      </c>
      <c r="K148" s="3">
        <f>Raw_Production!L148</f>
        <v>91</v>
      </c>
      <c r="L148" s="3">
        <f>Raw_Production!M148</f>
        <v>7</v>
      </c>
      <c r="M148" s="3">
        <f>Raw_Production!F148</f>
        <v>0</v>
      </c>
      <c r="N148" s="3">
        <f>Raw_Production!K148</f>
        <v>1520</v>
      </c>
      <c r="O148" s="3">
        <f>Raw_Production!H148</f>
        <v>11.1</v>
      </c>
      <c r="P148" s="3">
        <f>Raw_Production!E148</f>
        <v>34</v>
      </c>
    </row>
    <row r="149" spans="1:16" x14ac:dyDescent="0.3">
      <c r="A149" s="4">
        <f>Raw_Production!A149</f>
        <v>46051</v>
      </c>
      <c r="B149" s="3" t="str">
        <f>Raw_Production!C149</f>
        <v>Sewing</v>
      </c>
      <c r="C149" s="3" t="str">
        <f>Raw_Production!D149</f>
        <v>T03</v>
      </c>
      <c r="D149" s="3" t="str">
        <f>Raw_Production!P149</f>
        <v>ST-110</v>
      </c>
      <c r="E149" s="3" t="str">
        <f>Raw_Production!O149</f>
        <v>Jacket</v>
      </c>
      <c r="F149" s="6">
        <f>Raw_Production!G149</f>
        <v>0.72</v>
      </c>
      <c r="G149" s="6">
        <f>Raw_Production!N149</f>
        <v>0.56999999999999995</v>
      </c>
      <c r="H149" s="6">
        <f t="shared" si="2"/>
        <v>-0.15000000000000002</v>
      </c>
      <c r="I149" s="3">
        <f>Raw_Production!I149</f>
        <v>399</v>
      </c>
      <c r="J149" s="3">
        <f>Raw_Production!J149</f>
        <v>146</v>
      </c>
      <c r="K149" s="3">
        <f>Raw_Production!L149</f>
        <v>115</v>
      </c>
      <c r="L149" s="3">
        <f>Raw_Production!M149</f>
        <v>2</v>
      </c>
      <c r="M149" s="3">
        <f>Raw_Production!F149</f>
        <v>0</v>
      </c>
      <c r="N149" s="3">
        <f>Raw_Production!K149</f>
        <v>3836</v>
      </c>
      <c r="O149" s="3">
        <f>Raw_Production!H149</f>
        <v>17.3</v>
      </c>
      <c r="P149" s="3">
        <f>Raw_Production!E149</f>
        <v>27</v>
      </c>
    </row>
    <row r="150" spans="1:16" x14ac:dyDescent="0.3">
      <c r="A150" s="4">
        <f>Raw_Production!A150</f>
        <v>46051</v>
      </c>
      <c r="B150" s="3" t="str">
        <f>Raw_Production!C150</f>
        <v>Finishing</v>
      </c>
      <c r="C150" s="3" t="str">
        <f>Raw_Production!D150</f>
        <v>T04</v>
      </c>
      <c r="D150" s="3" t="str">
        <f>Raw_Production!P150</f>
        <v>ST-106</v>
      </c>
      <c r="E150" s="3" t="str">
        <f>Raw_Production!O150</f>
        <v>T-Shirt</v>
      </c>
      <c r="F150" s="6">
        <f>Raw_Production!G150</f>
        <v>0.73</v>
      </c>
      <c r="G150" s="6">
        <f>Raw_Production!N150</f>
        <v>0.67</v>
      </c>
      <c r="H150" s="6">
        <f t="shared" si="2"/>
        <v>-5.9999999999999942E-2</v>
      </c>
      <c r="I150" s="3">
        <f>Raw_Production!I150</f>
        <v>233</v>
      </c>
      <c r="J150" s="3">
        <f>Raw_Production!J150</f>
        <v>128</v>
      </c>
      <c r="K150" s="3">
        <f>Raw_Production!L150</f>
        <v>56</v>
      </c>
      <c r="L150" s="3">
        <f>Raw_Production!M150</f>
        <v>0</v>
      </c>
      <c r="M150" s="3">
        <f>Raw_Production!F150</f>
        <v>0</v>
      </c>
      <c r="N150" s="3">
        <f>Raw_Production!K150</f>
        <v>4407</v>
      </c>
      <c r="O150" s="3">
        <f>Raw_Production!H150</f>
        <v>14.3</v>
      </c>
      <c r="P150" s="3">
        <f>Raw_Production!E150</f>
        <v>29</v>
      </c>
    </row>
    <row r="151" spans="1:16" x14ac:dyDescent="0.3">
      <c r="A151" s="4">
        <f>Raw_Production!A151</f>
        <v>46051</v>
      </c>
      <c r="B151" s="3" t="str">
        <f>Raw_Production!C151</f>
        <v>Finishing</v>
      </c>
      <c r="C151" s="3" t="str">
        <f>Raw_Production!D151</f>
        <v>T05</v>
      </c>
      <c r="D151" s="3" t="str">
        <f>Raw_Production!P151</f>
        <v>ST-109</v>
      </c>
      <c r="E151" s="3" t="str">
        <f>Raw_Production!O151</f>
        <v>Shirt</v>
      </c>
      <c r="F151" s="6">
        <f>Raw_Production!G151</f>
        <v>0.89</v>
      </c>
      <c r="G151" s="6">
        <f>Raw_Production!N151</f>
        <v>0.88</v>
      </c>
      <c r="H151" s="6">
        <f t="shared" si="2"/>
        <v>-1.0000000000000009E-2</v>
      </c>
      <c r="I151" s="3">
        <f>Raw_Production!I151</f>
        <v>295</v>
      </c>
      <c r="J151" s="3">
        <f>Raw_Production!J151</f>
        <v>15</v>
      </c>
      <c r="K151" s="3">
        <f>Raw_Production!L151</f>
        <v>4</v>
      </c>
      <c r="L151" s="3">
        <f>Raw_Production!M151</f>
        <v>3</v>
      </c>
      <c r="M151" s="3">
        <f>Raw_Production!F151</f>
        <v>0</v>
      </c>
      <c r="N151" s="3">
        <f>Raw_Production!K151</f>
        <v>1589</v>
      </c>
      <c r="O151" s="3">
        <f>Raw_Production!H151</f>
        <v>13.6</v>
      </c>
      <c r="P151" s="3">
        <f>Raw_Production!E151</f>
        <v>25</v>
      </c>
    </row>
    <row r="152" spans="1:16" x14ac:dyDescent="0.3">
      <c r="A152" s="4">
        <f>Raw_Production!A152</f>
        <v>46052</v>
      </c>
      <c r="B152" s="3" t="str">
        <f>Raw_Production!C152</f>
        <v>Cutting</v>
      </c>
      <c r="C152" s="3" t="str">
        <f>Raw_Production!D152</f>
        <v>T01</v>
      </c>
      <c r="D152" s="3" t="str">
        <f>Raw_Production!P152</f>
        <v>ST-105</v>
      </c>
      <c r="E152" s="3" t="str">
        <f>Raw_Production!O152</f>
        <v>Jacket</v>
      </c>
      <c r="F152" s="6">
        <f>Raw_Production!G152</f>
        <v>0.79</v>
      </c>
      <c r="G152" s="6">
        <f>Raw_Production!N152</f>
        <v>0.78</v>
      </c>
      <c r="H152" s="6">
        <f t="shared" si="2"/>
        <v>-1.0000000000000009E-2</v>
      </c>
      <c r="I152" s="3">
        <f>Raw_Production!I152</f>
        <v>77</v>
      </c>
      <c r="J152" s="3">
        <f>Raw_Production!J152</f>
        <v>127</v>
      </c>
      <c r="K152" s="3">
        <f>Raw_Production!L152</f>
        <v>17</v>
      </c>
      <c r="L152" s="3">
        <f>Raw_Production!M152</f>
        <v>2</v>
      </c>
      <c r="M152" s="3">
        <f>Raw_Production!F152</f>
        <v>0</v>
      </c>
      <c r="N152" s="3">
        <f>Raw_Production!K152</f>
        <v>3789</v>
      </c>
      <c r="O152" s="3">
        <f>Raw_Production!H152</f>
        <v>11.1</v>
      </c>
      <c r="P152" s="3">
        <f>Raw_Production!E152</f>
        <v>32</v>
      </c>
    </row>
    <row r="153" spans="1:16" x14ac:dyDescent="0.3">
      <c r="A153" s="4">
        <f>Raw_Production!A153</f>
        <v>46052</v>
      </c>
      <c r="B153" s="3" t="str">
        <f>Raw_Production!C153</f>
        <v>Cutting</v>
      </c>
      <c r="C153" s="3" t="str">
        <f>Raw_Production!D153</f>
        <v>T06</v>
      </c>
      <c r="D153" s="3" t="str">
        <f>Raw_Production!P153</f>
        <v>ST-108</v>
      </c>
      <c r="E153" s="3" t="str">
        <f>Raw_Production!O153</f>
        <v>Hoodie</v>
      </c>
      <c r="F153" s="6">
        <f>Raw_Production!G153</f>
        <v>0.79</v>
      </c>
      <c r="G153" s="6">
        <f>Raw_Production!N153</f>
        <v>0.87</v>
      </c>
      <c r="H153" s="6">
        <f t="shared" si="2"/>
        <v>7.999999999999996E-2</v>
      </c>
      <c r="I153" s="3">
        <f>Raw_Production!I153</f>
        <v>284</v>
      </c>
      <c r="J153" s="3">
        <f>Raw_Production!J153</f>
        <v>118</v>
      </c>
      <c r="K153" s="3">
        <f>Raw_Production!L153</f>
        <v>14</v>
      </c>
      <c r="L153" s="3">
        <f>Raw_Production!M153</f>
        <v>2</v>
      </c>
      <c r="M153" s="3">
        <f>Raw_Production!F153</f>
        <v>1</v>
      </c>
      <c r="N153" s="3">
        <f>Raw_Production!K153</f>
        <v>1601</v>
      </c>
      <c r="O153" s="3">
        <f>Raw_Production!H153</f>
        <v>10.4</v>
      </c>
      <c r="P153" s="3">
        <f>Raw_Production!E153</f>
        <v>25</v>
      </c>
    </row>
    <row r="154" spans="1:16" x14ac:dyDescent="0.3">
      <c r="A154" s="4">
        <f>Raw_Production!A154</f>
        <v>46052</v>
      </c>
      <c r="B154" s="3" t="str">
        <f>Raw_Production!C154</f>
        <v>Sewing</v>
      </c>
      <c r="C154" s="3" t="str">
        <f>Raw_Production!D154</f>
        <v>T02</v>
      </c>
      <c r="D154" s="3" t="str">
        <f>Raw_Production!P154</f>
        <v>ST-110</v>
      </c>
      <c r="E154" s="3" t="str">
        <f>Raw_Production!O154</f>
        <v>Jacket</v>
      </c>
      <c r="F154" s="6">
        <f>Raw_Production!G154</f>
        <v>0.78</v>
      </c>
      <c r="G154" s="6">
        <f>Raw_Production!N154</f>
        <v>0.75</v>
      </c>
      <c r="H154" s="6">
        <f t="shared" si="2"/>
        <v>-3.0000000000000027E-2</v>
      </c>
      <c r="I154" s="3">
        <f>Raw_Production!I154</f>
        <v>115</v>
      </c>
      <c r="J154" s="3">
        <f>Raw_Production!J154</f>
        <v>63</v>
      </c>
      <c r="K154" s="3">
        <f>Raw_Production!L154</f>
        <v>119</v>
      </c>
      <c r="L154" s="3">
        <f>Raw_Production!M154</f>
        <v>5</v>
      </c>
      <c r="M154" s="3">
        <f>Raw_Production!F154</f>
        <v>2</v>
      </c>
      <c r="N154" s="3">
        <f>Raw_Production!K154</f>
        <v>2737</v>
      </c>
      <c r="O154" s="3">
        <f>Raw_Production!H154</f>
        <v>8.6</v>
      </c>
      <c r="P154" s="3">
        <f>Raw_Production!E154</f>
        <v>29</v>
      </c>
    </row>
    <row r="155" spans="1:16" x14ac:dyDescent="0.3">
      <c r="A155" s="4">
        <f>Raw_Production!A155</f>
        <v>46052</v>
      </c>
      <c r="B155" s="3" t="str">
        <f>Raw_Production!C155</f>
        <v>Sewing</v>
      </c>
      <c r="C155" s="3" t="str">
        <f>Raw_Production!D155</f>
        <v>T03</v>
      </c>
      <c r="D155" s="3" t="str">
        <f>Raw_Production!P155</f>
        <v>ST-105</v>
      </c>
      <c r="E155" s="3" t="str">
        <f>Raw_Production!O155</f>
        <v>Jacket</v>
      </c>
      <c r="F155" s="6">
        <f>Raw_Production!G155</f>
        <v>0.81</v>
      </c>
      <c r="G155" s="6">
        <f>Raw_Production!N155</f>
        <v>0.66</v>
      </c>
      <c r="H155" s="6">
        <f t="shared" si="2"/>
        <v>-0.15000000000000002</v>
      </c>
      <c r="I155" s="3">
        <f>Raw_Production!I155</f>
        <v>129</v>
      </c>
      <c r="J155" s="3">
        <f>Raw_Production!J155</f>
        <v>110</v>
      </c>
      <c r="K155" s="3">
        <f>Raw_Production!L155</f>
        <v>53</v>
      </c>
      <c r="L155" s="3">
        <f>Raw_Production!M155</f>
        <v>2</v>
      </c>
      <c r="M155" s="3">
        <f>Raw_Production!F155</f>
        <v>3</v>
      </c>
      <c r="N155" s="3">
        <f>Raw_Production!K155</f>
        <v>147</v>
      </c>
      <c r="O155" s="3">
        <f>Raw_Production!H155</f>
        <v>8.6</v>
      </c>
      <c r="P155" s="3">
        <f>Raw_Production!E155</f>
        <v>31</v>
      </c>
    </row>
    <row r="156" spans="1:16" x14ac:dyDescent="0.3">
      <c r="A156" s="4">
        <f>Raw_Production!A156</f>
        <v>46052</v>
      </c>
      <c r="B156" s="3" t="str">
        <f>Raw_Production!C156</f>
        <v>Finishing</v>
      </c>
      <c r="C156" s="3" t="str">
        <f>Raw_Production!D156</f>
        <v>T04</v>
      </c>
      <c r="D156" s="3" t="str">
        <f>Raw_Production!P156</f>
        <v>ST-105</v>
      </c>
      <c r="E156" s="3" t="str">
        <f>Raw_Production!O156</f>
        <v>Jacket</v>
      </c>
      <c r="F156" s="6">
        <f>Raw_Production!G156</f>
        <v>0.89</v>
      </c>
      <c r="G156" s="6">
        <f>Raw_Production!N156</f>
        <v>0.67</v>
      </c>
      <c r="H156" s="6">
        <f t="shared" si="2"/>
        <v>-0.21999999999999997</v>
      </c>
      <c r="I156" s="3">
        <f>Raw_Production!I156</f>
        <v>60</v>
      </c>
      <c r="J156" s="3">
        <f>Raw_Production!J156</f>
        <v>5</v>
      </c>
      <c r="K156" s="3">
        <f>Raw_Production!L156</f>
        <v>117</v>
      </c>
      <c r="L156" s="3">
        <f>Raw_Production!M156</f>
        <v>2</v>
      </c>
      <c r="M156" s="3">
        <f>Raw_Production!F156</f>
        <v>2</v>
      </c>
      <c r="N156" s="3">
        <f>Raw_Production!K156</f>
        <v>2639</v>
      </c>
      <c r="O156" s="3">
        <f>Raw_Production!H156</f>
        <v>15.1</v>
      </c>
      <c r="P156" s="3">
        <f>Raw_Production!E156</f>
        <v>36</v>
      </c>
    </row>
    <row r="157" spans="1:16" x14ac:dyDescent="0.3">
      <c r="A157" s="4">
        <f>Raw_Production!A157</f>
        <v>46052</v>
      </c>
      <c r="B157" s="3" t="str">
        <f>Raw_Production!C157</f>
        <v>Finishing</v>
      </c>
      <c r="C157" s="3" t="str">
        <f>Raw_Production!D157</f>
        <v>T05</v>
      </c>
      <c r="D157" s="3" t="str">
        <f>Raw_Production!P157</f>
        <v>ST-105</v>
      </c>
      <c r="E157" s="3" t="str">
        <f>Raw_Production!O157</f>
        <v>Jacket</v>
      </c>
      <c r="F157" s="6">
        <f>Raw_Production!G157</f>
        <v>0.76</v>
      </c>
      <c r="G157" s="6">
        <f>Raw_Production!N157</f>
        <v>0.78</v>
      </c>
      <c r="H157" s="6">
        <f t="shared" si="2"/>
        <v>2.0000000000000018E-2</v>
      </c>
      <c r="I157" s="3">
        <f>Raw_Production!I157</f>
        <v>442</v>
      </c>
      <c r="J157" s="3">
        <f>Raw_Production!J157</f>
        <v>147</v>
      </c>
      <c r="K157" s="3">
        <f>Raw_Production!L157</f>
        <v>97</v>
      </c>
      <c r="L157" s="3">
        <f>Raw_Production!M157</f>
        <v>0</v>
      </c>
      <c r="M157" s="3">
        <f>Raw_Production!F157</f>
        <v>0</v>
      </c>
      <c r="N157" s="3">
        <f>Raw_Production!K157</f>
        <v>2054</v>
      </c>
      <c r="O157" s="3">
        <f>Raw_Production!H157</f>
        <v>15</v>
      </c>
      <c r="P157" s="3">
        <f>Raw_Production!E157</f>
        <v>21</v>
      </c>
    </row>
    <row r="158" spans="1:16" x14ac:dyDescent="0.3">
      <c r="A158" s="4">
        <f>Raw_Production!A158</f>
        <v>46053</v>
      </c>
      <c r="B158" s="3" t="str">
        <f>Raw_Production!C158</f>
        <v>Cutting</v>
      </c>
      <c r="C158" s="3" t="str">
        <f>Raw_Production!D158</f>
        <v>T01</v>
      </c>
      <c r="D158" s="3" t="str">
        <f>Raw_Production!P158</f>
        <v>ST-107</v>
      </c>
      <c r="E158" s="3" t="str">
        <f>Raw_Production!O158</f>
        <v>Polo</v>
      </c>
      <c r="F158" s="6">
        <f>Raw_Production!G158</f>
        <v>0.81</v>
      </c>
      <c r="G158" s="6">
        <f>Raw_Production!N158</f>
        <v>0.74</v>
      </c>
      <c r="H158" s="6">
        <f t="shared" si="2"/>
        <v>-7.0000000000000062E-2</v>
      </c>
      <c r="I158" s="3">
        <f>Raw_Production!I158</f>
        <v>181</v>
      </c>
      <c r="J158" s="3">
        <f>Raw_Production!J158</f>
        <v>72</v>
      </c>
      <c r="K158" s="3">
        <f>Raw_Production!L158</f>
        <v>70</v>
      </c>
      <c r="L158" s="3">
        <f>Raw_Production!M158</f>
        <v>4</v>
      </c>
      <c r="M158" s="3">
        <f>Raw_Production!F158</f>
        <v>2</v>
      </c>
      <c r="N158" s="3">
        <f>Raw_Production!K158</f>
        <v>687</v>
      </c>
      <c r="O158" s="3">
        <f>Raw_Production!H158</f>
        <v>12.2</v>
      </c>
      <c r="P158" s="3">
        <f>Raw_Production!E158</f>
        <v>34</v>
      </c>
    </row>
    <row r="159" spans="1:16" x14ac:dyDescent="0.3">
      <c r="A159" s="4">
        <f>Raw_Production!A159</f>
        <v>46053</v>
      </c>
      <c r="B159" s="3" t="str">
        <f>Raw_Production!C159</f>
        <v>Cutting</v>
      </c>
      <c r="C159" s="3" t="str">
        <f>Raw_Production!D159</f>
        <v>T06</v>
      </c>
      <c r="D159" s="3" t="str">
        <f>Raw_Production!P159</f>
        <v>ST-106</v>
      </c>
      <c r="E159" s="3" t="str">
        <f>Raw_Production!O159</f>
        <v>T-Shirt</v>
      </c>
      <c r="F159" s="6">
        <f>Raw_Production!G159</f>
        <v>0.76</v>
      </c>
      <c r="G159" s="6">
        <f>Raw_Production!N159</f>
        <v>0.66</v>
      </c>
      <c r="H159" s="6">
        <f t="shared" si="2"/>
        <v>-9.9999999999999978E-2</v>
      </c>
      <c r="I159" s="3">
        <f>Raw_Production!I159</f>
        <v>30</v>
      </c>
      <c r="J159" s="3">
        <f>Raw_Production!J159</f>
        <v>1</v>
      </c>
      <c r="K159" s="3">
        <f>Raw_Production!L159</f>
        <v>7</v>
      </c>
      <c r="L159" s="3">
        <f>Raw_Production!M159</f>
        <v>2</v>
      </c>
      <c r="M159" s="3">
        <f>Raw_Production!F159</f>
        <v>2</v>
      </c>
      <c r="N159" s="3">
        <f>Raw_Production!K159</f>
        <v>2580</v>
      </c>
      <c r="O159" s="3">
        <f>Raw_Production!H159</f>
        <v>8.8000000000000007</v>
      </c>
      <c r="P159" s="3">
        <f>Raw_Production!E159</f>
        <v>31</v>
      </c>
    </row>
    <row r="160" spans="1:16" x14ac:dyDescent="0.3">
      <c r="A160" s="4">
        <f>Raw_Production!A160</f>
        <v>46053</v>
      </c>
      <c r="B160" s="3" t="str">
        <f>Raw_Production!C160</f>
        <v>Sewing</v>
      </c>
      <c r="C160" s="3" t="str">
        <f>Raw_Production!D160</f>
        <v>T02</v>
      </c>
      <c r="D160" s="3" t="str">
        <f>Raw_Production!P160</f>
        <v>ST-107</v>
      </c>
      <c r="E160" s="3" t="str">
        <f>Raw_Production!O160</f>
        <v>Polo</v>
      </c>
      <c r="F160" s="6">
        <f>Raw_Production!G160</f>
        <v>0.81</v>
      </c>
      <c r="G160" s="6">
        <f>Raw_Production!N160</f>
        <v>0.62</v>
      </c>
      <c r="H160" s="6">
        <f t="shared" si="2"/>
        <v>-0.19000000000000006</v>
      </c>
      <c r="I160" s="3">
        <f>Raw_Production!I160</f>
        <v>262</v>
      </c>
      <c r="J160" s="3">
        <f>Raw_Production!J160</f>
        <v>128</v>
      </c>
      <c r="K160" s="3">
        <f>Raw_Production!L160</f>
        <v>87</v>
      </c>
      <c r="L160" s="3">
        <f>Raw_Production!M160</f>
        <v>3</v>
      </c>
      <c r="M160" s="3">
        <f>Raw_Production!F160</f>
        <v>1</v>
      </c>
      <c r="N160" s="3">
        <f>Raw_Production!K160</f>
        <v>1779</v>
      </c>
      <c r="O160" s="3">
        <f>Raw_Production!H160</f>
        <v>10.1</v>
      </c>
      <c r="P160" s="3">
        <f>Raw_Production!E160</f>
        <v>35</v>
      </c>
    </row>
    <row r="161" spans="1:16" x14ac:dyDescent="0.3">
      <c r="A161" s="4">
        <f>Raw_Production!A161</f>
        <v>46053</v>
      </c>
      <c r="B161" s="3" t="str">
        <f>Raw_Production!C161</f>
        <v>Sewing</v>
      </c>
      <c r="C161" s="3" t="str">
        <f>Raw_Production!D161</f>
        <v>T03</v>
      </c>
      <c r="D161" s="3" t="str">
        <f>Raw_Production!P161</f>
        <v>ST-101</v>
      </c>
      <c r="E161" s="3" t="str">
        <f>Raw_Production!O161</f>
        <v>T-Shirt</v>
      </c>
      <c r="F161" s="6">
        <f>Raw_Production!G161</f>
        <v>0.85</v>
      </c>
      <c r="G161" s="6">
        <f>Raw_Production!N161</f>
        <v>0.88</v>
      </c>
      <c r="H161" s="6">
        <f t="shared" si="2"/>
        <v>3.0000000000000027E-2</v>
      </c>
      <c r="I161" s="3">
        <f>Raw_Production!I161</f>
        <v>56</v>
      </c>
      <c r="J161" s="3">
        <f>Raw_Production!J161</f>
        <v>18</v>
      </c>
      <c r="K161" s="3">
        <f>Raw_Production!L161</f>
        <v>21</v>
      </c>
      <c r="L161" s="3">
        <f>Raw_Production!M161</f>
        <v>1</v>
      </c>
      <c r="M161" s="3">
        <f>Raw_Production!F161</f>
        <v>0</v>
      </c>
      <c r="N161" s="3">
        <f>Raw_Production!K161</f>
        <v>1411</v>
      </c>
      <c r="O161" s="3">
        <f>Raw_Production!H161</f>
        <v>17.8</v>
      </c>
      <c r="P161" s="3">
        <f>Raw_Production!E161</f>
        <v>21</v>
      </c>
    </row>
    <row r="162" spans="1:16" x14ac:dyDescent="0.3">
      <c r="A162" s="4">
        <f>Raw_Production!A162</f>
        <v>46053</v>
      </c>
      <c r="B162" s="3" t="str">
        <f>Raw_Production!C162</f>
        <v>Finishing</v>
      </c>
      <c r="C162" s="3" t="str">
        <f>Raw_Production!D162</f>
        <v>T04</v>
      </c>
      <c r="D162" s="3" t="str">
        <f>Raw_Production!P162</f>
        <v>ST-108</v>
      </c>
      <c r="E162" s="3" t="str">
        <f>Raw_Production!O162</f>
        <v>Hoodie</v>
      </c>
      <c r="F162" s="6">
        <f>Raw_Production!G162</f>
        <v>0.78</v>
      </c>
      <c r="G162" s="6">
        <f>Raw_Production!N162</f>
        <v>0.74</v>
      </c>
      <c r="H162" s="6">
        <f t="shared" si="2"/>
        <v>-4.0000000000000036E-2</v>
      </c>
      <c r="I162" s="3">
        <f>Raw_Production!I162</f>
        <v>139</v>
      </c>
      <c r="J162" s="3">
        <f>Raw_Production!J162</f>
        <v>5</v>
      </c>
      <c r="K162" s="3">
        <f>Raw_Production!L162</f>
        <v>82</v>
      </c>
      <c r="L162" s="3">
        <f>Raw_Production!M162</f>
        <v>5</v>
      </c>
      <c r="M162" s="3">
        <f>Raw_Production!F162</f>
        <v>1</v>
      </c>
      <c r="N162" s="3">
        <f>Raw_Production!K162</f>
        <v>3970</v>
      </c>
      <c r="O162" s="3">
        <f>Raw_Production!H162</f>
        <v>12.5</v>
      </c>
      <c r="P162" s="3">
        <f>Raw_Production!E162</f>
        <v>24</v>
      </c>
    </row>
    <row r="163" spans="1:16" x14ac:dyDescent="0.3">
      <c r="A163" s="4">
        <f>Raw_Production!A163</f>
        <v>46053</v>
      </c>
      <c r="B163" s="3" t="str">
        <f>Raw_Production!C163</f>
        <v>Finishing</v>
      </c>
      <c r="C163" s="3" t="str">
        <f>Raw_Production!D163</f>
        <v>T05</v>
      </c>
      <c r="D163" s="3" t="str">
        <f>Raw_Production!P163</f>
        <v>ST-103</v>
      </c>
      <c r="E163" s="3" t="str">
        <f>Raw_Production!O163</f>
        <v>Hoodie</v>
      </c>
      <c r="F163" s="6">
        <f>Raw_Production!G163</f>
        <v>0.73</v>
      </c>
      <c r="G163" s="6">
        <f>Raw_Production!N163</f>
        <v>0.74</v>
      </c>
      <c r="H163" s="6">
        <f t="shared" si="2"/>
        <v>1.0000000000000009E-2</v>
      </c>
      <c r="I163" s="3">
        <f>Raw_Production!I163</f>
        <v>31</v>
      </c>
      <c r="J163" s="3">
        <f>Raw_Production!J163</f>
        <v>147</v>
      </c>
      <c r="K163" s="3">
        <f>Raw_Production!L163</f>
        <v>53</v>
      </c>
      <c r="L163" s="3">
        <f>Raw_Production!M163</f>
        <v>1</v>
      </c>
      <c r="M163" s="3">
        <f>Raw_Production!F163</f>
        <v>0</v>
      </c>
      <c r="N163" s="3">
        <f>Raw_Production!K163</f>
        <v>4</v>
      </c>
      <c r="O163" s="3">
        <f>Raw_Production!H163</f>
        <v>15.1</v>
      </c>
      <c r="P163" s="3">
        <f>Raw_Production!E163</f>
        <v>27</v>
      </c>
    </row>
    <row r="164" spans="1:16" x14ac:dyDescent="0.3">
      <c r="A164" s="4">
        <f>Raw_Production!A164</f>
        <v>46054</v>
      </c>
      <c r="B164" s="3" t="str">
        <f>Raw_Production!C164</f>
        <v>Cutting</v>
      </c>
      <c r="C164" s="3" t="str">
        <f>Raw_Production!D164</f>
        <v>T01</v>
      </c>
      <c r="D164" s="3" t="str">
        <f>Raw_Production!P164</f>
        <v>ST-108</v>
      </c>
      <c r="E164" s="3" t="str">
        <f>Raw_Production!O164</f>
        <v>Hoodie</v>
      </c>
      <c r="F164" s="6">
        <f>Raw_Production!G164</f>
        <v>0.85</v>
      </c>
      <c r="G164" s="6">
        <f>Raw_Production!N164</f>
        <v>0.68</v>
      </c>
      <c r="H164" s="6">
        <f t="shared" si="2"/>
        <v>-0.16999999999999993</v>
      </c>
      <c r="I164" s="3">
        <f>Raw_Production!I164</f>
        <v>373</v>
      </c>
      <c r="J164" s="3">
        <f>Raw_Production!J164</f>
        <v>135</v>
      </c>
      <c r="K164" s="3">
        <f>Raw_Production!L164</f>
        <v>107</v>
      </c>
      <c r="L164" s="3">
        <f>Raw_Production!M164</f>
        <v>3</v>
      </c>
      <c r="M164" s="3">
        <f>Raw_Production!F164</f>
        <v>1</v>
      </c>
      <c r="N164" s="3">
        <f>Raw_Production!K164</f>
        <v>3038</v>
      </c>
      <c r="O164" s="3">
        <f>Raw_Production!H164</f>
        <v>13.4</v>
      </c>
      <c r="P164" s="3">
        <f>Raw_Production!E164</f>
        <v>22</v>
      </c>
    </row>
    <row r="165" spans="1:16" x14ac:dyDescent="0.3">
      <c r="A165" s="4">
        <f>Raw_Production!A165</f>
        <v>46054</v>
      </c>
      <c r="B165" s="3" t="str">
        <f>Raw_Production!C165</f>
        <v>Cutting</v>
      </c>
      <c r="C165" s="3" t="str">
        <f>Raw_Production!D165</f>
        <v>T06</v>
      </c>
      <c r="D165" s="3" t="str">
        <f>Raw_Production!P165</f>
        <v>ST-110</v>
      </c>
      <c r="E165" s="3" t="str">
        <f>Raw_Production!O165</f>
        <v>Jacket</v>
      </c>
      <c r="F165" s="6">
        <f>Raw_Production!G165</f>
        <v>0.78</v>
      </c>
      <c r="G165" s="6">
        <f>Raw_Production!N165</f>
        <v>0.63</v>
      </c>
      <c r="H165" s="6">
        <f t="shared" si="2"/>
        <v>-0.15000000000000002</v>
      </c>
      <c r="I165" s="3">
        <f>Raw_Production!I165</f>
        <v>404</v>
      </c>
      <c r="J165" s="3">
        <f>Raw_Production!J165</f>
        <v>150</v>
      </c>
      <c r="K165" s="3">
        <f>Raw_Production!L165</f>
        <v>107</v>
      </c>
      <c r="L165" s="3">
        <f>Raw_Production!M165</f>
        <v>3</v>
      </c>
      <c r="M165" s="3">
        <f>Raw_Production!F165</f>
        <v>2</v>
      </c>
      <c r="N165" s="3">
        <f>Raw_Production!K165</f>
        <v>3729</v>
      </c>
      <c r="O165" s="3">
        <f>Raw_Production!H165</f>
        <v>15.4</v>
      </c>
      <c r="P165" s="3">
        <f>Raw_Production!E165</f>
        <v>34</v>
      </c>
    </row>
    <row r="166" spans="1:16" x14ac:dyDescent="0.3">
      <c r="A166" s="4">
        <f>Raw_Production!A166</f>
        <v>46054</v>
      </c>
      <c r="B166" s="3" t="str">
        <f>Raw_Production!C166</f>
        <v>Sewing</v>
      </c>
      <c r="C166" s="3" t="str">
        <f>Raw_Production!D166</f>
        <v>T02</v>
      </c>
      <c r="D166" s="3" t="str">
        <f>Raw_Production!P166</f>
        <v>ST-109</v>
      </c>
      <c r="E166" s="3" t="str">
        <f>Raw_Production!O166</f>
        <v>Shirt</v>
      </c>
      <c r="F166" s="6">
        <f>Raw_Production!G166</f>
        <v>0.9</v>
      </c>
      <c r="G166" s="6">
        <f>Raw_Production!N166</f>
        <v>0.74</v>
      </c>
      <c r="H166" s="6">
        <f t="shared" si="2"/>
        <v>-0.16000000000000003</v>
      </c>
      <c r="I166" s="3">
        <f>Raw_Production!I166</f>
        <v>352</v>
      </c>
      <c r="J166" s="3">
        <f>Raw_Production!J166</f>
        <v>97</v>
      </c>
      <c r="K166" s="3">
        <f>Raw_Production!L166</f>
        <v>96</v>
      </c>
      <c r="L166" s="3">
        <f>Raw_Production!M166</f>
        <v>5</v>
      </c>
      <c r="M166" s="3">
        <f>Raw_Production!F166</f>
        <v>1</v>
      </c>
      <c r="N166" s="3">
        <f>Raw_Production!K166</f>
        <v>2246</v>
      </c>
      <c r="O166" s="3">
        <f>Raw_Production!H166</f>
        <v>16.5</v>
      </c>
      <c r="P166" s="3">
        <f>Raw_Production!E166</f>
        <v>33</v>
      </c>
    </row>
    <row r="167" spans="1:16" x14ac:dyDescent="0.3">
      <c r="A167" s="4">
        <f>Raw_Production!A167</f>
        <v>46054</v>
      </c>
      <c r="B167" s="3" t="str">
        <f>Raw_Production!C167</f>
        <v>Sewing</v>
      </c>
      <c r="C167" s="3" t="str">
        <f>Raw_Production!D167</f>
        <v>T03</v>
      </c>
      <c r="D167" s="3" t="str">
        <f>Raw_Production!P167</f>
        <v>ST-110</v>
      </c>
      <c r="E167" s="3" t="str">
        <f>Raw_Production!O167</f>
        <v>Jacket</v>
      </c>
      <c r="F167" s="6">
        <f>Raw_Production!G167</f>
        <v>0.87</v>
      </c>
      <c r="G167" s="6">
        <f>Raw_Production!N167</f>
        <v>0.68</v>
      </c>
      <c r="H167" s="6">
        <f t="shared" si="2"/>
        <v>-0.18999999999999995</v>
      </c>
      <c r="I167" s="3">
        <f>Raw_Production!I167</f>
        <v>117</v>
      </c>
      <c r="J167" s="3">
        <f>Raw_Production!J167</f>
        <v>145</v>
      </c>
      <c r="K167" s="3">
        <f>Raw_Production!L167</f>
        <v>8</v>
      </c>
      <c r="L167" s="3">
        <f>Raw_Production!M167</f>
        <v>2</v>
      </c>
      <c r="M167" s="3">
        <f>Raw_Production!F167</f>
        <v>3</v>
      </c>
      <c r="N167" s="3">
        <f>Raw_Production!K167</f>
        <v>1550</v>
      </c>
      <c r="O167" s="3">
        <f>Raw_Production!H167</f>
        <v>17.7</v>
      </c>
      <c r="P167" s="3">
        <f>Raw_Production!E167</f>
        <v>24</v>
      </c>
    </row>
    <row r="168" spans="1:16" x14ac:dyDescent="0.3">
      <c r="A168" s="4">
        <f>Raw_Production!A168</f>
        <v>46054</v>
      </c>
      <c r="B168" s="3" t="str">
        <f>Raw_Production!C168</f>
        <v>Finishing</v>
      </c>
      <c r="C168" s="3" t="str">
        <f>Raw_Production!D168</f>
        <v>T04</v>
      </c>
      <c r="D168" s="3" t="str">
        <f>Raw_Production!P168</f>
        <v>ST-103</v>
      </c>
      <c r="E168" s="3" t="str">
        <f>Raw_Production!O168</f>
        <v>Hoodie</v>
      </c>
      <c r="F168" s="6">
        <f>Raw_Production!G168</f>
        <v>0.82</v>
      </c>
      <c r="G168" s="6">
        <f>Raw_Production!N168</f>
        <v>0.87</v>
      </c>
      <c r="H168" s="6">
        <f t="shared" si="2"/>
        <v>5.0000000000000044E-2</v>
      </c>
      <c r="I168" s="3">
        <f>Raw_Production!I168</f>
        <v>346</v>
      </c>
      <c r="J168" s="3">
        <f>Raw_Production!J168</f>
        <v>10</v>
      </c>
      <c r="K168" s="3">
        <f>Raw_Production!L168</f>
        <v>112</v>
      </c>
      <c r="L168" s="3">
        <f>Raw_Production!M168</f>
        <v>2</v>
      </c>
      <c r="M168" s="3">
        <f>Raw_Production!F168</f>
        <v>0</v>
      </c>
      <c r="N168" s="3">
        <f>Raw_Production!K168</f>
        <v>1203</v>
      </c>
      <c r="O168" s="3">
        <f>Raw_Production!H168</f>
        <v>16.899999999999999</v>
      </c>
      <c r="P168" s="3">
        <f>Raw_Production!E168</f>
        <v>33</v>
      </c>
    </row>
    <row r="169" spans="1:16" x14ac:dyDescent="0.3">
      <c r="A169" s="4">
        <f>Raw_Production!A169</f>
        <v>46054</v>
      </c>
      <c r="B169" s="3" t="str">
        <f>Raw_Production!C169</f>
        <v>Finishing</v>
      </c>
      <c r="C169" s="3" t="str">
        <f>Raw_Production!D169</f>
        <v>T05</v>
      </c>
      <c r="D169" s="3" t="str">
        <f>Raw_Production!P169</f>
        <v>ST-102</v>
      </c>
      <c r="E169" s="3" t="str">
        <f>Raw_Production!O169</f>
        <v>Polo</v>
      </c>
      <c r="F169" s="6">
        <f>Raw_Production!G169</f>
        <v>0.73</v>
      </c>
      <c r="G169" s="6">
        <f>Raw_Production!N169</f>
        <v>0.66</v>
      </c>
      <c r="H169" s="6">
        <f t="shared" si="2"/>
        <v>-6.9999999999999951E-2</v>
      </c>
      <c r="I169" s="3">
        <f>Raw_Production!I169</f>
        <v>322</v>
      </c>
      <c r="J169" s="3">
        <f>Raw_Production!J169</f>
        <v>101</v>
      </c>
      <c r="K169" s="3">
        <f>Raw_Production!L169</f>
        <v>77</v>
      </c>
      <c r="L169" s="3">
        <f>Raw_Production!M169</f>
        <v>4</v>
      </c>
      <c r="M169" s="3">
        <f>Raw_Production!F169</f>
        <v>0</v>
      </c>
      <c r="N169" s="3">
        <f>Raw_Production!K169</f>
        <v>885</v>
      </c>
      <c r="O169" s="3">
        <f>Raw_Production!H169</f>
        <v>17.3</v>
      </c>
      <c r="P169" s="3">
        <f>Raw_Production!E169</f>
        <v>34</v>
      </c>
    </row>
    <row r="170" spans="1:16" x14ac:dyDescent="0.3">
      <c r="A170" s="4">
        <f>Raw_Production!A170</f>
        <v>46055</v>
      </c>
      <c r="B170" s="3" t="str">
        <f>Raw_Production!C170</f>
        <v>Cutting</v>
      </c>
      <c r="C170" s="3" t="str">
        <f>Raw_Production!D170</f>
        <v>T01</v>
      </c>
      <c r="D170" s="3" t="str">
        <f>Raw_Production!P170</f>
        <v>ST-103</v>
      </c>
      <c r="E170" s="3" t="str">
        <f>Raw_Production!O170</f>
        <v>Hoodie</v>
      </c>
      <c r="F170" s="6">
        <f>Raw_Production!G170</f>
        <v>0.77</v>
      </c>
      <c r="G170" s="6">
        <f>Raw_Production!N170</f>
        <v>0.85</v>
      </c>
      <c r="H170" s="6">
        <f t="shared" si="2"/>
        <v>7.999999999999996E-2</v>
      </c>
      <c r="I170" s="3">
        <f>Raw_Production!I170</f>
        <v>427</v>
      </c>
      <c r="J170" s="3">
        <f>Raw_Production!J170</f>
        <v>115</v>
      </c>
      <c r="K170" s="3">
        <f>Raw_Production!L170</f>
        <v>8</v>
      </c>
      <c r="L170" s="3">
        <f>Raw_Production!M170</f>
        <v>6</v>
      </c>
      <c r="M170" s="3">
        <f>Raw_Production!F170</f>
        <v>0</v>
      </c>
      <c r="N170" s="3">
        <f>Raw_Production!K170</f>
        <v>1494</v>
      </c>
      <c r="O170" s="3">
        <f>Raw_Production!H170</f>
        <v>15.6</v>
      </c>
      <c r="P170" s="3">
        <f>Raw_Production!E170</f>
        <v>28</v>
      </c>
    </row>
    <row r="171" spans="1:16" x14ac:dyDescent="0.3">
      <c r="A171" s="4">
        <f>Raw_Production!A171</f>
        <v>46055</v>
      </c>
      <c r="B171" s="3" t="str">
        <f>Raw_Production!C171</f>
        <v>Cutting</v>
      </c>
      <c r="C171" s="3" t="str">
        <f>Raw_Production!D171</f>
        <v>T06</v>
      </c>
      <c r="D171" s="3" t="str">
        <f>Raw_Production!P171</f>
        <v>ST-108</v>
      </c>
      <c r="E171" s="3" t="str">
        <f>Raw_Production!O171</f>
        <v>Hoodie</v>
      </c>
      <c r="F171" s="6">
        <f>Raw_Production!G171</f>
        <v>0.86</v>
      </c>
      <c r="G171" s="6">
        <f>Raw_Production!N171</f>
        <v>0.89</v>
      </c>
      <c r="H171" s="6">
        <f t="shared" si="2"/>
        <v>3.0000000000000027E-2</v>
      </c>
      <c r="I171" s="3">
        <f>Raw_Production!I171</f>
        <v>256</v>
      </c>
      <c r="J171" s="3">
        <f>Raw_Production!J171</f>
        <v>121</v>
      </c>
      <c r="K171" s="3">
        <f>Raw_Production!L171</f>
        <v>21</v>
      </c>
      <c r="L171" s="3">
        <f>Raw_Production!M171</f>
        <v>4</v>
      </c>
      <c r="M171" s="3">
        <f>Raw_Production!F171</f>
        <v>3</v>
      </c>
      <c r="N171" s="3">
        <f>Raw_Production!K171</f>
        <v>3506</v>
      </c>
      <c r="O171" s="3">
        <f>Raw_Production!H171</f>
        <v>10.8</v>
      </c>
      <c r="P171" s="3">
        <f>Raw_Production!E171</f>
        <v>31</v>
      </c>
    </row>
    <row r="172" spans="1:16" x14ac:dyDescent="0.3">
      <c r="A172" s="4">
        <f>Raw_Production!A172</f>
        <v>46055</v>
      </c>
      <c r="B172" s="3" t="str">
        <f>Raw_Production!C172</f>
        <v>Sewing</v>
      </c>
      <c r="C172" s="3" t="str">
        <f>Raw_Production!D172</f>
        <v>T02</v>
      </c>
      <c r="D172" s="3" t="str">
        <f>Raw_Production!P172</f>
        <v>ST-103</v>
      </c>
      <c r="E172" s="3" t="str">
        <f>Raw_Production!O172</f>
        <v>Hoodie</v>
      </c>
      <c r="F172" s="6">
        <f>Raw_Production!G172</f>
        <v>0.8</v>
      </c>
      <c r="G172" s="6">
        <f>Raw_Production!N172</f>
        <v>0.82</v>
      </c>
      <c r="H172" s="6">
        <f t="shared" si="2"/>
        <v>1.9999999999999907E-2</v>
      </c>
      <c r="I172" s="3">
        <f>Raw_Production!I172</f>
        <v>93</v>
      </c>
      <c r="J172" s="3">
        <f>Raw_Production!J172</f>
        <v>64</v>
      </c>
      <c r="K172" s="3">
        <f>Raw_Production!L172</f>
        <v>6</v>
      </c>
      <c r="L172" s="3">
        <f>Raw_Production!M172</f>
        <v>6</v>
      </c>
      <c r="M172" s="3">
        <f>Raw_Production!F172</f>
        <v>1</v>
      </c>
      <c r="N172" s="3">
        <f>Raw_Production!K172</f>
        <v>1611</v>
      </c>
      <c r="O172" s="3">
        <f>Raw_Production!H172</f>
        <v>11.5</v>
      </c>
      <c r="P172" s="3">
        <f>Raw_Production!E172</f>
        <v>29</v>
      </c>
    </row>
    <row r="173" spans="1:16" x14ac:dyDescent="0.3">
      <c r="A173" s="4">
        <f>Raw_Production!A173</f>
        <v>46055</v>
      </c>
      <c r="B173" s="3" t="str">
        <f>Raw_Production!C173</f>
        <v>Sewing</v>
      </c>
      <c r="C173" s="3" t="str">
        <f>Raw_Production!D173</f>
        <v>T03</v>
      </c>
      <c r="D173" s="3" t="str">
        <f>Raw_Production!P173</f>
        <v>ST-106</v>
      </c>
      <c r="E173" s="3" t="str">
        <f>Raw_Production!O173</f>
        <v>T-Shirt</v>
      </c>
      <c r="F173" s="6">
        <f>Raw_Production!G173</f>
        <v>0.75</v>
      </c>
      <c r="G173" s="6">
        <f>Raw_Production!N173</f>
        <v>0.72</v>
      </c>
      <c r="H173" s="6">
        <f t="shared" si="2"/>
        <v>-3.0000000000000027E-2</v>
      </c>
      <c r="I173" s="3">
        <f>Raw_Production!I173</f>
        <v>247</v>
      </c>
      <c r="J173" s="3">
        <f>Raw_Production!J173</f>
        <v>135</v>
      </c>
      <c r="K173" s="3">
        <f>Raw_Production!L173</f>
        <v>112</v>
      </c>
      <c r="L173" s="3">
        <f>Raw_Production!M173</f>
        <v>7</v>
      </c>
      <c r="M173" s="3">
        <f>Raw_Production!F173</f>
        <v>1</v>
      </c>
      <c r="N173" s="3">
        <f>Raw_Production!K173</f>
        <v>1451</v>
      </c>
      <c r="O173" s="3">
        <f>Raw_Production!H173</f>
        <v>17</v>
      </c>
      <c r="P173" s="3">
        <f>Raw_Production!E173</f>
        <v>30</v>
      </c>
    </row>
    <row r="174" spans="1:16" x14ac:dyDescent="0.3">
      <c r="A174" s="4">
        <f>Raw_Production!A174</f>
        <v>46055</v>
      </c>
      <c r="B174" s="3" t="str">
        <f>Raw_Production!C174</f>
        <v>Finishing</v>
      </c>
      <c r="C174" s="3" t="str">
        <f>Raw_Production!D174</f>
        <v>T04</v>
      </c>
      <c r="D174" s="3" t="str">
        <f>Raw_Production!P174</f>
        <v>ST-104</v>
      </c>
      <c r="E174" s="3" t="str">
        <f>Raw_Production!O174</f>
        <v>Shirt</v>
      </c>
      <c r="F174" s="6">
        <f>Raw_Production!G174</f>
        <v>0.73</v>
      </c>
      <c r="G174" s="6">
        <f>Raw_Production!N174</f>
        <v>0.78</v>
      </c>
      <c r="H174" s="6">
        <f t="shared" si="2"/>
        <v>5.0000000000000044E-2</v>
      </c>
      <c r="I174" s="3">
        <f>Raw_Production!I174</f>
        <v>337</v>
      </c>
      <c r="J174" s="3">
        <f>Raw_Production!J174</f>
        <v>113</v>
      </c>
      <c r="K174" s="3">
        <f>Raw_Production!L174</f>
        <v>27</v>
      </c>
      <c r="L174" s="3">
        <f>Raw_Production!M174</f>
        <v>5</v>
      </c>
      <c r="M174" s="3">
        <f>Raw_Production!F174</f>
        <v>0</v>
      </c>
      <c r="N174" s="3">
        <f>Raw_Production!K174</f>
        <v>3860</v>
      </c>
      <c r="O174" s="3">
        <f>Raw_Production!H174</f>
        <v>17.399999999999999</v>
      </c>
      <c r="P174" s="3">
        <f>Raw_Production!E174</f>
        <v>24</v>
      </c>
    </row>
    <row r="175" spans="1:16" x14ac:dyDescent="0.3">
      <c r="A175" s="4">
        <f>Raw_Production!A175</f>
        <v>46055</v>
      </c>
      <c r="B175" s="3" t="str">
        <f>Raw_Production!C175</f>
        <v>Finishing</v>
      </c>
      <c r="C175" s="3" t="str">
        <f>Raw_Production!D175</f>
        <v>T05</v>
      </c>
      <c r="D175" s="3" t="str">
        <f>Raw_Production!P175</f>
        <v>ST-110</v>
      </c>
      <c r="E175" s="3" t="str">
        <f>Raw_Production!O175</f>
        <v>Jacket</v>
      </c>
      <c r="F175" s="6">
        <f>Raw_Production!G175</f>
        <v>0.86</v>
      </c>
      <c r="G175" s="6">
        <f>Raw_Production!N175</f>
        <v>0.91</v>
      </c>
      <c r="H175" s="6">
        <f t="shared" si="2"/>
        <v>5.0000000000000044E-2</v>
      </c>
      <c r="I175" s="3">
        <f>Raw_Production!I175</f>
        <v>153</v>
      </c>
      <c r="J175" s="3">
        <f>Raw_Production!J175</f>
        <v>88</v>
      </c>
      <c r="K175" s="3">
        <f>Raw_Production!L175</f>
        <v>85</v>
      </c>
      <c r="L175" s="3">
        <f>Raw_Production!M175</f>
        <v>1</v>
      </c>
      <c r="M175" s="3">
        <f>Raw_Production!F175</f>
        <v>0</v>
      </c>
      <c r="N175" s="3">
        <f>Raw_Production!K175</f>
        <v>580</v>
      </c>
      <c r="O175" s="3">
        <f>Raw_Production!H175</f>
        <v>18.2</v>
      </c>
      <c r="P175" s="3">
        <f>Raw_Production!E175</f>
        <v>25</v>
      </c>
    </row>
    <row r="176" spans="1:16" x14ac:dyDescent="0.3">
      <c r="A176" s="4">
        <f>Raw_Production!A176</f>
        <v>46056</v>
      </c>
      <c r="B176" s="3" t="str">
        <f>Raw_Production!C176</f>
        <v>Cutting</v>
      </c>
      <c r="C176" s="3" t="str">
        <f>Raw_Production!D176</f>
        <v>T01</v>
      </c>
      <c r="D176" s="3" t="str">
        <f>Raw_Production!P176</f>
        <v>ST-108</v>
      </c>
      <c r="E176" s="3" t="str">
        <f>Raw_Production!O176</f>
        <v>Hoodie</v>
      </c>
      <c r="F176" s="6">
        <f>Raw_Production!G176</f>
        <v>0.82</v>
      </c>
      <c r="G176" s="6">
        <f>Raw_Production!N176</f>
        <v>0.74</v>
      </c>
      <c r="H176" s="6">
        <f t="shared" si="2"/>
        <v>-7.999999999999996E-2</v>
      </c>
      <c r="I176" s="3">
        <f>Raw_Production!I176</f>
        <v>198</v>
      </c>
      <c r="J176" s="3">
        <f>Raw_Production!J176</f>
        <v>14</v>
      </c>
      <c r="K176" s="3">
        <f>Raw_Production!L176</f>
        <v>83</v>
      </c>
      <c r="L176" s="3">
        <f>Raw_Production!M176</f>
        <v>3</v>
      </c>
      <c r="M176" s="3">
        <f>Raw_Production!F176</f>
        <v>1</v>
      </c>
      <c r="N176" s="3">
        <f>Raw_Production!K176</f>
        <v>2136</v>
      </c>
      <c r="O176" s="3">
        <f>Raw_Production!H176</f>
        <v>9.9</v>
      </c>
      <c r="P176" s="3">
        <f>Raw_Production!E176</f>
        <v>34</v>
      </c>
    </row>
    <row r="177" spans="1:16" x14ac:dyDescent="0.3">
      <c r="A177" s="4">
        <f>Raw_Production!A177</f>
        <v>46056</v>
      </c>
      <c r="B177" s="3" t="str">
        <f>Raw_Production!C177</f>
        <v>Cutting</v>
      </c>
      <c r="C177" s="3" t="str">
        <f>Raw_Production!D177</f>
        <v>T06</v>
      </c>
      <c r="D177" s="3" t="str">
        <f>Raw_Production!P177</f>
        <v>ST-104</v>
      </c>
      <c r="E177" s="3" t="str">
        <f>Raw_Production!O177</f>
        <v>Shirt</v>
      </c>
      <c r="F177" s="6">
        <f>Raw_Production!G177</f>
        <v>0.85</v>
      </c>
      <c r="G177" s="6">
        <f>Raw_Production!N177</f>
        <v>0.66</v>
      </c>
      <c r="H177" s="6">
        <f t="shared" si="2"/>
        <v>-0.18999999999999995</v>
      </c>
      <c r="I177" s="3">
        <f>Raw_Production!I177</f>
        <v>122</v>
      </c>
      <c r="J177" s="3">
        <f>Raw_Production!J177</f>
        <v>62</v>
      </c>
      <c r="K177" s="3">
        <f>Raw_Production!L177</f>
        <v>26</v>
      </c>
      <c r="L177" s="3">
        <f>Raw_Production!M177</f>
        <v>1</v>
      </c>
      <c r="M177" s="3">
        <f>Raw_Production!F177</f>
        <v>2</v>
      </c>
      <c r="N177" s="3">
        <f>Raw_Production!K177</f>
        <v>2573</v>
      </c>
      <c r="O177" s="3">
        <f>Raw_Production!H177</f>
        <v>18.399999999999999</v>
      </c>
      <c r="P177" s="3">
        <f>Raw_Production!E177</f>
        <v>37</v>
      </c>
    </row>
    <row r="178" spans="1:16" x14ac:dyDescent="0.3">
      <c r="A178" s="4">
        <f>Raw_Production!A178</f>
        <v>46056</v>
      </c>
      <c r="B178" s="3" t="str">
        <f>Raw_Production!C178</f>
        <v>Sewing</v>
      </c>
      <c r="C178" s="3" t="str">
        <f>Raw_Production!D178</f>
        <v>T02</v>
      </c>
      <c r="D178" s="3" t="str">
        <f>Raw_Production!P178</f>
        <v>ST-101</v>
      </c>
      <c r="E178" s="3" t="str">
        <f>Raw_Production!O178</f>
        <v>T-Shirt</v>
      </c>
      <c r="F178" s="6">
        <f>Raw_Production!G178</f>
        <v>0.89</v>
      </c>
      <c r="G178" s="6">
        <f>Raw_Production!N178</f>
        <v>0.84</v>
      </c>
      <c r="H178" s="6">
        <f t="shared" si="2"/>
        <v>-5.0000000000000044E-2</v>
      </c>
      <c r="I178" s="3">
        <f>Raw_Production!I178</f>
        <v>39</v>
      </c>
      <c r="J178" s="3">
        <f>Raw_Production!J178</f>
        <v>21</v>
      </c>
      <c r="K178" s="3">
        <f>Raw_Production!L178</f>
        <v>18</v>
      </c>
      <c r="L178" s="3">
        <f>Raw_Production!M178</f>
        <v>2</v>
      </c>
      <c r="M178" s="3">
        <f>Raw_Production!F178</f>
        <v>3</v>
      </c>
      <c r="N178" s="3">
        <f>Raw_Production!K178</f>
        <v>2789</v>
      </c>
      <c r="O178" s="3">
        <f>Raw_Production!H178</f>
        <v>11.6</v>
      </c>
      <c r="P178" s="3">
        <f>Raw_Production!E178</f>
        <v>31</v>
      </c>
    </row>
    <row r="179" spans="1:16" x14ac:dyDescent="0.3">
      <c r="A179" s="4">
        <f>Raw_Production!A179</f>
        <v>46056</v>
      </c>
      <c r="B179" s="3" t="str">
        <f>Raw_Production!C179</f>
        <v>Sewing</v>
      </c>
      <c r="C179" s="3" t="str">
        <f>Raw_Production!D179</f>
        <v>T03</v>
      </c>
      <c r="D179" s="3" t="str">
        <f>Raw_Production!P179</f>
        <v>ST-107</v>
      </c>
      <c r="E179" s="3" t="str">
        <f>Raw_Production!O179</f>
        <v>Polo</v>
      </c>
      <c r="F179" s="6">
        <f>Raw_Production!G179</f>
        <v>0.78</v>
      </c>
      <c r="G179" s="6">
        <f>Raw_Production!N179</f>
        <v>0.73</v>
      </c>
      <c r="H179" s="6">
        <f t="shared" si="2"/>
        <v>-5.0000000000000044E-2</v>
      </c>
      <c r="I179" s="3">
        <f>Raw_Production!I179</f>
        <v>442</v>
      </c>
      <c r="J179" s="3">
        <f>Raw_Production!J179</f>
        <v>113</v>
      </c>
      <c r="K179" s="3">
        <f>Raw_Production!L179</f>
        <v>69</v>
      </c>
      <c r="L179" s="3">
        <f>Raw_Production!M179</f>
        <v>1</v>
      </c>
      <c r="M179" s="3">
        <f>Raw_Production!F179</f>
        <v>0</v>
      </c>
      <c r="N179" s="3">
        <f>Raw_Production!K179</f>
        <v>841</v>
      </c>
      <c r="O179" s="3">
        <f>Raw_Production!H179</f>
        <v>8.9</v>
      </c>
      <c r="P179" s="3">
        <f>Raw_Production!E179</f>
        <v>25</v>
      </c>
    </row>
    <row r="180" spans="1:16" x14ac:dyDescent="0.3">
      <c r="A180" s="4">
        <f>Raw_Production!A180</f>
        <v>46056</v>
      </c>
      <c r="B180" s="3" t="str">
        <f>Raw_Production!C180</f>
        <v>Finishing</v>
      </c>
      <c r="C180" s="3" t="str">
        <f>Raw_Production!D180</f>
        <v>T04</v>
      </c>
      <c r="D180" s="3" t="str">
        <f>Raw_Production!P180</f>
        <v>ST-110</v>
      </c>
      <c r="E180" s="3" t="str">
        <f>Raw_Production!O180</f>
        <v>Jacket</v>
      </c>
      <c r="F180" s="6">
        <f>Raw_Production!G180</f>
        <v>0.85</v>
      </c>
      <c r="G180" s="6">
        <f>Raw_Production!N180</f>
        <v>0.73</v>
      </c>
      <c r="H180" s="6">
        <f t="shared" si="2"/>
        <v>-0.12</v>
      </c>
      <c r="I180" s="3">
        <f>Raw_Production!I180</f>
        <v>263</v>
      </c>
      <c r="J180" s="3">
        <f>Raw_Production!J180</f>
        <v>2</v>
      </c>
      <c r="K180" s="3">
        <f>Raw_Production!L180</f>
        <v>72</v>
      </c>
      <c r="L180" s="3">
        <f>Raw_Production!M180</f>
        <v>7</v>
      </c>
      <c r="M180" s="3">
        <f>Raw_Production!F180</f>
        <v>2</v>
      </c>
      <c r="N180" s="3">
        <f>Raw_Production!K180</f>
        <v>1007</v>
      </c>
      <c r="O180" s="3">
        <f>Raw_Production!H180</f>
        <v>11.8</v>
      </c>
      <c r="P180" s="3">
        <f>Raw_Production!E180</f>
        <v>28</v>
      </c>
    </row>
    <row r="181" spans="1:16" x14ac:dyDescent="0.3">
      <c r="A181" s="4">
        <f>Raw_Production!A181</f>
        <v>46056</v>
      </c>
      <c r="B181" s="3" t="str">
        <f>Raw_Production!C181</f>
        <v>Finishing</v>
      </c>
      <c r="C181" s="3" t="str">
        <f>Raw_Production!D181</f>
        <v>T05</v>
      </c>
      <c r="D181" s="3" t="str">
        <f>Raw_Production!P181</f>
        <v>ST-108</v>
      </c>
      <c r="E181" s="3" t="str">
        <f>Raw_Production!O181</f>
        <v>Hoodie</v>
      </c>
      <c r="F181" s="6">
        <f>Raw_Production!G181</f>
        <v>0.82</v>
      </c>
      <c r="G181" s="6">
        <f>Raw_Production!N181</f>
        <v>0.71</v>
      </c>
      <c r="H181" s="6">
        <f t="shared" si="2"/>
        <v>-0.10999999999999999</v>
      </c>
      <c r="I181" s="3">
        <f>Raw_Production!I181</f>
        <v>242</v>
      </c>
      <c r="J181" s="3">
        <f>Raw_Production!J181</f>
        <v>121</v>
      </c>
      <c r="K181" s="3">
        <f>Raw_Production!L181</f>
        <v>44</v>
      </c>
      <c r="L181" s="3">
        <f>Raw_Production!M181</f>
        <v>7</v>
      </c>
      <c r="M181" s="3">
        <f>Raw_Production!F181</f>
        <v>0</v>
      </c>
      <c r="N181" s="3">
        <f>Raw_Production!K181</f>
        <v>3470</v>
      </c>
      <c r="O181" s="3">
        <f>Raw_Production!H181</f>
        <v>14.2</v>
      </c>
      <c r="P181" s="3">
        <f>Raw_Production!E181</f>
        <v>35</v>
      </c>
    </row>
    <row r="182" spans="1:16" x14ac:dyDescent="0.3">
      <c r="A182" s="4">
        <f>Raw_Production!A182</f>
        <v>46057</v>
      </c>
      <c r="B182" s="3" t="str">
        <f>Raw_Production!C182</f>
        <v>Cutting</v>
      </c>
      <c r="C182" s="3" t="str">
        <f>Raw_Production!D182</f>
        <v>T01</v>
      </c>
      <c r="D182" s="3" t="str">
        <f>Raw_Production!P182</f>
        <v>ST-109</v>
      </c>
      <c r="E182" s="3" t="str">
        <f>Raw_Production!O182</f>
        <v>Shirt</v>
      </c>
      <c r="F182" s="6">
        <f>Raw_Production!G182</f>
        <v>0.9</v>
      </c>
      <c r="G182" s="6">
        <f>Raw_Production!N182</f>
        <v>0.74</v>
      </c>
      <c r="H182" s="6">
        <f t="shared" si="2"/>
        <v>-0.16000000000000003</v>
      </c>
      <c r="I182" s="3">
        <f>Raw_Production!I182</f>
        <v>64</v>
      </c>
      <c r="J182" s="3">
        <f>Raw_Production!J182</f>
        <v>130</v>
      </c>
      <c r="K182" s="3">
        <f>Raw_Production!L182</f>
        <v>62</v>
      </c>
      <c r="L182" s="3">
        <f>Raw_Production!M182</f>
        <v>1</v>
      </c>
      <c r="M182" s="3">
        <f>Raw_Production!F182</f>
        <v>0</v>
      </c>
      <c r="N182" s="3">
        <f>Raw_Production!K182</f>
        <v>2965</v>
      </c>
      <c r="O182" s="3">
        <f>Raw_Production!H182</f>
        <v>15.9</v>
      </c>
      <c r="P182" s="3">
        <f>Raw_Production!E182</f>
        <v>21</v>
      </c>
    </row>
    <row r="183" spans="1:16" x14ac:dyDescent="0.3">
      <c r="A183" s="4">
        <f>Raw_Production!A183</f>
        <v>46057</v>
      </c>
      <c r="B183" s="3" t="str">
        <f>Raw_Production!C183</f>
        <v>Cutting</v>
      </c>
      <c r="C183" s="3" t="str">
        <f>Raw_Production!D183</f>
        <v>T06</v>
      </c>
      <c r="D183" s="3" t="str">
        <f>Raw_Production!P183</f>
        <v>ST-102</v>
      </c>
      <c r="E183" s="3" t="str">
        <f>Raw_Production!O183</f>
        <v>Polo</v>
      </c>
      <c r="F183" s="6">
        <f>Raw_Production!G183</f>
        <v>0.75</v>
      </c>
      <c r="G183" s="6">
        <f>Raw_Production!N183</f>
        <v>0.68</v>
      </c>
      <c r="H183" s="6">
        <f t="shared" si="2"/>
        <v>-6.9999999999999951E-2</v>
      </c>
      <c r="I183" s="3">
        <f>Raw_Production!I183</f>
        <v>211</v>
      </c>
      <c r="J183" s="3">
        <f>Raw_Production!J183</f>
        <v>26</v>
      </c>
      <c r="K183" s="3">
        <f>Raw_Production!L183</f>
        <v>5</v>
      </c>
      <c r="L183" s="3">
        <f>Raw_Production!M183</f>
        <v>0</v>
      </c>
      <c r="M183" s="3">
        <f>Raw_Production!F183</f>
        <v>3</v>
      </c>
      <c r="N183" s="3">
        <f>Raw_Production!K183</f>
        <v>3679</v>
      </c>
      <c r="O183" s="3">
        <f>Raw_Production!H183</f>
        <v>13.9</v>
      </c>
      <c r="P183" s="3">
        <f>Raw_Production!E183</f>
        <v>22</v>
      </c>
    </row>
    <row r="184" spans="1:16" x14ac:dyDescent="0.3">
      <c r="A184" s="4">
        <f>Raw_Production!A184</f>
        <v>46057</v>
      </c>
      <c r="B184" s="3" t="str">
        <f>Raw_Production!C184</f>
        <v>Sewing</v>
      </c>
      <c r="C184" s="3" t="str">
        <f>Raw_Production!D184</f>
        <v>T02</v>
      </c>
      <c r="D184" s="3" t="str">
        <f>Raw_Production!P184</f>
        <v>ST-104</v>
      </c>
      <c r="E184" s="3" t="str">
        <f>Raw_Production!O184</f>
        <v>Shirt</v>
      </c>
      <c r="F184" s="6">
        <f>Raw_Production!G184</f>
        <v>0.82</v>
      </c>
      <c r="G184" s="6">
        <f>Raw_Production!N184</f>
        <v>0.7</v>
      </c>
      <c r="H184" s="6">
        <f t="shared" si="2"/>
        <v>-0.12</v>
      </c>
      <c r="I184" s="3">
        <f>Raw_Production!I184</f>
        <v>341</v>
      </c>
      <c r="J184" s="3">
        <f>Raw_Production!J184</f>
        <v>137</v>
      </c>
      <c r="K184" s="3">
        <f>Raw_Production!L184</f>
        <v>14</v>
      </c>
      <c r="L184" s="3">
        <f>Raw_Production!M184</f>
        <v>6</v>
      </c>
      <c r="M184" s="3">
        <f>Raw_Production!F184</f>
        <v>1</v>
      </c>
      <c r="N184" s="3">
        <f>Raw_Production!K184</f>
        <v>1693</v>
      </c>
      <c r="O184" s="3">
        <f>Raw_Production!H184</f>
        <v>13.5</v>
      </c>
      <c r="P184" s="3">
        <f>Raw_Production!E184</f>
        <v>29</v>
      </c>
    </row>
    <row r="185" spans="1:16" x14ac:dyDescent="0.3">
      <c r="A185" s="4">
        <f>Raw_Production!A185</f>
        <v>46057</v>
      </c>
      <c r="B185" s="3" t="str">
        <f>Raw_Production!C185</f>
        <v>Sewing</v>
      </c>
      <c r="C185" s="3" t="str">
        <f>Raw_Production!D185</f>
        <v>T03</v>
      </c>
      <c r="D185" s="3" t="str">
        <f>Raw_Production!P185</f>
        <v>ST-109</v>
      </c>
      <c r="E185" s="3" t="str">
        <f>Raw_Production!O185</f>
        <v>Shirt</v>
      </c>
      <c r="F185" s="6">
        <f>Raw_Production!G185</f>
        <v>0.8</v>
      </c>
      <c r="G185" s="6">
        <f>Raw_Production!N185</f>
        <v>0.69</v>
      </c>
      <c r="H185" s="6">
        <f t="shared" si="2"/>
        <v>-0.1100000000000001</v>
      </c>
      <c r="I185" s="3">
        <f>Raw_Production!I185</f>
        <v>446</v>
      </c>
      <c r="J185" s="3">
        <f>Raw_Production!J185</f>
        <v>87</v>
      </c>
      <c r="K185" s="3">
        <f>Raw_Production!L185</f>
        <v>109</v>
      </c>
      <c r="L185" s="3">
        <f>Raw_Production!M185</f>
        <v>4</v>
      </c>
      <c r="M185" s="3">
        <f>Raw_Production!F185</f>
        <v>0</v>
      </c>
      <c r="N185" s="3">
        <f>Raw_Production!K185</f>
        <v>4140</v>
      </c>
      <c r="O185" s="3">
        <f>Raw_Production!H185</f>
        <v>18.100000000000001</v>
      </c>
      <c r="P185" s="3">
        <f>Raw_Production!E185</f>
        <v>23</v>
      </c>
    </row>
    <row r="186" spans="1:16" x14ac:dyDescent="0.3">
      <c r="A186" s="4">
        <f>Raw_Production!A186</f>
        <v>46057</v>
      </c>
      <c r="B186" s="3" t="str">
        <f>Raw_Production!C186</f>
        <v>Finishing</v>
      </c>
      <c r="C186" s="3" t="str">
        <f>Raw_Production!D186</f>
        <v>T04</v>
      </c>
      <c r="D186" s="3" t="str">
        <f>Raw_Production!P186</f>
        <v>ST-103</v>
      </c>
      <c r="E186" s="3" t="str">
        <f>Raw_Production!O186</f>
        <v>Hoodie</v>
      </c>
      <c r="F186" s="6">
        <f>Raw_Production!G186</f>
        <v>0.79</v>
      </c>
      <c r="G186" s="6">
        <f>Raw_Production!N186</f>
        <v>0.71</v>
      </c>
      <c r="H186" s="6">
        <f t="shared" si="2"/>
        <v>-8.0000000000000071E-2</v>
      </c>
      <c r="I186" s="3">
        <f>Raw_Production!I186</f>
        <v>106</v>
      </c>
      <c r="J186" s="3">
        <f>Raw_Production!J186</f>
        <v>150</v>
      </c>
      <c r="K186" s="3">
        <f>Raw_Production!L186</f>
        <v>63</v>
      </c>
      <c r="L186" s="3">
        <f>Raw_Production!M186</f>
        <v>7</v>
      </c>
      <c r="M186" s="3">
        <f>Raw_Production!F186</f>
        <v>2</v>
      </c>
      <c r="N186" s="3">
        <f>Raw_Production!K186</f>
        <v>742</v>
      </c>
      <c r="O186" s="3">
        <f>Raw_Production!H186</f>
        <v>14.3</v>
      </c>
      <c r="P186" s="3">
        <f>Raw_Production!E186</f>
        <v>28</v>
      </c>
    </row>
    <row r="187" spans="1:16" x14ac:dyDescent="0.3">
      <c r="A187" s="4">
        <f>Raw_Production!A187</f>
        <v>46057</v>
      </c>
      <c r="B187" s="3" t="str">
        <f>Raw_Production!C187</f>
        <v>Finishing</v>
      </c>
      <c r="C187" s="3" t="str">
        <f>Raw_Production!D187</f>
        <v>T05</v>
      </c>
      <c r="D187" s="3" t="str">
        <f>Raw_Production!P187</f>
        <v>ST-103</v>
      </c>
      <c r="E187" s="3" t="str">
        <f>Raw_Production!O187</f>
        <v>Hoodie</v>
      </c>
      <c r="F187" s="6">
        <f>Raw_Production!G187</f>
        <v>0.74</v>
      </c>
      <c r="G187" s="6">
        <f>Raw_Production!N187</f>
        <v>0.67</v>
      </c>
      <c r="H187" s="6">
        <f t="shared" si="2"/>
        <v>-6.9999999999999951E-2</v>
      </c>
      <c r="I187" s="3">
        <f>Raw_Production!I187</f>
        <v>339</v>
      </c>
      <c r="J187" s="3">
        <f>Raw_Production!J187</f>
        <v>31</v>
      </c>
      <c r="K187" s="3">
        <f>Raw_Production!L187</f>
        <v>109</v>
      </c>
      <c r="L187" s="3">
        <f>Raw_Production!M187</f>
        <v>1</v>
      </c>
      <c r="M187" s="3">
        <f>Raw_Production!F187</f>
        <v>1</v>
      </c>
      <c r="N187" s="3">
        <f>Raw_Production!K187</f>
        <v>1908</v>
      </c>
      <c r="O187" s="3">
        <f>Raw_Production!H187</f>
        <v>17.2</v>
      </c>
      <c r="P187" s="3">
        <f>Raw_Production!E187</f>
        <v>29</v>
      </c>
    </row>
    <row r="188" spans="1:16" x14ac:dyDescent="0.3">
      <c r="A188" s="4">
        <f>Raw_Production!A188</f>
        <v>46058</v>
      </c>
      <c r="B188" s="3" t="str">
        <f>Raw_Production!C188</f>
        <v>Cutting</v>
      </c>
      <c r="C188" s="3" t="str">
        <f>Raw_Production!D188</f>
        <v>T01</v>
      </c>
      <c r="D188" s="3" t="str">
        <f>Raw_Production!P188</f>
        <v>ST-106</v>
      </c>
      <c r="E188" s="3" t="str">
        <f>Raw_Production!O188</f>
        <v>T-Shirt</v>
      </c>
      <c r="F188" s="6">
        <f>Raw_Production!G188</f>
        <v>0.8</v>
      </c>
      <c r="G188" s="6">
        <f>Raw_Production!N188</f>
        <v>0.8</v>
      </c>
      <c r="H188" s="6">
        <f t="shared" si="2"/>
        <v>0</v>
      </c>
      <c r="I188" s="3">
        <f>Raw_Production!I188</f>
        <v>406</v>
      </c>
      <c r="J188" s="3">
        <f>Raw_Production!J188</f>
        <v>41</v>
      </c>
      <c r="K188" s="3">
        <f>Raw_Production!L188</f>
        <v>3</v>
      </c>
      <c r="L188" s="3">
        <f>Raw_Production!M188</f>
        <v>0</v>
      </c>
      <c r="M188" s="3">
        <f>Raw_Production!F188</f>
        <v>0</v>
      </c>
      <c r="N188" s="3">
        <f>Raw_Production!K188</f>
        <v>2970</v>
      </c>
      <c r="O188" s="3">
        <f>Raw_Production!H188</f>
        <v>10.4</v>
      </c>
      <c r="P188" s="3">
        <f>Raw_Production!E188</f>
        <v>32</v>
      </c>
    </row>
    <row r="189" spans="1:16" x14ac:dyDescent="0.3">
      <c r="A189" s="4">
        <f>Raw_Production!A189</f>
        <v>46058</v>
      </c>
      <c r="B189" s="3" t="str">
        <f>Raw_Production!C189</f>
        <v>Cutting</v>
      </c>
      <c r="C189" s="3" t="str">
        <f>Raw_Production!D189</f>
        <v>T06</v>
      </c>
      <c r="D189" s="3" t="str">
        <f>Raw_Production!P189</f>
        <v>ST-108</v>
      </c>
      <c r="E189" s="3" t="str">
        <f>Raw_Production!O189</f>
        <v>Hoodie</v>
      </c>
      <c r="F189" s="6">
        <f>Raw_Production!G189</f>
        <v>0.82</v>
      </c>
      <c r="G189" s="6">
        <f>Raw_Production!N189</f>
        <v>0.65</v>
      </c>
      <c r="H189" s="6">
        <f t="shared" si="2"/>
        <v>-0.16999999999999993</v>
      </c>
      <c r="I189" s="3">
        <f>Raw_Production!I189</f>
        <v>437</v>
      </c>
      <c r="J189" s="3">
        <f>Raw_Production!J189</f>
        <v>57</v>
      </c>
      <c r="K189" s="3">
        <f>Raw_Production!L189</f>
        <v>99</v>
      </c>
      <c r="L189" s="3">
        <f>Raw_Production!M189</f>
        <v>2</v>
      </c>
      <c r="M189" s="3">
        <f>Raw_Production!F189</f>
        <v>0</v>
      </c>
      <c r="N189" s="3">
        <f>Raw_Production!K189</f>
        <v>3662</v>
      </c>
      <c r="O189" s="3">
        <f>Raw_Production!H189</f>
        <v>18.3</v>
      </c>
      <c r="P189" s="3">
        <f>Raw_Production!E189</f>
        <v>26</v>
      </c>
    </row>
    <row r="190" spans="1:16" x14ac:dyDescent="0.3">
      <c r="A190" s="4">
        <f>Raw_Production!A190</f>
        <v>46058</v>
      </c>
      <c r="B190" s="3" t="str">
        <f>Raw_Production!C190</f>
        <v>Sewing</v>
      </c>
      <c r="C190" s="3" t="str">
        <f>Raw_Production!D190</f>
        <v>T02</v>
      </c>
      <c r="D190" s="3" t="str">
        <f>Raw_Production!P190</f>
        <v>ST-101</v>
      </c>
      <c r="E190" s="3" t="str">
        <f>Raw_Production!O190</f>
        <v>T-Shirt</v>
      </c>
      <c r="F190" s="6">
        <f>Raw_Production!G190</f>
        <v>0.85</v>
      </c>
      <c r="G190" s="6">
        <f>Raw_Production!N190</f>
        <v>0.75</v>
      </c>
      <c r="H190" s="6">
        <f t="shared" si="2"/>
        <v>-9.9999999999999978E-2</v>
      </c>
      <c r="I190" s="3">
        <f>Raw_Production!I190</f>
        <v>50</v>
      </c>
      <c r="J190" s="3">
        <f>Raw_Production!J190</f>
        <v>51</v>
      </c>
      <c r="K190" s="3">
        <f>Raw_Production!L190</f>
        <v>38</v>
      </c>
      <c r="L190" s="3">
        <f>Raw_Production!M190</f>
        <v>3</v>
      </c>
      <c r="M190" s="3">
        <f>Raw_Production!F190</f>
        <v>1</v>
      </c>
      <c r="N190" s="3">
        <f>Raw_Production!K190</f>
        <v>1769</v>
      </c>
      <c r="O190" s="3">
        <f>Raw_Production!H190</f>
        <v>16.5</v>
      </c>
      <c r="P190" s="3">
        <f>Raw_Production!E190</f>
        <v>28</v>
      </c>
    </row>
    <row r="191" spans="1:16" x14ac:dyDescent="0.3">
      <c r="A191" s="4">
        <f>Raw_Production!A191</f>
        <v>46058</v>
      </c>
      <c r="B191" s="3" t="str">
        <f>Raw_Production!C191</f>
        <v>Sewing</v>
      </c>
      <c r="C191" s="3" t="str">
        <f>Raw_Production!D191</f>
        <v>T03</v>
      </c>
      <c r="D191" s="3" t="str">
        <f>Raw_Production!P191</f>
        <v>ST-102</v>
      </c>
      <c r="E191" s="3" t="str">
        <f>Raw_Production!O191</f>
        <v>Polo</v>
      </c>
      <c r="F191" s="6">
        <f>Raw_Production!G191</f>
        <v>0.75</v>
      </c>
      <c r="G191" s="6">
        <f>Raw_Production!N191</f>
        <v>0.71</v>
      </c>
      <c r="H191" s="6">
        <f t="shared" si="2"/>
        <v>-4.0000000000000036E-2</v>
      </c>
      <c r="I191" s="3">
        <f>Raw_Production!I191</f>
        <v>155</v>
      </c>
      <c r="J191" s="3">
        <f>Raw_Production!J191</f>
        <v>132</v>
      </c>
      <c r="K191" s="3">
        <f>Raw_Production!L191</f>
        <v>62</v>
      </c>
      <c r="L191" s="3">
        <f>Raw_Production!M191</f>
        <v>0</v>
      </c>
      <c r="M191" s="3">
        <f>Raw_Production!F191</f>
        <v>0</v>
      </c>
      <c r="N191" s="3">
        <f>Raw_Production!K191</f>
        <v>3869</v>
      </c>
      <c r="O191" s="3">
        <f>Raw_Production!H191</f>
        <v>13.2</v>
      </c>
      <c r="P191" s="3">
        <f>Raw_Production!E191</f>
        <v>21</v>
      </c>
    </row>
    <row r="192" spans="1:16" x14ac:dyDescent="0.3">
      <c r="A192" s="4">
        <f>Raw_Production!A192</f>
        <v>46058</v>
      </c>
      <c r="B192" s="3" t="str">
        <f>Raw_Production!C192</f>
        <v>Finishing</v>
      </c>
      <c r="C192" s="3" t="str">
        <f>Raw_Production!D192</f>
        <v>T04</v>
      </c>
      <c r="D192" s="3" t="str">
        <f>Raw_Production!P192</f>
        <v>ST-101</v>
      </c>
      <c r="E192" s="3" t="str">
        <f>Raw_Production!O192</f>
        <v>T-Shirt</v>
      </c>
      <c r="F192" s="6">
        <f>Raw_Production!G192</f>
        <v>0.86</v>
      </c>
      <c r="G192" s="6">
        <f>Raw_Production!N192</f>
        <v>0.74</v>
      </c>
      <c r="H192" s="6">
        <f t="shared" si="2"/>
        <v>-0.12</v>
      </c>
      <c r="I192" s="3">
        <f>Raw_Production!I192</f>
        <v>254</v>
      </c>
      <c r="J192" s="3">
        <f>Raw_Production!J192</f>
        <v>18</v>
      </c>
      <c r="K192" s="3">
        <f>Raw_Production!L192</f>
        <v>35</v>
      </c>
      <c r="L192" s="3">
        <f>Raw_Production!M192</f>
        <v>2</v>
      </c>
      <c r="M192" s="3">
        <f>Raw_Production!F192</f>
        <v>2</v>
      </c>
      <c r="N192" s="3">
        <f>Raw_Production!K192</f>
        <v>2157</v>
      </c>
      <c r="O192" s="3">
        <f>Raw_Production!H192</f>
        <v>15</v>
      </c>
      <c r="P192" s="3">
        <f>Raw_Production!E192</f>
        <v>22</v>
      </c>
    </row>
    <row r="193" spans="1:16" x14ac:dyDescent="0.3">
      <c r="A193" s="4">
        <f>Raw_Production!A193</f>
        <v>46058</v>
      </c>
      <c r="B193" s="3" t="str">
        <f>Raw_Production!C193</f>
        <v>Finishing</v>
      </c>
      <c r="C193" s="3" t="str">
        <f>Raw_Production!D193</f>
        <v>T05</v>
      </c>
      <c r="D193" s="3" t="str">
        <f>Raw_Production!P193</f>
        <v>ST-107</v>
      </c>
      <c r="E193" s="3" t="str">
        <f>Raw_Production!O193</f>
        <v>Polo</v>
      </c>
      <c r="F193" s="6">
        <f>Raw_Production!G193</f>
        <v>0.75</v>
      </c>
      <c r="G193" s="6">
        <f>Raw_Production!N193</f>
        <v>0.7</v>
      </c>
      <c r="H193" s="6">
        <f t="shared" si="2"/>
        <v>-5.0000000000000044E-2</v>
      </c>
      <c r="I193" s="3">
        <f>Raw_Production!I193</f>
        <v>286</v>
      </c>
      <c r="J193" s="3">
        <f>Raw_Production!J193</f>
        <v>32</v>
      </c>
      <c r="K193" s="3">
        <f>Raw_Production!L193</f>
        <v>58</v>
      </c>
      <c r="L193" s="3">
        <f>Raw_Production!M193</f>
        <v>1</v>
      </c>
      <c r="M193" s="3">
        <f>Raw_Production!F193</f>
        <v>0</v>
      </c>
      <c r="N193" s="3">
        <f>Raw_Production!K193</f>
        <v>2352</v>
      </c>
      <c r="O193" s="3">
        <f>Raw_Production!H193</f>
        <v>12</v>
      </c>
      <c r="P193" s="3">
        <f>Raw_Production!E193</f>
        <v>29</v>
      </c>
    </row>
    <row r="194" spans="1:16" x14ac:dyDescent="0.3">
      <c r="A194" s="4">
        <f>Raw_Production!A194</f>
        <v>46059</v>
      </c>
      <c r="B194" s="3" t="str">
        <f>Raw_Production!C194</f>
        <v>Cutting</v>
      </c>
      <c r="C194" s="3" t="str">
        <f>Raw_Production!D194</f>
        <v>T01</v>
      </c>
      <c r="D194" s="3" t="str">
        <f>Raw_Production!P194</f>
        <v>ST-110</v>
      </c>
      <c r="E194" s="3" t="str">
        <f>Raw_Production!O194</f>
        <v>Jacket</v>
      </c>
      <c r="F194" s="6">
        <f>Raw_Production!G194</f>
        <v>0.8</v>
      </c>
      <c r="G194" s="6">
        <f>Raw_Production!N194</f>
        <v>0.79</v>
      </c>
      <c r="H194" s="6">
        <f t="shared" ref="H194:H257" si="3">G194-F194</f>
        <v>-1.0000000000000009E-2</v>
      </c>
      <c r="I194" s="3">
        <f>Raw_Production!I194</f>
        <v>238</v>
      </c>
      <c r="J194" s="3">
        <f>Raw_Production!J194</f>
        <v>130</v>
      </c>
      <c r="K194" s="3">
        <f>Raw_Production!L194</f>
        <v>19</v>
      </c>
      <c r="L194" s="3">
        <f>Raw_Production!M194</f>
        <v>7</v>
      </c>
      <c r="M194" s="3">
        <f>Raw_Production!F194</f>
        <v>3</v>
      </c>
      <c r="N194" s="3">
        <f>Raw_Production!K194</f>
        <v>3303</v>
      </c>
      <c r="O194" s="3">
        <f>Raw_Production!H194</f>
        <v>12.1</v>
      </c>
      <c r="P194" s="3">
        <f>Raw_Production!E194</f>
        <v>34</v>
      </c>
    </row>
    <row r="195" spans="1:16" x14ac:dyDescent="0.3">
      <c r="A195" s="4">
        <f>Raw_Production!A195</f>
        <v>46059</v>
      </c>
      <c r="B195" s="3" t="str">
        <f>Raw_Production!C195</f>
        <v>Cutting</v>
      </c>
      <c r="C195" s="3" t="str">
        <f>Raw_Production!D195</f>
        <v>T06</v>
      </c>
      <c r="D195" s="3" t="str">
        <f>Raw_Production!P195</f>
        <v>ST-102</v>
      </c>
      <c r="E195" s="3" t="str">
        <f>Raw_Production!O195</f>
        <v>Polo</v>
      </c>
      <c r="F195" s="6">
        <f>Raw_Production!G195</f>
        <v>0.72</v>
      </c>
      <c r="G195" s="6">
        <f>Raw_Production!N195</f>
        <v>0.69</v>
      </c>
      <c r="H195" s="6">
        <f t="shared" si="3"/>
        <v>-3.0000000000000027E-2</v>
      </c>
      <c r="I195" s="3">
        <f>Raw_Production!I195</f>
        <v>239</v>
      </c>
      <c r="J195" s="3">
        <f>Raw_Production!J195</f>
        <v>85</v>
      </c>
      <c r="K195" s="3">
        <f>Raw_Production!L195</f>
        <v>14</v>
      </c>
      <c r="L195" s="3">
        <f>Raw_Production!M195</f>
        <v>5</v>
      </c>
      <c r="M195" s="3">
        <f>Raw_Production!F195</f>
        <v>1</v>
      </c>
      <c r="N195" s="3">
        <f>Raw_Production!K195</f>
        <v>1343</v>
      </c>
      <c r="O195" s="3">
        <f>Raw_Production!H195</f>
        <v>15</v>
      </c>
      <c r="P195" s="3">
        <f>Raw_Production!E195</f>
        <v>28</v>
      </c>
    </row>
    <row r="196" spans="1:16" x14ac:dyDescent="0.3">
      <c r="A196" s="4">
        <f>Raw_Production!A196</f>
        <v>46059</v>
      </c>
      <c r="B196" s="3" t="str">
        <f>Raw_Production!C196</f>
        <v>Sewing</v>
      </c>
      <c r="C196" s="3" t="str">
        <f>Raw_Production!D196</f>
        <v>T02</v>
      </c>
      <c r="D196" s="3" t="str">
        <f>Raw_Production!P196</f>
        <v>ST-106</v>
      </c>
      <c r="E196" s="3" t="str">
        <f>Raw_Production!O196</f>
        <v>T-Shirt</v>
      </c>
      <c r="F196" s="6">
        <f>Raw_Production!G196</f>
        <v>0.77</v>
      </c>
      <c r="G196" s="6">
        <f>Raw_Production!N196</f>
        <v>0.77</v>
      </c>
      <c r="H196" s="6">
        <f t="shared" si="3"/>
        <v>0</v>
      </c>
      <c r="I196" s="3">
        <f>Raw_Production!I196</f>
        <v>250</v>
      </c>
      <c r="J196" s="3">
        <f>Raw_Production!J196</f>
        <v>125</v>
      </c>
      <c r="K196" s="3">
        <f>Raw_Production!L196</f>
        <v>84</v>
      </c>
      <c r="L196" s="3">
        <f>Raw_Production!M196</f>
        <v>6</v>
      </c>
      <c r="M196" s="3">
        <f>Raw_Production!F196</f>
        <v>4</v>
      </c>
      <c r="N196" s="3">
        <f>Raw_Production!K196</f>
        <v>163</v>
      </c>
      <c r="O196" s="3">
        <f>Raw_Production!H196</f>
        <v>11.1</v>
      </c>
      <c r="P196" s="3">
        <f>Raw_Production!E196</f>
        <v>26</v>
      </c>
    </row>
    <row r="197" spans="1:16" x14ac:dyDescent="0.3">
      <c r="A197" s="4">
        <f>Raw_Production!A197</f>
        <v>46059</v>
      </c>
      <c r="B197" s="3" t="str">
        <f>Raw_Production!C197</f>
        <v>Sewing</v>
      </c>
      <c r="C197" s="3" t="str">
        <f>Raw_Production!D197</f>
        <v>T03</v>
      </c>
      <c r="D197" s="3" t="str">
        <f>Raw_Production!P197</f>
        <v>ST-106</v>
      </c>
      <c r="E197" s="3" t="str">
        <f>Raw_Production!O197</f>
        <v>T-Shirt</v>
      </c>
      <c r="F197" s="6">
        <f>Raw_Production!G197</f>
        <v>0.89</v>
      </c>
      <c r="G197" s="6">
        <f>Raw_Production!N197</f>
        <v>0.84</v>
      </c>
      <c r="H197" s="6">
        <f t="shared" si="3"/>
        <v>-5.0000000000000044E-2</v>
      </c>
      <c r="I197" s="3">
        <f>Raw_Production!I197</f>
        <v>98</v>
      </c>
      <c r="J197" s="3">
        <f>Raw_Production!J197</f>
        <v>66</v>
      </c>
      <c r="K197" s="3">
        <f>Raw_Production!L197</f>
        <v>89</v>
      </c>
      <c r="L197" s="3">
        <f>Raw_Production!M197</f>
        <v>7</v>
      </c>
      <c r="M197" s="3">
        <f>Raw_Production!F197</f>
        <v>0</v>
      </c>
      <c r="N197" s="3">
        <f>Raw_Production!K197</f>
        <v>3230</v>
      </c>
      <c r="O197" s="3">
        <f>Raw_Production!H197</f>
        <v>9.6999999999999993</v>
      </c>
      <c r="P197" s="3">
        <f>Raw_Production!E197</f>
        <v>29</v>
      </c>
    </row>
    <row r="198" spans="1:16" x14ac:dyDescent="0.3">
      <c r="A198" s="4">
        <f>Raw_Production!A198</f>
        <v>46059</v>
      </c>
      <c r="B198" s="3" t="str">
        <f>Raw_Production!C198</f>
        <v>Finishing</v>
      </c>
      <c r="C198" s="3" t="str">
        <f>Raw_Production!D198</f>
        <v>T04</v>
      </c>
      <c r="D198" s="3" t="str">
        <f>Raw_Production!P198</f>
        <v>ST-109</v>
      </c>
      <c r="E198" s="3" t="str">
        <f>Raw_Production!O198</f>
        <v>Shirt</v>
      </c>
      <c r="F198" s="6">
        <f>Raw_Production!G198</f>
        <v>0.83</v>
      </c>
      <c r="G198" s="6">
        <f>Raw_Production!N198</f>
        <v>0.67</v>
      </c>
      <c r="H198" s="6">
        <f t="shared" si="3"/>
        <v>-0.15999999999999992</v>
      </c>
      <c r="I198" s="3">
        <f>Raw_Production!I198</f>
        <v>329</v>
      </c>
      <c r="J198" s="3">
        <f>Raw_Production!J198</f>
        <v>84</v>
      </c>
      <c r="K198" s="3">
        <f>Raw_Production!L198</f>
        <v>62</v>
      </c>
      <c r="L198" s="3">
        <f>Raw_Production!M198</f>
        <v>5</v>
      </c>
      <c r="M198" s="3">
        <f>Raw_Production!F198</f>
        <v>1</v>
      </c>
      <c r="N198" s="3">
        <f>Raw_Production!K198</f>
        <v>2724</v>
      </c>
      <c r="O198" s="3">
        <f>Raw_Production!H198</f>
        <v>10.7</v>
      </c>
      <c r="P198" s="3">
        <f>Raw_Production!E198</f>
        <v>35</v>
      </c>
    </row>
    <row r="199" spans="1:16" x14ac:dyDescent="0.3">
      <c r="A199" s="4">
        <f>Raw_Production!A199</f>
        <v>46059</v>
      </c>
      <c r="B199" s="3" t="str">
        <f>Raw_Production!C199</f>
        <v>Finishing</v>
      </c>
      <c r="C199" s="3" t="str">
        <f>Raw_Production!D199</f>
        <v>T05</v>
      </c>
      <c r="D199" s="3" t="str">
        <f>Raw_Production!P199</f>
        <v>ST-104</v>
      </c>
      <c r="E199" s="3" t="str">
        <f>Raw_Production!O199</f>
        <v>Shirt</v>
      </c>
      <c r="F199" s="6">
        <f>Raw_Production!G199</f>
        <v>0.78</v>
      </c>
      <c r="G199" s="6">
        <f>Raw_Production!N199</f>
        <v>0.73</v>
      </c>
      <c r="H199" s="6">
        <f t="shared" si="3"/>
        <v>-5.0000000000000044E-2</v>
      </c>
      <c r="I199" s="3">
        <f>Raw_Production!I199</f>
        <v>148</v>
      </c>
      <c r="J199" s="3">
        <f>Raw_Production!J199</f>
        <v>108</v>
      </c>
      <c r="K199" s="3">
        <f>Raw_Production!L199</f>
        <v>82</v>
      </c>
      <c r="L199" s="3">
        <f>Raw_Production!M199</f>
        <v>0</v>
      </c>
      <c r="M199" s="3">
        <f>Raw_Production!F199</f>
        <v>2</v>
      </c>
      <c r="N199" s="3">
        <f>Raw_Production!K199</f>
        <v>4222</v>
      </c>
      <c r="O199" s="3">
        <f>Raw_Production!H199</f>
        <v>8.1999999999999993</v>
      </c>
      <c r="P199" s="3">
        <f>Raw_Production!E199</f>
        <v>24</v>
      </c>
    </row>
    <row r="200" spans="1:16" x14ac:dyDescent="0.3">
      <c r="A200" s="4">
        <f>Raw_Production!A200</f>
        <v>46060</v>
      </c>
      <c r="B200" s="3" t="str">
        <f>Raw_Production!C200</f>
        <v>Cutting</v>
      </c>
      <c r="C200" s="3" t="str">
        <f>Raw_Production!D200</f>
        <v>T01</v>
      </c>
      <c r="D200" s="3" t="str">
        <f>Raw_Production!P200</f>
        <v>ST-110</v>
      </c>
      <c r="E200" s="3" t="str">
        <f>Raw_Production!O200</f>
        <v>Jacket</v>
      </c>
      <c r="F200" s="6">
        <f>Raw_Production!G200</f>
        <v>0.84</v>
      </c>
      <c r="G200" s="6">
        <f>Raw_Production!N200</f>
        <v>0.77</v>
      </c>
      <c r="H200" s="6">
        <f t="shared" si="3"/>
        <v>-6.9999999999999951E-2</v>
      </c>
      <c r="I200" s="3">
        <f>Raw_Production!I200</f>
        <v>433</v>
      </c>
      <c r="J200" s="3">
        <f>Raw_Production!J200</f>
        <v>9</v>
      </c>
      <c r="K200" s="3">
        <f>Raw_Production!L200</f>
        <v>59</v>
      </c>
      <c r="L200" s="3">
        <f>Raw_Production!M200</f>
        <v>7</v>
      </c>
      <c r="M200" s="3">
        <f>Raw_Production!F200</f>
        <v>1</v>
      </c>
      <c r="N200" s="3">
        <f>Raw_Production!K200</f>
        <v>1428</v>
      </c>
      <c r="O200" s="3">
        <f>Raw_Production!H200</f>
        <v>9.8000000000000007</v>
      </c>
      <c r="P200" s="3">
        <f>Raw_Production!E200</f>
        <v>28</v>
      </c>
    </row>
    <row r="201" spans="1:16" x14ac:dyDescent="0.3">
      <c r="A201" s="4">
        <f>Raw_Production!A201</f>
        <v>46060</v>
      </c>
      <c r="B201" s="3" t="str">
        <f>Raw_Production!C201</f>
        <v>Cutting</v>
      </c>
      <c r="C201" s="3" t="str">
        <f>Raw_Production!D201</f>
        <v>T06</v>
      </c>
      <c r="D201" s="3" t="str">
        <f>Raw_Production!P201</f>
        <v>ST-103</v>
      </c>
      <c r="E201" s="3" t="str">
        <f>Raw_Production!O201</f>
        <v>Hoodie</v>
      </c>
      <c r="F201" s="6">
        <f>Raw_Production!G201</f>
        <v>0.72</v>
      </c>
      <c r="G201" s="6">
        <f>Raw_Production!N201</f>
        <v>0.75</v>
      </c>
      <c r="H201" s="6">
        <f t="shared" si="3"/>
        <v>3.0000000000000027E-2</v>
      </c>
      <c r="I201" s="3">
        <f>Raw_Production!I201</f>
        <v>226</v>
      </c>
      <c r="J201" s="3">
        <f>Raw_Production!J201</f>
        <v>4</v>
      </c>
      <c r="K201" s="3">
        <f>Raw_Production!L201</f>
        <v>13</v>
      </c>
      <c r="L201" s="3">
        <f>Raw_Production!M201</f>
        <v>2</v>
      </c>
      <c r="M201" s="3">
        <f>Raw_Production!F201</f>
        <v>1</v>
      </c>
      <c r="N201" s="3">
        <f>Raw_Production!K201</f>
        <v>3800</v>
      </c>
      <c r="O201" s="3">
        <f>Raw_Production!H201</f>
        <v>8.4</v>
      </c>
      <c r="P201" s="3">
        <f>Raw_Production!E201</f>
        <v>26</v>
      </c>
    </row>
    <row r="202" spans="1:16" x14ac:dyDescent="0.3">
      <c r="A202" s="4">
        <f>Raw_Production!A202</f>
        <v>46060</v>
      </c>
      <c r="B202" s="3" t="str">
        <f>Raw_Production!C202</f>
        <v>Sewing</v>
      </c>
      <c r="C202" s="3" t="str">
        <f>Raw_Production!D202</f>
        <v>T02</v>
      </c>
      <c r="D202" s="3" t="str">
        <f>Raw_Production!P202</f>
        <v>ST-109</v>
      </c>
      <c r="E202" s="3" t="str">
        <f>Raw_Production!O202</f>
        <v>Shirt</v>
      </c>
      <c r="F202" s="6">
        <f>Raw_Production!G202</f>
        <v>0.76</v>
      </c>
      <c r="G202" s="6">
        <f>Raw_Production!N202</f>
        <v>0.59</v>
      </c>
      <c r="H202" s="6">
        <f t="shared" si="3"/>
        <v>-0.17000000000000004</v>
      </c>
      <c r="I202" s="3">
        <f>Raw_Production!I202</f>
        <v>36</v>
      </c>
      <c r="J202" s="3">
        <f>Raw_Production!J202</f>
        <v>139</v>
      </c>
      <c r="K202" s="3">
        <f>Raw_Production!L202</f>
        <v>110</v>
      </c>
      <c r="L202" s="3">
        <f>Raw_Production!M202</f>
        <v>3</v>
      </c>
      <c r="M202" s="3">
        <f>Raw_Production!F202</f>
        <v>0</v>
      </c>
      <c r="N202" s="3">
        <f>Raw_Production!K202</f>
        <v>4388</v>
      </c>
      <c r="O202" s="3">
        <f>Raw_Production!H202</f>
        <v>16.8</v>
      </c>
      <c r="P202" s="3">
        <f>Raw_Production!E202</f>
        <v>33</v>
      </c>
    </row>
    <row r="203" spans="1:16" x14ac:dyDescent="0.3">
      <c r="A203" s="4">
        <f>Raw_Production!A203</f>
        <v>46060</v>
      </c>
      <c r="B203" s="3" t="str">
        <f>Raw_Production!C203</f>
        <v>Sewing</v>
      </c>
      <c r="C203" s="3" t="str">
        <f>Raw_Production!D203</f>
        <v>T03</v>
      </c>
      <c r="D203" s="3" t="str">
        <f>Raw_Production!P203</f>
        <v>ST-110</v>
      </c>
      <c r="E203" s="3" t="str">
        <f>Raw_Production!O203</f>
        <v>Jacket</v>
      </c>
      <c r="F203" s="6">
        <f>Raw_Production!G203</f>
        <v>0.75</v>
      </c>
      <c r="G203" s="6">
        <f>Raw_Production!N203</f>
        <v>0.8</v>
      </c>
      <c r="H203" s="6">
        <f t="shared" si="3"/>
        <v>5.0000000000000044E-2</v>
      </c>
      <c r="I203" s="3">
        <f>Raw_Production!I203</f>
        <v>57</v>
      </c>
      <c r="J203" s="3">
        <f>Raw_Production!J203</f>
        <v>108</v>
      </c>
      <c r="K203" s="3">
        <f>Raw_Production!L203</f>
        <v>38</v>
      </c>
      <c r="L203" s="3">
        <f>Raw_Production!M203</f>
        <v>1</v>
      </c>
      <c r="M203" s="3">
        <f>Raw_Production!F203</f>
        <v>2</v>
      </c>
      <c r="N203" s="3">
        <f>Raw_Production!K203</f>
        <v>1858</v>
      </c>
      <c r="O203" s="3">
        <f>Raw_Production!H203</f>
        <v>9</v>
      </c>
      <c r="P203" s="3">
        <f>Raw_Production!E203</f>
        <v>31</v>
      </c>
    </row>
    <row r="204" spans="1:16" x14ac:dyDescent="0.3">
      <c r="A204" s="4">
        <f>Raw_Production!A204</f>
        <v>46060</v>
      </c>
      <c r="B204" s="3" t="str">
        <f>Raw_Production!C204</f>
        <v>Finishing</v>
      </c>
      <c r="C204" s="3" t="str">
        <f>Raw_Production!D204</f>
        <v>T04</v>
      </c>
      <c r="D204" s="3" t="str">
        <f>Raw_Production!P204</f>
        <v>ST-103</v>
      </c>
      <c r="E204" s="3" t="str">
        <f>Raw_Production!O204</f>
        <v>Hoodie</v>
      </c>
      <c r="F204" s="6">
        <f>Raw_Production!G204</f>
        <v>0.8</v>
      </c>
      <c r="G204" s="6">
        <f>Raw_Production!N204</f>
        <v>0.87</v>
      </c>
      <c r="H204" s="6">
        <f t="shared" si="3"/>
        <v>6.9999999999999951E-2</v>
      </c>
      <c r="I204" s="3">
        <f>Raw_Production!I204</f>
        <v>243</v>
      </c>
      <c r="J204" s="3">
        <f>Raw_Production!J204</f>
        <v>17</v>
      </c>
      <c r="K204" s="3">
        <f>Raw_Production!L204</f>
        <v>13</v>
      </c>
      <c r="L204" s="3">
        <f>Raw_Production!M204</f>
        <v>3</v>
      </c>
      <c r="M204" s="3">
        <f>Raw_Production!F204</f>
        <v>0</v>
      </c>
      <c r="N204" s="3">
        <f>Raw_Production!K204</f>
        <v>2653</v>
      </c>
      <c r="O204" s="3">
        <f>Raw_Production!H204</f>
        <v>17.5</v>
      </c>
      <c r="P204" s="3">
        <f>Raw_Production!E204</f>
        <v>29</v>
      </c>
    </row>
    <row r="205" spans="1:16" x14ac:dyDescent="0.3">
      <c r="A205" s="4">
        <f>Raw_Production!A205</f>
        <v>46060</v>
      </c>
      <c r="B205" s="3" t="str">
        <f>Raw_Production!C205</f>
        <v>Finishing</v>
      </c>
      <c r="C205" s="3" t="str">
        <f>Raw_Production!D205</f>
        <v>T05</v>
      </c>
      <c r="D205" s="3" t="str">
        <f>Raw_Production!P205</f>
        <v>ST-103</v>
      </c>
      <c r="E205" s="3" t="str">
        <f>Raw_Production!O205</f>
        <v>Hoodie</v>
      </c>
      <c r="F205" s="6">
        <f>Raw_Production!G205</f>
        <v>0.86</v>
      </c>
      <c r="G205" s="6">
        <f>Raw_Production!N205</f>
        <v>0.8</v>
      </c>
      <c r="H205" s="6">
        <f t="shared" si="3"/>
        <v>-5.9999999999999942E-2</v>
      </c>
      <c r="I205" s="3">
        <f>Raw_Production!I205</f>
        <v>332</v>
      </c>
      <c r="J205" s="3">
        <f>Raw_Production!J205</f>
        <v>3</v>
      </c>
      <c r="K205" s="3">
        <f>Raw_Production!L205</f>
        <v>15</v>
      </c>
      <c r="L205" s="3">
        <f>Raw_Production!M205</f>
        <v>6</v>
      </c>
      <c r="M205" s="3">
        <f>Raw_Production!F205</f>
        <v>0</v>
      </c>
      <c r="N205" s="3">
        <f>Raw_Production!K205</f>
        <v>72</v>
      </c>
      <c r="O205" s="3">
        <f>Raw_Production!H205</f>
        <v>12.9</v>
      </c>
      <c r="P205" s="3">
        <f>Raw_Production!E205</f>
        <v>29</v>
      </c>
    </row>
    <row r="206" spans="1:16" x14ac:dyDescent="0.3">
      <c r="A206" s="4">
        <f>Raw_Production!A206</f>
        <v>46061</v>
      </c>
      <c r="B206" s="3" t="str">
        <f>Raw_Production!C206</f>
        <v>Cutting</v>
      </c>
      <c r="C206" s="3" t="str">
        <f>Raw_Production!D206</f>
        <v>T01</v>
      </c>
      <c r="D206" s="3" t="str">
        <f>Raw_Production!P206</f>
        <v>ST-109</v>
      </c>
      <c r="E206" s="3" t="str">
        <f>Raw_Production!O206</f>
        <v>Shirt</v>
      </c>
      <c r="F206" s="6">
        <f>Raw_Production!G206</f>
        <v>0.82</v>
      </c>
      <c r="G206" s="6">
        <f>Raw_Production!N206</f>
        <v>0.85</v>
      </c>
      <c r="H206" s="6">
        <f t="shared" si="3"/>
        <v>3.0000000000000027E-2</v>
      </c>
      <c r="I206" s="3">
        <f>Raw_Production!I206</f>
        <v>376</v>
      </c>
      <c r="J206" s="3">
        <f>Raw_Production!J206</f>
        <v>54</v>
      </c>
      <c r="K206" s="3">
        <f>Raw_Production!L206</f>
        <v>48</v>
      </c>
      <c r="L206" s="3">
        <f>Raw_Production!M206</f>
        <v>3</v>
      </c>
      <c r="M206" s="3">
        <f>Raw_Production!F206</f>
        <v>0</v>
      </c>
      <c r="N206" s="3">
        <f>Raw_Production!K206</f>
        <v>2498</v>
      </c>
      <c r="O206" s="3">
        <f>Raw_Production!H206</f>
        <v>13.7</v>
      </c>
      <c r="P206" s="3">
        <f>Raw_Production!E206</f>
        <v>20</v>
      </c>
    </row>
    <row r="207" spans="1:16" x14ac:dyDescent="0.3">
      <c r="A207" s="4">
        <f>Raw_Production!A207</f>
        <v>46061</v>
      </c>
      <c r="B207" s="3" t="str">
        <f>Raw_Production!C207</f>
        <v>Cutting</v>
      </c>
      <c r="C207" s="3" t="str">
        <f>Raw_Production!D207</f>
        <v>T06</v>
      </c>
      <c r="D207" s="3" t="str">
        <f>Raw_Production!P207</f>
        <v>ST-101</v>
      </c>
      <c r="E207" s="3" t="str">
        <f>Raw_Production!O207</f>
        <v>T-Shirt</v>
      </c>
      <c r="F207" s="6">
        <f>Raw_Production!G207</f>
        <v>0.87</v>
      </c>
      <c r="G207" s="6">
        <f>Raw_Production!N207</f>
        <v>0.8</v>
      </c>
      <c r="H207" s="6">
        <f t="shared" si="3"/>
        <v>-6.9999999999999951E-2</v>
      </c>
      <c r="I207" s="3">
        <f>Raw_Production!I207</f>
        <v>112</v>
      </c>
      <c r="J207" s="3">
        <f>Raw_Production!J207</f>
        <v>138</v>
      </c>
      <c r="K207" s="3">
        <f>Raw_Production!L207</f>
        <v>8</v>
      </c>
      <c r="L207" s="3">
        <f>Raw_Production!M207</f>
        <v>2</v>
      </c>
      <c r="M207" s="3">
        <f>Raw_Production!F207</f>
        <v>2</v>
      </c>
      <c r="N207" s="3">
        <f>Raw_Production!K207</f>
        <v>2385</v>
      </c>
      <c r="O207" s="3">
        <f>Raw_Production!H207</f>
        <v>12.1</v>
      </c>
      <c r="P207" s="3">
        <f>Raw_Production!E207</f>
        <v>23</v>
      </c>
    </row>
    <row r="208" spans="1:16" x14ac:dyDescent="0.3">
      <c r="A208" s="4">
        <f>Raw_Production!A208</f>
        <v>46061</v>
      </c>
      <c r="B208" s="3" t="str">
        <f>Raw_Production!C208</f>
        <v>Sewing</v>
      </c>
      <c r="C208" s="3" t="str">
        <f>Raw_Production!D208</f>
        <v>T02</v>
      </c>
      <c r="D208" s="3" t="str">
        <f>Raw_Production!P208</f>
        <v>ST-110</v>
      </c>
      <c r="E208" s="3" t="str">
        <f>Raw_Production!O208</f>
        <v>Jacket</v>
      </c>
      <c r="F208" s="6">
        <f>Raw_Production!G208</f>
        <v>0.88</v>
      </c>
      <c r="G208" s="6">
        <f>Raw_Production!N208</f>
        <v>0.92</v>
      </c>
      <c r="H208" s="6">
        <f t="shared" si="3"/>
        <v>4.0000000000000036E-2</v>
      </c>
      <c r="I208" s="3">
        <f>Raw_Production!I208</f>
        <v>141</v>
      </c>
      <c r="J208" s="3">
        <f>Raw_Production!J208</f>
        <v>120</v>
      </c>
      <c r="K208" s="3">
        <f>Raw_Production!L208</f>
        <v>12</v>
      </c>
      <c r="L208" s="3">
        <f>Raw_Production!M208</f>
        <v>0</v>
      </c>
      <c r="M208" s="3">
        <f>Raw_Production!F208</f>
        <v>0</v>
      </c>
      <c r="N208" s="3">
        <f>Raw_Production!K208</f>
        <v>2851</v>
      </c>
      <c r="O208" s="3">
        <f>Raw_Production!H208</f>
        <v>13.3</v>
      </c>
      <c r="P208" s="3">
        <f>Raw_Production!E208</f>
        <v>22</v>
      </c>
    </row>
    <row r="209" spans="1:16" x14ac:dyDescent="0.3">
      <c r="A209" s="4">
        <f>Raw_Production!A209</f>
        <v>46061</v>
      </c>
      <c r="B209" s="3" t="str">
        <f>Raw_Production!C209</f>
        <v>Sewing</v>
      </c>
      <c r="C209" s="3" t="str">
        <f>Raw_Production!D209</f>
        <v>T03</v>
      </c>
      <c r="D209" s="3" t="str">
        <f>Raw_Production!P209</f>
        <v>ST-101</v>
      </c>
      <c r="E209" s="3" t="str">
        <f>Raw_Production!O209</f>
        <v>T-Shirt</v>
      </c>
      <c r="F209" s="6">
        <f>Raw_Production!G209</f>
        <v>0.86</v>
      </c>
      <c r="G209" s="6">
        <f>Raw_Production!N209</f>
        <v>0.86</v>
      </c>
      <c r="H209" s="6">
        <f t="shared" si="3"/>
        <v>0</v>
      </c>
      <c r="I209" s="3">
        <f>Raw_Production!I209</f>
        <v>333</v>
      </c>
      <c r="J209" s="3">
        <f>Raw_Production!J209</f>
        <v>124</v>
      </c>
      <c r="K209" s="3">
        <f>Raw_Production!L209</f>
        <v>79</v>
      </c>
      <c r="L209" s="3">
        <f>Raw_Production!M209</f>
        <v>2</v>
      </c>
      <c r="M209" s="3">
        <f>Raw_Production!F209</f>
        <v>2</v>
      </c>
      <c r="N209" s="3">
        <f>Raw_Production!K209</f>
        <v>1612</v>
      </c>
      <c r="O209" s="3">
        <f>Raw_Production!H209</f>
        <v>14.7</v>
      </c>
      <c r="P209" s="3">
        <f>Raw_Production!E209</f>
        <v>20</v>
      </c>
    </row>
    <row r="210" spans="1:16" x14ac:dyDescent="0.3">
      <c r="A210" s="4">
        <f>Raw_Production!A210</f>
        <v>46061</v>
      </c>
      <c r="B210" s="3" t="str">
        <f>Raw_Production!C210</f>
        <v>Finishing</v>
      </c>
      <c r="C210" s="3" t="str">
        <f>Raw_Production!D210</f>
        <v>T04</v>
      </c>
      <c r="D210" s="3" t="str">
        <f>Raw_Production!P210</f>
        <v>ST-101</v>
      </c>
      <c r="E210" s="3" t="str">
        <f>Raw_Production!O210</f>
        <v>T-Shirt</v>
      </c>
      <c r="F210" s="6">
        <f>Raw_Production!G210</f>
        <v>0.75</v>
      </c>
      <c r="G210" s="6">
        <f>Raw_Production!N210</f>
        <v>0.64</v>
      </c>
      <c r="H210" s="6">
        <f t="shared" si="3"/>
        <v>-0.10999999999999999</v>
      </c>
      <c r="I210" s="3">
        <f>Raw_Production!I210</f>
        <v>334</v>
      </c>
      <c r="J210" s="3">
        <f>Raw_Production!J210</f>
        <v>74</v>
      </c>
      <c r="K210" s="3">
        <f>Raw_Production!L210</f>
        <v>19</v>
      </c>
      <c r="L210" s="3">
        <f>Raw_Production!M210</f>
        <v>7</v>
      </c>
      <c r="M210" s="3">
        <f>Raw_Production!F210</f>
        <v>3</v>
      </c>
      <c r="N210" s="3">
        <f>Raw_Production!K210</f>
        <v>3691</v>
      </c>
      <c r="O210" s="3">
        <f>Raw_Production!H210</f>
        <v>8</v>
      </c>
      <c r="P210" s="3">
        <f>Raw_Production!E210</f>
        <v>33</v>
      </c>
    </row>
    <row r="211" spans="1:16" x14ac:dyDescent="0.3">
      <c r="A211" s="4">
        <f>Raw_Production!A211</f>
        <v>46061</v>
      </c>
      <c r="B211" s="3" t="str">
        <f>Raw_Production!C211</f>
        <v>Finishing</v>
      </c>
      <c r="C211" s="3" t="str">
        <f>Raw_Production!D211</f>
        <v>T05</v>
      </c>
      <c r="D211" s="3" t="str">
        <f>Raw_Production!P211</f>
        <v>ST-102</v>
      </c>
      <c r="E211" s="3" t="str">
        <f>Raw_Production!O211</f>
        <v>Polo</v>
      </c>
      <c r="F211" s="6">
        <f>Raw_Production!G211</f>
        <v>0.88</v>
      </c>
      <c r="G211" s="6">
        <f>Raw_Production!N211</f>
        <v>0.94</v>
      </c>
      <c r="H211" s="6">
        <f t="shared" si="3"/>
        <v>5.9999999999999942E-2</v>
      </c>
      <c r="I211" s="3">
        <f>Raw_Production!I211</f>
        <v>141</v>
      </c>
      <c r="J211" s="3">
        <f>Raw_Production!J211</f>
        <v>97</v>
      </c>
      <c r="K211" s="3">
        <f>Raw_Production!L211</f>
        <v>18</v>
      </c>
      <c r="L211" s="3">
        <f>Raw_Production!M211</f>
        <v>3</v>
      </c>
      <c r="M211" s="3">
        <f>Raw_Production!F211</f>
        <v>2</v>
      </c>
      <c r="N211" s="3">
        <f>Raw_Production!K211</f>
        <v>1878</v>
      </c>
      <c r="O211" s="3">
        <f>Raw_Production!H211</f>
        <v>9.5</v>
      </c>
      <c r="P211" s="3">
        <f>Raw_Production!E211</f>
        <v>38</v>
      </c>
    </row>
    <row r="212" spans="1:16" x14ac:dyDescent="0.3">
      <c r="A212" s="4">
        <f>Raw_Production!A212</f>
        <v>46062</v>
      </c>
      <c r="B212" s="3" t="str">
        <f>Raw_Production!C212</f>
        <v>Cutting</v>
      </c>
      <c r="C212" s="3" t="str">
        <f>Raw_Production!D212</f>
        <v>T01</v>
      </c>
      <c r="D212" s="3" t="str">
        <f>Raw_Production!P212</f>
        <v>ST-110</v>
      </c>
      <c r="E212" s="3" t="str">
        <f>Raw_Production!O212</f>
        <v>Jacket</v>
      </c>
      <c r="F212" s="6">
        <f>Raw_Production!G212</f>
        <v>0.81</v>
      </c>
      <c r="G212" s="6">
        <f>Raw_Production!N212</f>
        <v>0.65</v>
      </c>
      <c r="H212" s="6">
        <f t="shared" si="3"/>
        <v>-0.16000000000000003</v>
      </c>
      <c r="I212" s="3">
        <f>Raw_Production!I212</f>
        <v>333</v>
      </c>
      <c r="J212" s="3">
        <f>Raw_Production!J212</f>
        <v>45</v>
      </c>
      <c r="K212" s="3">
        <f>Raw_Production!L212</f>
        <v>61</v>
      </c>
      <c r="L212" s="3">
        <f>Raw_Production!M212</f>
        <v>1</v>
      </c>
      <c r="M212" s="3">
        <f>Raw_Production!F212</f>
        <v>1</v>
      </c>
      <c r="N212" s="3">
        <f>Raw_Production!K212</f>
        <v>441</v>
      </c>
      <c r="O212" s="3">
        <f>Raw_Production!H212</f>
        <v>8.9</v>
      </c>
      <c r="P212" s="3">
        <f>Raw_Production!E212</f>
        <v>26</v>
      </c>
    </row>
    <row r="213" spans="1:16" x14ac:dyDescent="0.3">
      <c r="A213" s="4">
        <f>Raw_Production!A213</f>
        <v>46062</v>
      </c>
      <c r="B213" s="3" t="str">
        <f>Raw_Production!C213</f>
        <v>Cutting</v>
      </c>
      <c r="C213" s="3" t="str">
        <f>Raw_Production!D213</f>
        <v>T06</v>
      </c>
      <c r="D213" s="3" t="str">
        <f>Raw_Production!P213</f>
        <v>ST-104</v>
      </c>
      <c r="E213" s="3" t="str">
        <f>Raw_Production!O213</f>
        <v>Shirt</v>
      </c>
      <c r="F213" s="6">
        <f>Raw_Production!G213</f>
        <v>0.8</v>
      </c>
      <c r="G213" s="6">
        <f>Raw_Production!N213</f>
        <v>0.8</v>
      </c>
      <c r="H213" s="6">
        <f t="shared" si="3"/>
        <v>0</v>
      </c>
      <c r="I213" s="3">
        <f>Raw_Production!I213</f>
        <v>269</v>
      </c>
      <c r="J213" s="3">
        <f>Raw_Production!J213</f>
        <v>77</v>
      </c>
      <c r="K213" s="3">
        <f>Raw_Production!L213</f>
        <v>20</v>
      </c>
      <c r="L213" s="3">
        <f>Raw_Production!M213</f>
        <v>5</v>
      </c>
      <c r="M213" s="3">
        <f>Raw_Production!F213</f>
        <v>0</v>
      </c>
      <c r="N213" s="3">
        <f>Raw_Production!K213</f>
        <v>1650</v>
      </c>
      <c r="O213" s="3">
        <f>Raw_Production!H213</f>
        <v>8.4</v>
      </c>
      <c r="P213" s="3">
        <f>Raw_Production!E213</f>
        <v>36</v>
      </c>
    </row>
    <row r="214" spans="1:16" x14ac:dyDescent="0.3">
      <c r="A214" s="4">
        <f>Raw_Production!A214</f>
        <v>46062</v>
      </c>
      <c r="B214" s="3" t="str">
        <f>Raw_Production!C214</f>
        <v>Sewing</v>
      </c>
      <c r="C214" s="3" t="str">
        <f>Raw_Production!D214</f>
        <v>T02</v>
      </c>
      <c r="D214" s="3" t="str">
        <f>Raw_Production!P214</f>
        <v>ST-106</v>
      </c>
      <c r="E214" s="3" t="str">
        <f>Raw_Production!O214</f>
        <v>T-Shirt</v>
      </c>
      <c r="F214" s="6">
        <f>Raw_Production!G214</f>
        <v>0.9</v>
      </c>
      <c r="G214" s="6">
        <f>Raw_Production!N214</f>
        <v>0.86</v>
      </c>
      <c r="H214" s="6">
        <f t="shared" si="3"/>
        <v>-4.0000000000000036E-2</v>
      </c>
      <c r="I214" s="3">
        <f>Raw_Production!I214</f>
        <v>430</v>
      </c>
      <c r="J214" s="3">
        <f>Raw_Production!J214</f>
        <v>144</v>
      </c>
      <c r="K214" s="3">
        <f>Raw_Production!L214</f>
        <v>117</v>
      </c>
      <c r="L214" s="3">
        <f>Raw_Production!M214</f>
        <v>6</v>
      </c>
      <c r="M214" s="3">
        <f>Raw_Production!F214</f>
        <v>3</v>
      </c>
      <c r="N214" s="3">
        <f>Raw_Production!K214</f>
        <v>704</v>
      </c>
      <c r="O214" s="3">
        <f>Raw_Production!H214</f>
        <v>10</v>
      </c>
      <c r="P214" s="3">
        <f>Raw_Production!E214</f>
        <v>26</v>
      </c>
    </row>
    <row r="215" spans="1:16" x14ac:dyDescent="0.3">
      <c r="A215" s="4">
        <f>Raw_Production!A215</f>
        <v>46062</v>
      </c>
      <c r="B215" s="3" t="str">
        <f>Raw_Production!C215</f>
        <v>Sewing</v>
      </c>
      <c r="C215" s="3" t="str">
        <f>Raw_Production!D215</f>
        <v>T03</v>
      </c>
      <c r="D215" s="3" t="str">
        <f>Raw_Production!P215</f>
        <v>ST-105</v>
      </c>
      <c r="E215" s="3" t="str">
        <f>Raw_Production!O215</f>
        <v>Jacket</v>
      </c>
      <c r="F215" s="6">
        <f>Raw_Production!G215</f>
        <v>0.83</v>
      </c>
      <c r="G215" s="6">
        <f>Raw_Production!N215</f>
        <v>0.75</v>
      </c>
      <c r="H215" s="6">
        <f t="shared" si="3"/>
        <v>-7.999999999999996E-2</v>
      </c>
      <c r="I215" s="3">
        <f>Raw_Production!I215</f>
        <v>344</v>
      </c>
      <c r="J215" s="3">
        <f>Raw_Production!J215</f>
        <v>126</v>
      </c>
      <c r="K215" s="3">
        <f>Raw_Production!L215</f>
        <v>96</v>
      </c>
      <c r="L215" s="3">
        <f>Raw_Production!M215</f>
        <v>1</v>
      </c>
      <c r="M215" s="3">
        <f>Raw_Production!F215</f>
        <v>3</v>
      </c>
      <c r="N215" s="3">
        <f>Raw_Production!K215</f>
        <v>569</v>
      </c>
      <c r="O215" s="3">
        <f>Raw_Production!H215</f>
        <v>15.3</v>
      </c>
      <c r="P215" s="3">
        <f>Raw_Production!E215</f>
        <v>38</v>
      </c>
    </row>
    <row r="216" spans="1:16" x14ac:dyDescent="0.3">
      <c r="A216" s="4">
        <f>Raw_Production!A216</f>
        <v>46062</v>
      </c>
      <c r="B216" s="3" t="str">
        <f>Raw_Production!C216</f>
        <v>Finishing</v>
      </c>
      <c r="C216" s="3" t="str">
        <f>Raw_Production!D216</f>
        <v>T04</v>
      </c>
      <c r="D216" s="3" t="str">
        <f>Raw_Production!P216</f>
        <v>ST-101</v>
      </c>
      <c r="E216" s="3" t="str">
        <f>Raw_Production!O216</f>
        <v>T-Shirt</v>
      </c>
      <c r="F216" s="6">
        <f>Raw_Production!G216</f>
        <v>0.78</v>
      </c>
      <c r="G216" s="6">
        <f>Raw_Production!N216</f>
        <v>0.6</v>
      </c>
      <c r="H216" s="6">
        <f t="shared" si="3"/>
        <v>-0.18000000000000005</v>
      </c>
      <c r="I216" s="3">
        <f>Raw_Production!I216</f>
        <v>104</v>
      </c>
      <c r="J216" s="3">
        <f>Raw_Production!J216</f>
        <v>136</v>
      </c>
      <c r="K216" s="3">
        <f>Raw_Production!L216</f>
        <v>62</v>
      </c>
      <c r="L216" s="3">
        <f>Raw_Production!M216</f>
        <v>2</v>
      </c>
      <c r="M216" s="3">
        <f>Raw_Production!F216</f>
        <v>1</v>
      </c>
      <c r="N216" s="3">
        <f>Raw_Production!K216</f>
        <v>2644</v>
      </c>
      <c r="O216" s="3">
        <f>Raw_Production!H216</f>
        <v>13.7</v>
      </c>
      <c r="P216" s="3">
        <f>Raw_Production!E216</f>
        <v>27</v>
      </c>
    </row>
    <row r="217" spans="1:16" x14ac:dyDescent="0.3">
      <c r="A217" s="4">
        <f>Raw_Production!A217</f>
        <v>46062</v>
      </c>
      <c r="B217" s="3" t="str">
        <f>Raw_Production!C217</f>
        <v>Finishing</v>
      </c>
      <c r="C217" s="3" t="str">
        <f>Raw_Production!D217</f>
        <v>T05</v>
      </c>
      <c r="D217" s="3" t="str">
        <f>Raw_Production!P217</f>
        <v>ST-106</v>
      </c>
      <c r="E217" s="3" t="str">
        <f>Raw_Production!O217</f>
        <v>T-Shirt</v>
      </c>
      <c r="F217" s="6">
        <f>Raw_Production!G217</f>
        <v>0.83</v>
      </c>
      <c r="G217" s="6">
        <f>Raw_Production!N217</f>
        <v>0.84</v>
      </c>
      <c r="H217" s="6">
        <f t="shared" si="3"/>
        <v>1.0000000000000009E-2</v>
      </c>
      <c r="I217" s="3">
        <f>Raw_Production!I217</f>
        <v>153</v>
      </c>
      <c r="J217" s="3">
        <f>Raw_Production!J217</f>
        <v>150</v>
      </c>
      <c r="K217" s="3">
        <f>Raw_Production!L217</f>
        <v>118</v>
      </c>
      <c r="L217" s="3">
        <f>Raw_Production!M217</f>
        <v>4</v>
      </c>
      <c r="M217" s="3">
        <f>Raw_Production!F217</f>
        <v>0</v>
      </c>
      <c r="N217" s="3">
        <f>Raw_Production!K217</f>
        <v>2213</v>
      </c>
      <c r="O217" s="3">
        <f>Raw_Production!H217</f>
        <v>8.6999999999999993</v>
      </c>
      <c r="P217" s="3">
        <f>Raw_Production!E217</f>
        <v>38</v>
      </c>
    </row>
    <row r="218" spans="1:16" x14ac:dyDescent="0.3">
      <c r="A218" s="4">
        <f>Raw_Production!A218</f>
        <v>46063</v>
      </c>
      <c r="B218" s="3" t="str">
        <f>Raw_Production!C218</f>
        <v>Cutting</v>
      </c>
      <c r="C218" s="3" t="str">
        <f>Raw_Production!D218</f>
        <v>T01</v>
      </c>
      <c r="D218" s="3" t="str">
        <f>Raw_Production!P218</f>
        <v>ST-102</v>
      </c>
      <c r="E218" s="3" t="str">
        <f>Raw_Production!O218</f>
        <v>Polo</v>
      </c>
      <c r="F218" s="6">
        <f>Raw_Production!G218</f>
        <v>0.81</v>
      </c>
      <c r="G218" s="6">
        <f>Raw_Production!N218</f>
        <v>0.75</v>
      </c>
      <c r="H218" s="6">
        <f t="shared" si="3"/>
        <v>-6.0000000000000053E-2</v>
      </c>
      <c r="I218" s="3">
        <f>Raw_Production!I218</f>
        <v>38</v>
      </c>
      <c r="J218" s="3">
        <f>Raw_Production!J218</f>
        <v>8</v>
      </c>
      <c r="K218" s="3">
        <f>Raw_Production!L218</f>
        <v>109</v>
      </c>
      <c r="L218" s="3">
        <f>Raw_Production!M218</f>
        <v>5</v>
      </c>
      <c r="M218" s="3">
        <f>Raw_Production!F218</f>
        <v>1</v>
      </c>
      <c r="N218" s="3">
        <f>Raw_Production!K218</f>
        <v>3590</v>
      </c>
      <c r="O218" s="3">
        <f>Raw_Production!H218</f>
        <v>10.9</v>
      </c>
      <c r="P218" s="3">
        <f>Raw_Production!E218</f>
        <v>30</v>
      </c>
    </row>
    <row r="219" spans="1:16" x14ac:dyDescent="0.3">
      <c r="A219" s="4">
        <f>Raw_Production!A219</f>
        <v>46063</v>
      </c>
      <c r="B219" s="3" t="str">
        <f>Raw_Production!C219</f>
        <v>Cutting</v>
      </c>
      <c r="C219" s="3" t="str">
        <f>Raw_Production!D219</f>
        <v>T06</v>
      </c>
      <c r="D219" s="3" t="str">
        <f>Raw_Production!P219</f>
        <v>ST-102</v>
      </c>
      <c r="E219" s="3" t="str">
        <f>Raw_Production!O219</f>
        <v>Polo</v>
      </c>
      <c r="F219" s="6">
        <f>Raw_Production!G219</f>
        <v>0.82</v>
      </c>
      <c r="G219" s="6">
        <f>Raw_Production!N219</f>
        <v>0.83</v>
      </c>
      <c r="H219" s="6">
        <f t="shared" si="3"/>
        <v>1.0000000000000009E-2</v>
      </c>
      <c r="I219" s="3">
        <f>Raw_Production!I219</f>
        <v>46</v>
      </c>
      <c r="J219" s="3">
        <f>Raw_Production!J219</f>
        <v>48</v>
      </c>
      <c r="K219" s="3">
        <f>Raw_Production!L219</f>
        <v>100</v>
      </c>
      <c r="L219" s="3">
        <f>Raw_Production!M219</f>
        <v>4</v>
      </c>
      <c r="M219" s="3">
        <f>Raw_Production!F219</f>
        <v>0</v>
      </c>
      <c r="N219" s="3">
        <f>Raw_Production!K219</f>
        <v>136</v>
      </c>
      <c r="O219" s="3">
        <f>Raw_Production!H219</f>
        <v>9.1</v>
      </c>
      <c r="P219" s="3">
        <f>Raw_Production!E219</f>
        <v>33</v>
      </c>
    </row>
    <row r="220" spans="1:16" x14ac:dyDescent="0.3">
      <c r="A220" s="4">
        <f>Raw_Production!A220</f>
        <v>46063</v>
      </c>
      <c r="B220" s="3" t="str">
        <f>Raw_Production!C220</f>
        <v>Sewing</v>
      </c>
      <c r="C220" s="3" t="str">
        <f>Raw_Production!D220</f>
        <v>T02</v>
      </c>
      <c r="D220" s="3" t="str">
        <f>Raw_Production!P220</f>
        <v>ST-107</v>
      </c>
      <c r="E220" s="3" t="str">
        <f>Raw_Production!O220</f>
        <v>Polo</v>
      </c>
      <c r="F220" s="6">
        <f>Raw_Production!G220</f>
        <v>0.88</v>
      </c>
      <c r="G220" s="6">
        <f>Raw_Production!N220</f>
        <v>0.8</v>
      </c>
      <c r="H220" s="6">
        <f t="shared" si="3"/>
        <v>-7.999999999999996E-2</v>
      </c>
      <c r="I220" s="3">
        <f>Raw_Production!I220</f>
        <v>195</v>
      </c>
      <c r="J220" s="3">
        <f>Raw_Production!J220</f>
        <v>145</v>
      </c>
      <c r="K220" s="3">
        <f>Raw_Production!L220</f>
        <v>54</v>
      </c>
      <c r="L220" s="3">
        <f>Raw_Production!M220</f>
        <v>3</v>
      </c>
      <c r="M220" s="3">
        <f>Raw_Production!F220</f>
        <v>2</v>
      </c>
      <c r="N220" s="3">
        <f>Raw_Production!K220</f>
        <v>3979</v>
      </c>
      <c r="O220" s="3">
        <f>Raw_Production!H220</f>
        <v>9</v>
      </c>
      <c r="P220" s="3">
        <f>Raw_Production!E220</f>
        <v>35</v>
      </c>
    </row>
    <row r="221" spans="1:16" x14ac:dyDescent="0.3">
      <c r="A221" s="4">
        <f>Raw_Production!A221</f>
        <v>46063</v>
      </c>
      <c r="B221" s="3" t="str">
        <f>Raw_Production!C221</f>
        <v>Sewing</v>
      </c>
      <c r="C221" s="3" t="str">
        <f>Raw_Production!D221</f>
        <v>T03</v>
      </c>
      <c r="D221" s="3" t="str">
        <f>Raw_Production!P221</f>
        <v>ST-107</v>
      </c>
      <c r="E221" s="3" t="str">
        <f>Raw_Production!O221</f>
        <v>Polo</v>
      </c>
      <c r="F221" s="6">
        <f>Raw_Production!G221</f>
        <v>0.81</v>
      </c>
      <c r="G221" s="6">
        <f>Raw_Production!N221</f>
        <v>0.69</v>
      </c>
      <c r="H221" s="6">
        <f t="shared" si="3"/>
        <v>-0.12000000000000011</v>
      </c>
      <c r="I221" s="3">
        <f>Raw_Production!I221</f>
        <v>112</v>
      </c>
      <c r="J221" s="3">
        <f>Raw_Production!J221</f>
        <v>94</v>
      </c>
      <c r="K221" s="3">
        <f>Raw_Production!L221</f>
        <v>117</v>
      </c>
      <c r="L221" s="3">
        <f>Raw_Production!M221</f>
        <v>3</v>
      </c>
      <c r="M221" s="3">
        <f>Raw_Production!F221</f>
        <v>2</v>
      </c>
      <c r="N221" s="3">
        <f>Raw_Production!K221</f>
        <v>168</v>
      </c>
      <c r="O221" s="3">
        <f>Raw_Production!H221</f>
        <v>14.1</v>
      </c>
      <c r="P221" s="3">
        <f>Raw_Production!E221</f>
        <v>35</v>
      </c>
    </row>
    <row r="222" spans="1:16" x14ac:dyDescent="0.3">
      <c r="A222" s="4">
        <f>Raw_Production!A222</f>
        <v>46063</v>
      </c>
      <c r="B222" s="3" t="str">
        <f>Raw_Production!C222</f>
        <v>Finishing</v>
      </c>
      <c r="C222" s="3" t="str">
        <f>Raw_Production!D222</f>
        <v>T04</v>
      </c>
      <c r="D222" s="3" t="str">
        <f>Raw_Production!P222</f>
        <v>ST-108</v>
      </c>
      <c r="E222" s="3" t="str">
        <f>Raw_Production!O222</f>
        <v>Hoodie</v>
      </c>
      <c r="F222" s="6">
        <f>Raw_Production!G222</f>
        <v>0.87</v>
      </c>
      <c r="G222" s="6">
        <f>Raw_Production!N222</f>
        <v>0.95</v>
      </c>
      <c r="H222" s="6">
        <f t="shared" si="3"/>
        <v>7.999999999999996E-2</v>
      </c>
      <c r="I222" s="3">
        <f>Raw_Production!I222</f>
        <v>418</v>
      </c>
      <c r="J222" s="3">
        <f>Raw_Production!J222</f>
        <v>131</v>
      </c>
      <c r="K222" s="3">
        <f>Raw_Production!L222</f>
        <v>36</v>
      </c>
      <c r="L222" s="3">
        <f>Raw_Production!M222</f>
        <v>0</v>
      </c>
      <c r="M222" s="3">
        <f>Raw_Production!F222</f>
        <v>0</v>
      </c>
      <c r="N222" s="3">
        <f>Raw_Production!K222</f>
        <v>4001</v>
      </c>
      <c r="O222" s="3">
        <f>Raw_Production!H222</f>
        <v>12.7</v>
      </c>
      <c r="P222" s="3">
        <f>Raw_Production!E222</f>
        <v>24</v>
      </c>
    </row>
    <row r="223" spans="1:16" x14ac:dyDescent="0.3">
      <c r="A223" s="4">
        <f>Raw_Production!A223</f>
        <v>46063</v>
      </c>
      <c r="B223" s="3" t="str">
        <f>Raw_Production!C223</f>
        <v>Finishing</v>
      </c>
      <c r="C223" s="3" t="str">
        <f>Raw_Production!D223</f>
        <v>T05</v>
      </c>
      <c r="D223" s="3" t="str">
        <f>Raw_Production!P223</f>
        <v>ST-105</v>
      </c>
      <c r="E223" s="3" t="str">
        <f>Raw_Production!O223</f>
        <v>Jacket</v>
      </c>
      <c r="F223" s="6">
        <f>Raw_Production!G223</f>
        <v>0.82</v>
      </c>
      <c r="G223" s="6">
        <f>Raw_Production!N223</f>
        <v>0.74</v>
      </c>
      <c r="H223" s="6">
        <f t="shared" si="3"/>
        <v>-7.999999999999996E-2</v>
      </c>
      <c r="I223" s="3">
        <f>Raw_Production!I223</f>
        <v>277</v>
      </c>
      <c r="J223" s="3">
        <f>Raw_Production!J223</f>
        <v>97</v>
      </c>
      <c r="K223" s="3">
        <f>Raw_Production!L223</f>
        <v>73</v>
      </c>
      <c r="L223" s="3">
        <f>Raw_Production!M223</f>
        <v>1</v>
      </c>
      <c r="M223" s="3">
        <f>Raw_Production!F223</f>
        <v>0</v>
      </c>
      <c r="N223" s="3">
        <f>Raw_Production!K223</f>
        <v>3308</v>
      </c>
      <c r="O223" s="3">
        <f>Raw_Production!H223</f>
        <v>14.1</v>
      </c>
      <c r="P223" s="3">
        <f>Raw_Production!E223</f>
        <v>23</v>
      </c>
    </row>
    <row r="224" spans="1:16" x14ac:dyDescent="0.3">
      <c r="A224" s="4">
        <f>Raw_Production!A224</f>
        <v>46064</v>
      </c>
      <c r="B224" s="3" t="str">
        <f>Raw_Production!C224</f>
        <v>Cutting</v>
      </c>
      <c r="C224" s="3" t="str">
        <f>Raw_Production!D224</f>
        <v>T01</v>
      </c>
      <c r="D224" s="3" t="str">
        <f>Raw_Production!P224</f>
        <v>ST-107</v>
      </c>
      <c r="E224" s="3" t="str">
        <f>Raw_Production!O224</f>
        <v>Polo</v>
      </c>
      <c r="F224" s="6">
        <f>Raw_Production!G224</f>
        <v>0.78</v>
      </c>
      <c r="G224" s="6">
        <f>Raw_Production!N224</f>
        <v>0.6</v>
      </c>
      <c r="H224" s="6">
        <f t="shared" si="3"/>
        <v>-0.18000000000000005</v>
      </c>
      <c r="I224" s="3">
        <f>Raw_Production!I224</f>
        <v>224</v>
      </c>
      <c r="J224" s="3">
        <f>Raw_Production!J224</f>
        <v>6</v>
      </c>
      <c r="K224" s="3">
        <f>Raw_Production!L224</f>
        <v>86</v>
      </c>
      <c r="L224" s="3">
        <f>Raw_Production!M224</f>
        <v>5</v>
      </c>
      <c r="M224" s="3">
        <f>Raw_Production!F224</f>
        <v>0</v>
      </c>
      <c r="N224" s="3">
        <f>Raw_Production!K224</f>
        <v>2250</v>
      </c>
      <c r="O224" s="3">
        <f>Raw_Production!H224</f>
        <v>11.2</v>
      </c>
      <c r="P224" s="3">
        <f>Raw_Production!E224</f>
        <v>32</v>
      </c>
    </row>
    <row r="225" spans="1:16" x14ac:dyDescent="0.3">
      <c r="A225" s="4">
        <f>Raw_Production!A225</f>
        <v>46064</v>
      </c>
      <c r="B225" s="3" t="str">
        <f>Raw_Production!C225</f>
        <v>Cutting</v>
      </c>
      <c r="C225" s="3" t="str">
        <f>Raw_Production!D225</f>
        <v>T06</v>
      </c>
      <c r="D225" s="3" t="str">
        <f>Raw_Production!P225</f>
        <v>ST-102</v>
      </c>
      <c r="E225" s="3" t="str">
        <f>Raw_Production!O225</f>
        <v>Polo</v>
      </c>
      <c r="F225" s="6">
        <f>Raw_Production!G225</f>
        <v>0.83</v>
      </c>
      <c r="G225" s="6">
        <f>Raw_Production!N225</f>
        <v>0.66</v>
      </c>
      <c r="H225" s="6">
        <f t="shared" si="3"/>
        <v>-0.16999999999999993</v>
      </c>
      <c r="I225" s="3">
        <f>Raw_Production!I225</f>
        <v>248</v>
      </c>
      <c r="J225" s="3">
        <f>Raw_Production!J225</f>
        <v>134</v>
      </c>
      <c r="K225" s="3">
        <f>Raw_Production!L225</f>
        <v>68</v>
      </c>
      <c r="L225" s="3">
        <f>Raw_Production!M225</f>
        <v>0</v>
      </c>
      <c r="M225" s="3">
        <f>Raw_Production!F225</f>
        <v>0</v>
      </c>
      <c r="N225" s="3">
        <f>Raw_Production!K225</f>
        <v>569</v>
      </c>
      <c r="O225" s="3">
        <f>Raw_Production!H225</f>
        <v>17.899999999999999</v>
      </c>
      <c r="P225" s="3">
        <f>Raw_Production!E225</f>
        <v>31</v>
      </c>
    </row>
    <row r="226" spans="1:16" x14ac:dyDescent="0.3">
      <c r="A226" s="4">
        <f>Raw_Production!A226</f>
        <v>46064</v>
      </c>
      <c r="B226" s="3" t="str">
        <f>Raw_Production!C226</f>
        <v>Sewing</v>
      </c>
      <c r="C226" s="3" t="str">
        <f>Raw_Production!D226</f>
        <v>T02</v>
      </c>
      <c r="D226" s="3" t="str">
        <f>Raw_Production!P226</f>
        <v>ST-102</v>
      </c>
      <c r="E226" s="3" t="str">
        <f>Raw_Production!O226</f>
        <v>Polo</v>
      </c>
      <c r="F226" s="6">
        <f>Raw_Production!G226</f>
        <v>0.82</v>
      </c>
      <c r="G226" s="6">
        <f>Raw_Production!N226</f>
        <v>0.62</v>
      </c>
      <c r="H226" s="6">
        <f t="shared" si="3"/>
        <v>-0.19999999999999996</v>
      </c>
      <c r="I226" s="3">
        <f>Raw_Production!I226</f>
        <v>345</v>
      </c>
      <c r="J226" s="3">
        <f>Raw_Production!J226</f>
        <v>125</v>
      </c>
      <c r="K226" s="3">
        <f>Raw_Production!L226</f>
        <v>120</v>
      </c>
      <c r="L226" s="3">
        <f>Raw_Production!M226</f>
        <v>4</v>
      </c>
      <c r="M226" s="3">
        <f>Raw_Production!F226</f>
        <v>1</v>
      </c>
      <c r="N226" s="3">
        <f>Raw_Production!K226</f>
        <v>1509</v>
      </c>
      <c r="O226" s="3">
        <f>Raw_Production!H226</f>
        <v>11.6</v>
      </c>
      <c r="P226" s="3">
        <f>Raw_Production!E226</f>
        <v>22</v>
      </c>
    </row>
    <row r="227" spans="1:16" x14ac:dyDescent="0.3">
      <c r="A227" s="4">
        <f>Raw_Production!A227</f>
        <v>46064</v>
      </c>
      <c r="B227" s="3" t="str">
        <f>Raw_Production!C227</f>
        <v>Sewing</v>
      </c>
      <c r="C227" s="3" t="str">
        <f>Raw_Production!D227</f>
        <v>T03</v>
      </c>
      <c r="D227" s="3" t="str">
        <f>Raw_Production!P227</f>
        <v>ST-106</v>
      </c>
      <c r="E227" s="3" t="str">
        <f>Raw_Production!O227</f>
        <v>T-Shirt</v>
      </c>
      <c r="F227" s="6">
        <f>Raw_Production!G227</f>
        <v>0.85</v>
      </c>
      <c r="G227" s="6">
        <f>Raw_Production!N227</f>
        <v>0.86</v>
      </c>
      <c r="H227" s="6">
        <f t="shared" si="3"/>
        <v>1.0000000000000009E-2</v>
      </c>
      <c r="I227" s="3">
        <f>Raw_Production!I227</f>
        <v>150</v>
      </c>
      <c r="J227" s="3">
        <f>Raw_Production!J227</f>
        <v>100</v>
      </c>
      <c r="K227" s="3">
        <f>Raw_Production!L227</f>
        <v>120</v>
      </c>
      <c r="L227" s="3">
        <f>Raw_Production!M227</f>
        <v>5</v>
      </c>
      <c r="M227" s="3">
        <f>Raw_Production!F227</f>
        <v>2</v>
      </c>
      <c r="N227" s="3">
        <f>Raw_Production!K227</f>
        <v>2369</v>
      </c>
      <c r="O227" s="3">
        <f>Raw_Production!H227</f>
        <v>12</v>
      </c>
      <c r="P227" s="3">
        <f>Raw_Production!E227</f>
        <v>23</v>
      </c>
    </row>
    <row r="228" spans="1:16" x14ac:dyDescent="0.3">
      <c r="A228" s="4">
        <f>Raw_Production!A228</f>
        <v>46064</v>
      </c>
      <c r="B228" s="3" t="str">
        <f>Raw_Production!C228</f>
        <v>Finishing</v>
      </c>
      <c r="C228" s="3" t="str">
        <f>Raw_Production!D228</f>
        <v>T04</v>
      </c>
      <c r="D228" s="3" t="str">
        <f>Raw_Production!P228</f>
        <v>ST-108</v>
      </c>
      <c r="E228" s="3" t="str">
        <f>Raw_Production!O228</f>
        <v>Hoodie</v>
      </c>
      <c r="F228" s="6">
        <f>Raw_Production!G228</f>
        <v>0.86</v>
      </c>
      <c r="G228" s="6">
        <f>Raw_Production!N228</f>
        <v>0.85</v>
      </c>
      <c r="H228" s="6">
        <f t="shared" si="3"/>
        <v>-1.0000000000000009E-2</v>
      </c>
      <c r="I228" s="3">
        <f>Raw_Production!I228</f>
        <v>398</v>
      </c>
      <c r="J228" s="3">
        <f>Raw_Production!J228</f>
        <v>83</v>
      </c>
      <c r="K228" s="3">
        <f>Raw_Production!L228</f>
        <v>7</v>
      </c>
      <c r="L228" s="3">
        <f>Raw_Production!M228</f>
        <v>0</v>
      </c>
      <c r="M228" s="3">
        <f>Raw_Production!F228</f>
        <v>2</v>
      </c>
      <c r="N228" s="3">
        <f>Raw_Production!K228</f>
        <v>2044</v>
      </c>
      <c r="O228" s="3">
        <f>Raw_Production!H228</f>
        <v>18.3</v>
      </c>
      <c r="P228" s="3">
        <f>Raw_Production!E228</f>
        <v>37</v>
      </c>
    </row>
    <row r="229" spans="1:16" x14ac:dyDescent="0.3">
      <c r="A229" s="4">
        <f>Raw_Production!A229</f>
        <v>46064</v>
      </c>
      <c r="B229" s="3" t="str">
        <f>Raw_Production!C229</f>
        <v>Finishing</v>
      </c>
      <c r="C229" s="3" t="str">
        <f>Raw_Production!D229</f>
        <v>T05</v>
      </c>
      <c r="D229" s="3" t="str">
        <f>Raw_Production!P229</f>
        <v>ST-107</v>
      </c>
      <c r="E229" s="3" t="str">
        <f>Raw_Production!O229</f>
        <v>Polo</v>
      </c>
      <c r="F229" s="6">
        <f>Raw_Production!G229</f>
        <v>0.85</v>
      </c>
      <c r="G229" s="6">
        <f>Raw_Production!N229</f>
        <v>0.92</v>
      </c>
      <c r="H229" s="6">
        <f t="shared" si="3"/>
        <v>7.0000000000000062E-2</v>
      </c>
      <c r="I229" s="3">
        <f>Raw_Production!I229</f>
        <v>318</v>
      </c>
      <c r="J229" s="3">
        <f>Raw_Production!J229</f>
        <v>53</v>
      </c>
      <c r="K229" s="3">
        <f>Raw_Production!L229</f>
        <v>58</v>
      </c>
      <c r="L229" s="3">
        <f>Raw_Production!M229</f>
        <v>4</v>
      </c>
      <c r="M229" s="3">
        <f>Raw_Production!F229</f>
        <v>0</v>
      </c>
      <c r="N229" s="3">
        <f>Raw_Production!K229</f>
        <v>4237</v>
      </c>
      <c r="O229" s="3">
        <f>Raw_Production!H229</f>
        <v>15.9</v>
      </c>
      <c r="P229" s="3">
        <f>Raw_Production!E229</f>
        <v>22</v>
      </c>
    </row>
    <row r="230" spans="1:16" x14ac:dyDescent="0.3">
      <c r="A230" s="4">
        <f>Raw_Production!A230</f>
        <v>46065</v>
      </c>
      <c r="B230" s="3" t="str">
        <f>Raw_Production!C230</f>
        <v>Cutting</v>
      </c>
      <c r="C230" s="3" t="str">
        <f>Raw_Production!D230</f>
        <v>T01</v>
      </c>
      <c r="D230" s="3" t="str">
        <f>Raw_Production!P230</f>
        <v>ST-105</v>
      </c>
      <c r="E230" s="3" t="str">
        <f>Raw_Production!O230</f>
        <v>Jacket</v>
      </c>
      <c r="F230" s="6">
        <f>Raw_Production!G230</f>
        <v>0.77</v>
      </c>
      <c r="G230" s="6">
        <f>Raw_Production!N230</f>
        <v>0.59</v>
      </c>
      <c r="H230" s="6">
        <f t="shared" si="3"/>
        <v>-0.18000000000000005</v>
      </c>
      <c r="I230" s="3">
        <f>Raw_Production!I230</f>
        <v>31</v>
      </c>
      <c r="J230" s="3">
        <f>Raw_Production!J230</f>
        <v>139</v>
      </c>
      <c r="K230" s="3">
        <f>Raw_Production!L230</f>
        <v>107</v>
      </c>
      <c r="L230" s="3">
        <f>Raw_Production!M230</f>
        <v>2</v>
      </c>
      <c r="M230" s="3">
        <f>Raw_Production!F230</f>
        <v>0</v>
      </c>
      <c r="N230" s="3">
        <f>Raw_Production!K230</f>
        <v>2977</v>
      </c>
      <c r="O230" s="3">
        <f>Raw_Production!H230</f>
        <v>16.600000000000001</v>
      </c>
      <c r="P230" s="3">
        <f>Raw_Production!E230</f>
        <v>32</v>
      </c>
    </row>
    <row r="231" spans="1:16" x14ac:dyDescent="0.3">
      <c r="A231" s="4">
        <f>Raw_Production!A231</f>
        <v>46065</v>
      </c>
      <c r="B231" s="3" t="str">
        <f>Raw_Production!C231</f>
        <v>Cutting</v>
      </c>
      <c r="C231" s="3" t="str">
        <f>Raw_Production!D231</f>
        <v>T06</v>
      </c>
      <c r="D231" s="3" t="str">
        <f>Raw_Production!P231</f>
        <v>ST-106</v>
      </c>
      <c r="E231" s="3" t="str">
        <f>Raw_Production!O231</f>
        <v>T-Shirt</v>
      </c>
      <c r="F231" s="6">
        <f>Raw_Production!G231</f>
        <v>0.73</v>
      </c>
      <c r="G231" s="6">
        <f>Raw_Production!N231</f>
        <v>0.56000000000000005</v>
      </c>
      <c r="H231" s="6">
        <f t="shared" si="3"/>
        <v>-0.16999999999999993</v>
      </c>
      <c r="I231" s="3">
        <f>Raw_Production!I231</f>
        <v>258</v>
      </c>
      <c r="J231" s="3">
        <f>Raw_Production!J231</f>
        <v>50</v>
      </c>
      <c r="K231" s="3">
        <f>Raw_Production!L231</f>
        <v>45</v>
      </c>
      <c r="L231" s="3">
        <f>Raw_Production!M231</f>
        <v>0</v>
      </c>
      <c r="M231" s="3">
        <f>Raw_Production!F231</f>
        <v>2</v>
      </c>
      <c r="N231" s="3">
        <f>Raw_Production!K231</f>
        <v>2559</v>
      </c>
      <c r="O231" s="3">
        <f>Raw_Production!H231</f>
        <v>17.399999999999999</v>
      </c>
      <c r="P231" s="3">
        <f>Raw_Production!E231</f>
        <v>25</v>
      </c>
    </row>
    <row r="232" spans="1:16" x14ac:dyDescent="0.3">
      <c r="A232" s="4">
        <f>Raw_Production!A232</f>
        <v>46065</v>
      </c>
      <c r="B232" s="3" t="str">
        <f>Raw_Production!C232</f>
        <v>Sewing</v>
      </c>
      <c r="C232" s="3" t="str">
        <f>Raw_Production!D232</f>
        <v>T02</v>
      </c>
      <c r="D232" s="3" t="str">
        <f>Raw_Production!P232</f>
        <v>ST-105</v>
      </c>
      <c r="E232" s="3" t="str">
        <f>Raw_Production!O232</f>
        <v>Jacket</v>
      </c>
      <c r="F232" s="6">
        <f>Raw_Production!G232</f>
        <v>0.85</v>
      </c>
      <c r="G232" s="6">
        <f>Raw_Production!N232</f>
        <v>0.86</v>
      </c>
      <c r="H232" s="6">
        <f t="shared" si="3"/>
        <v>1.0000000000000009E-2</v>
      </c>
      <c r="I232" s="3">
        <f>Raw_Production!I232</f>
        <v>31</v>
      </c>
      <c r="J232" s="3">
        <f>Raw_Production!J232</f>
        <v>29</v>
      </c>
      <c r="K232" s="3">
        <f>Raw_Production!L232</f>
        <v>23</v>
      </c>
      <c r="L232" s="3">
        <f>Raw_Production!M232</f>
        <v>1</v>
      </c>
      <c r="M232" s="3">
        <f>Raw_Production!F232</f>
        <v>2</v>
      </c>
      <c r="N232" s="3">
        <f>Raw_Production!K232</f>
        <v>3130</v>
      </c>
      <c r="O232" s="3">
        <f>Raw_Production!H232</f>
        <v>16.399999999999999</v>
      </c>
      <c r="P232" s="3">
        <f>Raw_Production!E232</f>
        <v>23</v>
      </c>
    </row>
    <row r="233" spans="1:16" x14ac:dyDescent="0.3">
      <c r="A233" s="4">
        <f>Raw_Production!A233</f>
        <v>46065</v>
      </c>
      <c r="B233" s="3" t="str">
        <f>Raw_Production!C233</f>
        <v>Sewing</v>
      </c>
      <c r="C233" s="3" t="str">
        <f>Raw_Production!D233</f>
        <v>T03</v>
      </c>
      <c r="D233" s="3" t="str">
        <f>Raw_Production!P233</f>
        <v>ST-106</v>
      </c>
      <c r="E233" s="3" t="str">
        <f>Raw_Production!O233</f>
        <v>T-Shirt</v>
      </c>
      <c r="F233" s="6">
        <f>Raw_Production!G233</f>
        <v>0.86</v>
      </c>
      <c r="G233" s="6">
        <f>Raw_Production!N233</f>
        <v>0.89</v>
      </c>
      <c r="H233" s="6">
        <f t="shared" si="3"/>
        <v>3.0000000000000027E-2</v>
      </c>
      <c r="I233" s="3">
        <f>Raw_Production!I233</f>
        <v>397</v>
      </c>
      <c r="J233" s="3">
        <f>Raw_Production!J233</f>
        <v>98</v>
      </c>
      <c r="K233" s="3">
        <f>Raw_Production!L233</f>
        <v>53</v>
      </c>
      <c r="L233" s="3">
        <f>Raw_Production!M233</f>
        <v>3</v>
      </c>
      <c r="M233" s="3">
        <f>Raw_Production!F233</f>
        <v>0</v>
      </c>
      <c r="N233" s="3">
        <f>Raw_Production!K233</f>
        <v>3613</v>
      </c>
      <c r="O233" s="3">
        <f>Raw_Production!H233</f>
        <v>16.7</v>
      </c>
      <c r="P233" s="3">
        <f>Raw_Production!E233</f>
        <v>28</v>
      </c>
    </row>
    <row r="234" spans="1:16" x14ac:dyDescent="0.3">
      <c r="A234" s="4">
        <f>Raw_Production!A234</f>
        <v>46065</v>
      </c>
      <c r="B234" s="3" t="str">
        <f>Raw_Production!C234</f>
        <v>Finishing</v>
      </c>
      <c r="C234" s="3" t="str">
        <f>Raw_Production!D234</f>
        <v>T04</v>
      </c>
      <c r="D234" s="3" t="str">
        <f>Raw_Production!P234</f>
        <v>ST-107</v>
      </c>
      <c r="E234" s="3" t="str">
        <f>Raw_Production!O234</f>
        <v>Polo</v>
      </c>
      <c r="F234" s="6">
        <f>Raw_Production!G234</f>
        <v>0.88</v>
      </c>
      <c r="G234" s="6">
        <f>Raw_Production!N234</f>
        <v>0.76</v>
      </c>
      <c r="H234" s="6">
        <f t="shared" si="3"/>
        <v>-0.12</v>
      </c>
      <c r="I234" s="3">
        <f>Raw_Production!I234</f>
        <v>376</v>
      </c>
      <c r="J234" s="3">
        <f>Raw_Production!J234</f>
        <v>120</v>
      </c>
      <c r="K234" s="3">
        <f>Raw_Production!L234</f>
        <v>12</v>
      </c>
      <c r="L234" s="3">
        <f>Raw_Production!M234</f>
        <v>6</v>
      </c>
      <c r="M234" s="3">
        <f>Raw_Production!F234</f>
        <v>1</v>
      </c>
      <c r="N234" s="3">
        <f>Raw_Production!K234</f>
        <v>3967</v>
      </c>
      <c r="O234" s="3">
        <f>Raw_Production!H234</f>
        <v>10.9</v>
      </c>
      <c r="P234" s="3">
        <f>Raw_Production!E234</f>
        <v>25</v>
      </c>
    </row>
    <row r="235" spans="1:16" x14ac:dyDescent="0.3">
      <c r="A235" s="4">
        <f>Raw_Production!A235</f>
        <v>46065</v>
      </c>
      <c r="B235" s="3" t="str">
        <f>Raw_Production!C235</f>
        <v>Finishing</v>
      </c>
      <c r="C235" s="3" t="str">
        <f>Raw_Production!D235</f>
        <v>T05</v>
      </c>
      <c r="D235" s="3" t="str">
        <f>Raw_Production!P235</f>
        <v>ST-110</v>
      </c>
      <c r="E235" s="3" t="str">
        <f>Raw_Production!O235</f>
        <v>Jacket</v>
      </c>
      <c r="F235" s="6">
        <f>Raw_Production!G235</f>
        <v>0.75</v>
      </c>
      <c r="G235" s="6">
        <f>Raw_Production!N235</f>
        <v>0.67</v>
      </c>
      <c r="H235" s="6">
        <f t="shared" si="3"/>
        <v>-7.999999999999996E-2</v>
      </c>
      <c r="I235" s="3">
        <f>Raw_Production!I235</f>
        <v>67</v>
      </c>
      <c r="J235" s="3">
        <f>Raw_Production!J235</f>
        <v>23</v>
      </c>
      <c r="K235" s="3">
        <f>Raw_Production!L235</f>
        <v>3</v>
      </c>
      <c r="L235" s="3">
        <f>Raw_Production!M235</f>
        <v>5</v>
      </c>
      <c r="M235" s="3">
        <f>Raw_Production!F235</f>
        <v>0</v>
      </c>
      <c r="N235" s="3">
        <f>Raw_Production!K235</f>
        <v>2267</v>
      </c>
      <c r="O235" s="3">
        <f>Raw_Production!H235</f>
        <v>7.7</v>
      </c>
      <c r="P235" s="3">
        <f>Raw_Production!E235</f>
        <v>23</v>
      </c>
    </row>
    <row r="236" spans="1:16" x14ac:dyDescent="0.3">
      <c r="A236" s="4">
        <f>Raw_Production!A236</f>
        <v>46066</v>
      </c>
      <c r="B236" s="3" t="str">
        <f>Raw_Production!C236</f>
        <v>Cutting</v>
      </c>
      <c r="C236" s="3" t="str">
        <f>Raw_Production!D236</f>
        <v>T01</v>
      </c>
      <c r="D236" s="3" t="str">
        <f>Raw_Production!P236</f>
        <v>ST-101</v>
      </c>
      <c r="E236" s="3" t="str">
        <f>Raw_Production!O236</f>
        <v>T-Shirt</v>
      </c>
      <c r="F236" s="6">
        <f>Raw_Production!G236</f>
        <v>0.87</v>
      </c>
      <c r="G236" s="6">
        <f>Raw_Production!N236</f>
        <v>0.77</v>
      </c>
      <c r="H236" s="6">
        <f t="shared" si="3"/>
        <v>-9.9999999999999978E-2</v>
      </c>
      <c r="I236" s="3">
        <f>Raw_Production!I236</f>
        <v>292</v>
      </c>
      <c r="J236" s="3">
        <f>Raw_Production!J236</f>
        <v>49</v>
      </c>
      <c r="K236" s="3">
        <f>Raw_Production!L236</f>
        <v>89</v>
      </c>
      <c r="L236" s="3">
        <f>Raw_Production!M236</f>
        <v>1</v>
      </c>
      <c r="M236" s="3">
        <f>Raw_Production!F236</f>
        <v>1</v>
      </c>
      <c r="N236" s="3">
        <f>Raw_Production!K236</f>
        <v>3538</v>
      </c>
      <c r="O236" s="3">
        <f>Raw_Production!H236</f>
        <v>10.5</v>
      </c>
      <c r="P236" s="3">
        <f>Raw_Production!E236</f>
        <v>29</v>
      </c>
    </row>
    <row r="237" spans="1:16" x14ac:dyDescent="0.3">
      <c r="A237" s="4">
        <f>Raw_Production!A237</f>
        <v>46066</v>
      </c>
      <c r="B237" s="3" t="str">
        <f>Raw_Production!C237</f>
        <v>Cutting</v>
      </c>
      <c r="C237" s="3" t="str">
        <f>Raw_Production!D237</f>
        <v>T06</v>
      </c>
      <c r="D237" s="3" t="str">
        <f>Raw_Production!P237</f>
        <v>ST-101</v>
      </c>
      <c r="E237" s="3" t="str">
        <f>Raw_Production!O237</f>
        <v>T-Shirt</v>
      </c>
      <c r="F237" s="6">
        <f>Raw_Production!G237</f>
        <v>0.76</v>
      </c>
      <c r="G237" s="6">
        <f>Raw_Production!N237</f>
        <v>0.62</v>
      </c>
      <c r="H237" s="6">
        <f t="shared" si="3"/>
        <v>-0.14000000000000001</v>
      </c>
      <c r="I237" s="3">
        <f>Raw_Production!I237</f>
        <v>127</v>
      </c>
      <c r="J237" s="3">
        <f>Raw_Production!J237</f>
        <v>10</v>
      </c>
      <c r="K237" s="3">
        <f>Raw_Production!L237</f>
        <v>70</v>
      </c>
      <c r="L237" s="3">
        <f>Raw_Production!M237</f>
        <v>3</v>
      </c>
      <c r="M237" s="3">
        <f>Raw_Production!F237</f>
        <v>0</v>
      </c>
      <c r="N237" s="3">
        <f>Raw_Production!K237</f>
        <v>2793</v>
      </c>
      <c r="O237" s="3">
        <f>Raw_Production!H237</f>
        <v>12.9</v>
      </c>
      <c r="P237" s="3">
        <f>Raw_Production!E237</f>
        <v>28</v>
      </c>
    </row>
    <row r="238" spans="1:16" x14ac:dyDescent="0.3">
      <c r="A238" s="4">
        <f>Raw_Production!A238</f>
        <v>46066</v>
      </c>
      <c r="B238" s="3" t="str">
        <f>Raw_Production!C238</f>
        <v>Sewing</v>
      </c>
      <c r="C238" s="3" t="str">
        <f>Raw_Production!D238</f>
        <v>T02</v>
      </c>
      <c r="D238" s="3" t="str">
        <f>Raw_Production!P238</f>
        <v>ST-103</v>
      </c>
      <c r="E238" s="3" t="str">
        <f>Raw_Production!O238</f>
        <v>Hoodie</v>
      </c>
      <c r="F238" s="6">
        <f>Raw_Production!G238</f>
        <v>0.79</v>
      </c>
      <c r="G238" s="6">
        <f>Raw_Production!N238</f>
        <v>0.81</v>
      </c>
      <c r="H238" s="6">
        <f t="shared" si="3"/>
        <v>2.0000000000000018E-2</v>
      </c>
      <c r="I238" s="3">
        <f>Raw_Production!I238</f>
        <v>248</v>
      </c>
      <c r="J238" s="3">
        <f>Raw_Production!J238</f>
        <v>64</v>
      </c>
      <c r="K238" s="3">
        <f>Raw_Production!L238</f>
        <v>26</v>
      </c>
      <c r="L238" s="3">
        <f>Raw_Production!M238</f>
        <v>3</v>
      </c>
      <c r="M238" s="3">
        <f>Raw_Production!F238</f>
        <v>0</v>
      </c>
      <c r="N238" s="3">
        <f>Raw_Production!K238</f>
        <v>2727</v>
      </c>
      <c r="O238" s="3">
        <f>Raw_Production!H238</f>
        <v>7.8</v>
      </c>
      <c r="P238" s="3">
        <f>Raw_Production!E238</f>
        <v>36</v>
      </c>
    </row>
    <row r="239" spans="1:16" x14ac:dyDescent="0.3">
      <c r="A239" s="4">
        <f>Raw_Production!A239</f>
        <v>46066</v>
      </c>
      <c r="B239" s="3" t="str">
        <f>Raw_Production!C239</f>
        <v>Sewing</v>
      </c>
      <c r="C239" s="3" t="str">
        <f>Raw_Production!D239</f>
        <v>T03</v>
      </c>
      <c r="D239" s="3" t="str">
        <f>Raw_Production!P239</f>
        <v>ST-105</v>
      </c>
      <c r="E239" s="3" t="str">
        <f>Raw_Production!O239</f>
        <v>Jacket</v>
      </c>
      <c r="F239" s="6">
        <f>Raw_Production!G239</f>
        <v>0.86</v>
      </c>
      <c r="G239" s="6">
        <f>Raw_Production!N239</f>
        <v>0.78</v>
      </c>
      <c r="H239" s="6">
        <f t="shared" si="3"/>
        <v>-7.999999999999996E-2</v>
      </c>
      <c r="I239" s="3">
        <f>Raw_Production!I239</f>
        <v>364</v>
      </c>
      <c r="J239" s="3">
        <f>Raw_Production!J239</f>
        <v>110</v>
      </c>
      <c r="K239" s="3">
        <f>Raw_Production!L239</f>
        <v>31</v>
      </c>
      <c r="L239" s="3">
        <f>Raw_Production!M239</f>
        <v>2</v>
      </c>
      <c r="M239" s="3">
        <f>Raw_Production!F239</f>
        <v>0</v>
      </c>
      <c r="N239" s="3">
        <f>Raw_Production!K239</f>
        <v>4114</v>
      </c>
      <c r="O239" s="3">
        <f>Raw_Production!H239</f>
        <v>17.2</v>
      </c>
      <c r="P239" s="3">
        <f>Raw_Production!E239</f>
        <v>25</v>
      </c>
    </row>
    <row r="240" spans="1:16" x14ac:dyDescent="0.3">
      <c r="A240" s="4">
        <f>Raw_Production!A240</f>
        <v>46066</v>
      </c>
      <c r="B240" s="3" t="str">
        <f>Raw_Production!C240</f>
        <v>Finishing</v>
      </c>
      <c r="C240" s="3" t="str">
        <f>Raw_Production!D240</f>
        <v>T04</v>
      </c>
      <c r="D240" s="3" t="str">
        <f>Raw_Production!P240</f>
        <v>ST-104</v>
      </c>
      <c r="E240" s="3" t="str">
        <f>Raw_Production!O240</f>
        <v>Shirt</v>
      </c>
      <c r="F240" s="6">
        <f>Raw_Production!G240</f>
        <v>0.77</v>
      </c>
      <c r="G240" s="6">
        <f>Raw_Production!N240</f>
        <v>0.59</v>
      </c>
      <c r="H240" s="6">
        <f t="shared" si="3"/>
        <v>-0.18000000000000005</v>
      </c>
      <c r="I240" s="3">
        <f>Raw_Production!I240</f>
        <v>270</v>
      </c>
      <c r="J240" s="3">
        <f>Raw_Production!J240</f>
        <v>62</v>
      </c>
      <c r="K240" s="3">
        <f>Raw_Production!L240</f>
        <v>118</v>
      </c>
      <c r="L240" s="3">
        <f>Raw_Production!M240</f>
        <v>6</v>
      </c>
      <c r="M240" s="3">
        <f>Raw_Production!F240</f>
        <v>0</v>
      </c>
      <c r="N240" s="3">
        <f>Raw_Production!K240</f>
        <v>520</v>
      </c>
      <c r="O240" s="3">
        <f>Raw_Production!H240</f>
        <v>15.9</v>
      </c>
      <c r="P240" s="3">
        <f>Raw_Production!E240</f>
        <v>27</v>
      </c>
    </row>
    <row r="241" spans="1:16" x14ac:dyDescent="0.3">
      <c r="A241" s="4">
        <f>Raw_Production!A241</f>
        <v>46066</v>
      </c>
      <c r="B241" s="3" t="str">
        <f>Raw_Production!C241</f>
        <v>Finishing</v>
      </c>
      <c r="C241" s="3" t="str">
        <f>Raw_Production!D241</f>
        <v>T05</v>
      </c>
      <c r="D241" s="3" t="str">
        <f>Raw_Production!P241</f>
        <v>ST-102</v>
      </c>
      <c r="E241" s="3" t="str">
        <f>Raw_Production!O241</f>
        <v>Polo</v>
      </c>
      <c r="F241" s="6">
        <f>Raw_Production!G241</f>
        <v>0.84</v>
      </c>
      <c r="G241" s="6">
        <f>Raw_Production!N241</f>
        <v>0.86</v>
      </c>
      <c r="H241" s="6">
        <f t="shared" si="3"/>
        <v>2.0000000000000018E-2</v>
      </c>
      <c r="I241" s="3">
        <f>Raw_Production!I241</f>
        <v>94</v>
      </c>
      <c r="J241" s="3">
        <f>Raw_Production!J241</f>
        <v>37</v>
      </c>
      <c r="K241" s="3">
        <f>Raw_Production!L241</f>
        <v>15</v>
      </c>
      <c r="L241" s="3">
        <f>Raw_Production!M241</f>
        <v>0</v>
      </c>
      <c r="M241" s="3">
        <f>Raw_Production!F241</f>
        <v>3</v>
      </c>
      <c r="N241" s="3">
        <f>Raw_Production!K241</f>
        <v>1072</v>
      </c>
      <c r="O241" s="3">
        <f>Raw_Production!H241</f>
        <v>17.2</v>
      </c>
      <c r="P241" s="3">
        <f>Raw_Production!E241</f>
        <v>36</v>
      </c>
    </row>
    <row r="242" spans="1:16" x14ac:dyDescent="0.3">
      <c r="A242" s="4">
        <f>Raw_Production!A242</f>
        <v>46067</v>
      </c>
      <c r="B242" s="3" t="str">
        <f>Raw_Production!C242</f>
        <v>Cutting</v>
      </c>
      <c r="C242" s="3" t="str">
        <f>Raw_Production!D242</f>
        <v>T01</v>
      </c>
      <c r="D242" s="3" t="str">
        <f>Raw_Production!P242</f>
        <v>ST-106</v>
      </c>
      <c r="E242" s="3" t="str">
        <f>Raw_Production!O242</f>
        <v>T-Shirt</v>
      </c>
      <c r="F242" s="6">
        <f>Raw_Production!G242</f>
        <v>0.88</v>
      </c>
      <c r="G242" s="6">
        <f>Raw_Production!N242</f>
        <v>0.74</v>
      </c>
      <c r="H242" s="6">
        <f t="shared" si="3"/>
        <v>-0.14000000000000001</v>
      </c>
      <c r="I242" s="3">
        <f>Raw_Production!I242</f>
        <v>128</v>
      </c>
      <c r="J242" s="3">
        <f>Raw_Production!J242</f>
        <v>126</v>
      </c>
      <c r="K242" s="3">
        <f>Raw_Production!L242</f>
        <v>62</v>
      </c>
      <c r="L242" s="3">
        <f>Raw_Production!M242</f>
        <v>6</v>
      </c>
      <c r="M242" s="3">
        <f>Raw_Production!F242</f>
        <v>0</v>
      </c>
      <c r="N242" s="3">
        <f>Raw_Production!K242</f>
        <v>2088</v>
      </c>
      <c r="O242" s="3">
        <f>Raw_Production!H242</f>
        <v>14.8</v>
      </c>
      <c r="P242" s="3">
        <f>Raw_Production!E242</f>
        <v>38</v>
      </c>
    </row>
    <row r="243" spans="1:16" x14ac:dyDescent="0.3">
      <c r="A243" s="4">
        <f>Raw_Production!A243</f>
        <v>46067</v>
      </c>
      <c r="B243" s="3" t="str">
        <f>Raw_Production!C243</f>
        <v>Cutting</v>
      </c>
      <c r="C243" s="3" t="str">
        <f>Raw_Production!D243</f>
        <v>T06</v>
      </c>
      <c r="D243" s="3" t="str">
        <f>Raw_Production!P243</f>
        <v>ST-107</v>
      </c>
      <c r="E243" s="3" t="str">
        <f>Raw_Production!O243</f>
        <v>Polo</v>
      </c>
      <c r="F243" s="6">
        <f>Raw_Production!G243</f>
        <v>0.74</v>
      </c>
      <c r="G243" s="6">
        <f>Raw_Production!N243</f>
        <v>0.62</v>
      </c>
      <c r="H243" s="6">
        <f t="shared" si="3"/>
        <v>-0.12</v>
      </c>
      <c r="I243" s="3">
        <f>Raw_Production!I243</f>
        <v>106</v>
      </c>
      <c r="J243" s="3">
        <f>Raw_Production!J243</f>
        <v>41</v>
      </c>
      <c r="K243" s="3">
        <f>Raw_Production!L243</f>
        <v>26</v>
      </c>
      <c r="L243" s="3">
        <f>Raw_Production!M243</f>
        <v>2</v>
      </c>
      <c r="M243" s="3">
        <f>Raw_Production!F243</f>
        <v>2</v>
      </c>
      <c r="N243" s="3">
        <f>Raw_Production!K243</f>
        <v>2794</v>
      </c>
      <c r="O243" s="3">
        <f>Raw_Production!H243</f>
        <v>12.5</v>
      </c>
      <c r="P243" s="3">
        <f>Raw_Production!E243</f>
        <v>20</v>
      </c>
    </row>
    <row r="244" spans="1:16" x14ac:dyDescent="0.3">
      <c r="A244" s="4">
        <f>Raw_Production!A244</f>
        <v>46067</v>
      </c>
      <c r="B244" s="3" t="str">
        <f>Raw_Production!C244</f>
        <v>Sewing</v>
      </c>
      <c r="C244" s="3" t="str">
        <f>Raw_Production!D244</f>
        <v>T02</v>
      </c>
      <c r="D244" s="3" t="str">
        <f>Raw_Production!P244</f>
        <v>ST-110</v>
      </c>
      <c r="E244" s="3" t="str">
        <f>Raw_Production!O244</f>
        <v>Jacket</v>
      </c>
      <c r="F244" s="6">
        <f>Raw_Production!G244</f>
        <v>0.79</v>
      </c>
      <c r="G244" s="6">
        <f>Raw_Production!N244</f>
        <v>0.74</v>
      </c>
      <c r="H244" s="6">
        <f t="shared" si="3"/>
        <v>-5.0000000000000044E-2</v>
      </c>
      <c r="I244" s="3">
        <f>Raw_Production!I244</f>
        <v>314</v>
      </c>
      <c r="J244" s="3">
        <f>Raw_Production!J244</f>
        <v>17</v>
      </c>
      <c r="K244" s="3">
        <f>Raw_Production!L244</f>
        <v>75</v>
      </c>
      <c r="L244" s="3">
        <f>Raw_Production!M244</f>
        <v>1</v>
      </c>
      <c r="M244" s="3">
        <f>Raw_Production!F244</f>
        <v>0</v>
      </c>
      <c r="N244" s="3">
        <f>Raw_Production!K244</f>
        <v>1216</v>
      </c>
      <c r="O244" s="3">
        <f>Raw_Production!H244</f>
        <v>12.9</v>
      </c>
      <c r="P244" s="3">
        <f>Raw_Production!E244</f>
        <v>29</v>
      </c>
    </row>
    <row r="245" spans="1:16" x14ac:dyDescent="0.3">
      <c r="A245" s="4">
        <f>Raw_Production!A245</f>
        <v>46067</v>
      </c>
      <c r="B245" s="3" t="str">
        <f>Raw_Production!C245</f>
        <v>Sewing</v>
      </c>
      <c r="C245" s="3" t="str">
        <f>Raw_Production!D245</f>
        <v>T03</v>
      </c>
      <c r="D245" s="3" t="str">
        <f>Raw_Production!P245</f>
        <v>ST-108</v>
      </c>
      <c r="E245" s="3" t="str">
        <f>Raw_Production!O245</f>
        <v>Hoodie</v>
      </c>
      <c r="F245" s="6">
        <f>Raw_Production!G245</f>
        <v>0.83</v>
      </c>
      <c r="G245" s="6">
        <f>Raw_Production!N245</f>
        <v>0.76</v>
      </c>
      <c r="H245" s="6">
        <f t="shared" si="3"/>
        <v>-6.9999999999999951E-2</v>
      </c>
      <c r="I245" s="3">
        <f>Raw_Production!I245</f>
        <v>247</v>
      </c>
      <c r="J245" s="3">
        <f>Raw_Production!J245</f>
        <v>149</v>
      </c>
      <c r="K245" s="3">
        <f>Raw_Production!L245</f>
        <v>7</v>
      </c>
      <c r="L245" s="3">
        <f>Raw_Production!M245</f>
        <v>8</v>
      </c>
      <c r="M245" s="3">
        <f>Raw_Production!F245</f>
        <v>1</v>
      </c>
      <c r="N245" s="3">
        <f>Raw_Production!K245</f>
        <v>2604</v>
      </c>
      <c r="O245" s="3">
        <f>Raw_Production!H245</f>
        <v>8.9</v>
      </c>
      <c r="P245" s="3">
        <f>Raw_Production!E245</f>
        <v>34</v>
      </c>
    </row>
    <row r="246" spans="1:16" x14ac:dyDescent="0.3">
      <c r="A246" s="4">
        <f>Raw_Production!A246</f>
        <v>46067</v>
      </c>
      <c r="B246" s="3" t="str">
        <f>Raw_Production!C246</f>
        <v>Finishing</v>
      </c>
      <c r="C246" s="3" t="str">
        <f>Raw_Production!D246</f>
        <v>T04</v>
      </c>
      <c r="D246" s="3" t="str">
        <f>Raw_Production!P246</f>
        <v>ST-103</v>
      </c>
      <c r="E246" s="3" t="str">
        <f>Raw_Production!O246</f>
        <v>Hoodie</v>
      </c>
      <c r="F246" s="6">
        <f>Raw_Production!G246</f>
        <v>0.81</v>
      </c>
      <c r="G246" s="6">
        <f>Raw_Production!N246</f>
        <v>0.74</v>
      </c>
      <c r="H246" s="6">
        <f t="shared" si="3"/>
        <v>-7.0000000000000062E-2</v>
      </c>
      <c r="I246" s="3">
        <f>Raw_Production!I246</f>
        <v>103</v>
      </c>
      <c r="J246" s="3">
        <f>Raw_Production!J246</f>
        <v>137</v>
      </c>
      <c r="K246" s="3">
        <f>Raw_Production!L246</f>
        <v>109</v>
      </c>
      <c r="L246" s="3">
        <f>Raw_Production!M246</f>
        <v>4</v>
      </c>
      <c r="M246" s="3">
        <f>Raw_Production!F246</f>
        <v>1</v>
      </c>
      <c r="N246" s="3">
        <f>Raw_Production!K246</f>
        <v>308</v>
      </c>
      <c r="O246" s="3">
        <f>Raw_Production!H246</f>
        <v>18.3</v>
      </c>
      <c r="P246" s="3">
        <f>Raw_Production!E246</f>
        <v>23</v>
      </c>
    </row>
    <row r="247" spans="1:16" x14ac:dyDescent="0.3">
      <c r="A247" s="4">
        <f>Raw_Production!A247</f>
        <v>46067</v>
      </c>
      <c r="B247" s="3" t="str">
        <f>Raw_Production!C247</f>
        <v>Finishing</v>
      </c>
      <c r="C247" s="3" t="str">
        <f>Raw_Production!D247</f>
        <v>T05</v>
      </c>
      <c r="D247" s="3" t="str">
        <f>Raw_Production!P247</f>
        <v>ST-107</v>
      </c>
      <c r="E247" s="3" t="str">
        <f>Raw_Production!O247</f>
        <v>Polo</v>
      </c>
      <c r="F247" s="6">
        <f>Raw_Production!G247</f>
        <v>0.79</v>
      </c>
      <c r="G247" s="6">
        <f>Raw_Production!N247</f>
        <v>0.6</v>
      </c>
      <c r="H247" s="6">
        <f t="shared" si="3"/>
        <v>-0.19000000000000006</v>
      </c>
      <c r="I247" s="3">
        <f>Raw_Production!I247</f>
        <v>428</v>
      </c>
      <c r="J247" s="3">
        <f>Raw_Production!J247</f>
        <v>39</v>
      </c>
      <c r="K247" s="3">
        <f>Raw_Production!L247</f>
        <v>103</v>
      </c>
      <c r="L247" s="3">
        <f>Raw_Production!M247</f>
        <v>7</v>
      </c>
      <c r="M247" s="3">
        <f>Raw_Production!F247</f>
        <v>2</v>
      </c>
      <c r="N247" s="3">
        <f>Raw_Production!K247</f>
        <v>2851</v>
      </c>
      <c r="O247" s="3">
        <f>Raw_Production!H247</f>
        <v>9.3000000000000007</v>
      </c>
      <c r="P247" s="3">
        <f>Raw_Production!E247</f>
        <v>28</v>
      </c>
    </row>
    <row r="248" spans="1:16" x14ac:dyDescent="0.3">
      <c r="A248" s="4">
        <f>Raw_Production!A248</f>
        <v>46068</v>
      </c>
      <c r="B248" s="3" t="str">
        <f>Raw_Production!C248</f>
        <v>Cutting</v>
      </c>
      <c r="C248" s="3" t="str">
        <f>Raw_Production!D248</f>
        <v>T01</v>
      </c>
      <c r="D248" s="3" t="str">
        <f>Raw_Production!P248</f>
        <v>ST-109</v>
      </c>
      <c r="E248" s="3" t="str">
        <f>Raw_Production!O248</f>
        <v>Shirt</v>
      </c>
      <c r="F248" s="6">
        <f>Raw_Production!G248</f>
        <v>0.79</v>
      </c>
      <c r="G248" s="6">
        <f>Raw_Production!N248</f>
        <v>0.83</v>
      </c>
      <c r="H248" s="6">
        <f t="shared" si="3"/>
        <v>3.9999999999999925E-2</v>
      </c>
      <c r="I248" s="3">
        <f>Raw_Production!I248</f>
        <v>243</v>
      </c>
      <c r="J248" s="3">
        <f>Raw_Production!J248</f>
        <v>102</v>
      </c>
      <c r="K248" s="3">
        <f>Raw_Production!L248</f>
        <v>25</v>
      </c>
      <c r="L248" s="3">
        <f>Raw_Production!M248</f>
        <v>3</v>
      </c>
      <c r="M248" s="3">
        <f>Raw_Production!F248</f>
        <v>2</v>
      </c>
      <c r="N248" s="3">
        <f>Raw_Production!K248</f>
        <v>815</v>
      </c>
      <c r="O248" s="3">
        <f>Raw_Production!H248</f>
        <v>10</v>
      </c>
      <c r="P248" s="3">
        <f>Raw_Production!E248</f>
        <v>31</v>
      </c>
    </row>
    <row r="249" spans="1:16" x14ac:dyDescent="0.3">
      <c r="A249" s="4">
        <f>Raw_Production!A249</f>
        <v>46068</v>
      </c>
      <c r="B249" s="3" t="str">
        <f>Raw_Production!C249</f>
        <v>Cutting</v>
      </c>
      <c r="C249" s="3" t="str">
        <f>Raw_Production!D249</f>
        <v>T06</v>
      </c>
      <c r="D249" s="3" t="str">
        <f>Raw_Production!P249</f>
        <v>ST-110</v>
      </c>
      <c r="E249" s="3" t="str">
        <f>Raw_Production!O249</f>
        <v>Jacket</v>
      </c>
      <c r="F249" s="6">
        <f>Raw_Production!G249</f>
        <v>0.73</v>
      </c>
      <c r="G249" s="6">
        <f>Raw_Production!N249</f>
        <v>0.74</v>
      </c>
      <c r="H249" s="6">
        <f t="shared" si="3"/>
        <v>1.0000000000000009E-2</v>
      </c>
      <c r="I249" s="3">
        <f>Raw_Production!I249</f>
        <v>80</v>
      </c>
      <c r="J249" s="3">
        <f>Raw_Production!J249</f>
        <v>123</v>
      </c>
      <c r="K249" s="3">
        <f>Raw_Production!L249</f>
        <v>63</v>
      </c>
      <c r="L249" s="3">
        <f>Raw_Production!M249</f>
        <v>0</v>
      </c>
      <c r="M249" s="3">
        <f>Raw_Production!F249</f>
        <v>0</v>
      </c>
      <c r="N249" s="3">
        <f>Raw_Production!K249</f>
        <v>887</v>
      </c>
      <c r="O249" s="3">
        <f>Raw_Production!H249</f>
        <v>8.8000000000000007</v>
      </c>
      <c r="P249" s="3">
        <f>Raw_Production!E249</f>
        <v>21</v>
      </c>
    </row>
    <row r="250" spans="1:16" x14ac:dyDescent="0.3">
      <c r="A250" s="4">
        <f>Raw_Production!A250</f>
        <v>46068</v>
      </c>
      <c r="B250" s="3" t="str">
        <f>Raw_Production!C250</f>
        <v>Sewing</v>
      </c>
      <c r="C250" s="3" t="str">
        <f>Raw_Production!D250</f>
        <v>T02</v>
      </c>
      <c r="D250" s="3" t="str">
        <f>Raw_Production!P250</f>
        <v>ST-104</v>
      </c>
      <c r="E250" s="3" t="str">
        <f>Raw_Production!O250</f>
        <v>Shirt</v>
      </c>
      <c r="F250" s="6">
        <f>Raw_Production!G250</f>
        <v>0.75</v>
      </c>
      <c r="G250" s="6">
        <f>Raw_Production!N250</f>
        <v>0.73</v>
      </c>
      <c r="H250" s="6">
        <f t="shared" si="3"/>
        <v>-2.0000000000000018E-2</v>
      </c>
      <c r="I250" s="3">
        <f>Raw_Production!I250</f>
        <v>146</v>
      </c>
      <c r="J250" s="3">
        <f>Raw_Production!J250</f>
        <v>65</v>
      </c>
      <c r="K250" s="3">
        <f>Raw_Production!L250</f>
        <v>113</v>
      </c>
      <c r="L250" s="3">
        <f>Raw_Production!M250</f>
        <v>1</v>
      </c>
      <c r="M250" s="3">
        <f>Raw_Production!F250</f>
        <v>2</v>
      </c>
      <c r="N250" s="3">
        <f>Raw_Production!K250</f>
        <v>3357</v>
      </c>
      <c r="O250" s="3">
        <f>Raw_Production!H250</f>
        <v>14.8</v>
      </c>
      <c r="P250" s="3">
        <f>Raw_Production!E250</f>
        <v>37</v>
      </c>
    </row>
    <row r="251" spans="1:16" x14ac:dyDescent="0.3">
      <c r="A251" s="4">
        <f>Raw_Production!A251</f>
        <v>46068</v>
      </c>
      <c r="B251" s="3" t="str">
        <f>Raw_Production!C251</f>
        <v>Sewing</v>
      </c>
      <c r="C251" s="3" t="str">
        <f>Raw_Production!D251</f>
        <v>T03</v>
      </c>
      <c r="D251" s="3" t="str">
        <f>Raw_Production!P251</f>
        <v>ST-101</v>
      </c>
      <c r="E251" s="3" t="str">
        <f>Raw_Production!O251</f>
        <v>T-Shirt</v>
      </c>
      <c r="F251" s="6">
        <f>Raw_Production!G251</f>
        <v>0.9</v>
      </c>
      <c r="G251" s="6">
        <f>Raw_Production!N251</f>
        <v>0.77</v>
      </c>
      <c r="H251" s="6">
        <f t="shared" si="3"/>
        <v>-0.13</v>
      </c>
      <c r="I251" s="3">
        <f>Raw_Production!I251</f>
        <v>251</v>
      </c>
      <c r="J251" s="3">
        <f>Raw_Production!J251</f>
        <v>145</v>
      </c>
      <c r="K251" s="3">
        <f>Raw_Production!L251</f>
        <v>95</v>
      </c>
      <c r="L251" s="3">
        <f>Raw_Production!M251</f>
        <v>4</v>
      </c>
      <c r="M251" s="3">
        <f>Raw_Production!F251</f>
        <v>1</v>
      </c>
      <c r="N251" s="3">
        <f>Raw_Production!K251</f>
        <v>3436</v>
      </c>
      <c r="O251" s="3">
        <f>Raw_Production!H251</f>
        <v>7.7</v>
      </c>
      <c r="P251" s="3">
        <f>Raw_Production!E251</f>
        <v>24</v>
      </c>
    </row>
    <row r="252" spans="1:16" x14ac:dyDescent="0.3">
      <c r="A252" s="4">
        <f>Raw_Production!A252</f>
        <v>46068</v>
      </c>
      <c r="B252" s="3" t="str">
        <f>Raw_Production!C252</f>
        <v>Finishing</v>
      </c>
      <c r="C252" s="3" t="str">
        <f>Raw_Production!D252</f>
        <v>T04</v>
      </c>
      <c r="D252" s="3" t="str">
        <f>Raw_Production!P252</f>
        <v>ST-104</v>
      </c>
      <c r="E252" s="3" t="str">
        <f>Raw_Production!O252</f>
        <v>Shirt</v>
      </c>
      <c r="F252" s="6">
        <f>Raw_Production!G252</f>
        <v>0.74</v>
      </c>
      <c r="G252" s="6">
        <f>Raw_Production!N252</f>
        <v>0.57999999999999996</v>
      </c>
      <c r="H252" s="6">
        <f t="shared" si="3"/>
        <v>-0.16000000000000003</v>
      </c>
      <c r="I252" s="3">
        <f>Raw_Production!I252</f>
        <v>436</v>
      </c>
      <c r="J252" s="3">
        <f>Raw_Production!J252</f>
        <v>38</v>
      </c>
      <c r="K252" s="3">
        <f>Raw_Production!L252</f>
        <v>68</v>
      </c>
      <c r="L252" s="3">
        <f>Raw_Production!M252</f>
        <v>3</v>
      </c>
      <c r="M252" s="3">
        <f>Raw_Production!F252</f>
        <v>2</v>
      </c>
      <c r="N252" s="3">
        <f>Raw_Production!K252</f>
        <v>527</v>
      </c>
      <c r="O252" s="3">
        <f>Raw_Production!H252</f>
        <v>11.9</v>
      </c>
      <c r="P252" s="3">
        <f>Raw_Production!E252</f>
        <v>20</v>
      </c>
    </row>
    <row r="253" spans="1:16" x14ac:dyDescent="0.3">
      <c r="A253" s="4">
        <f>Raw_Production!A253</f>
        <v>46068</v>
      </c>
      <c r="B253" s="3" t="str">
        <f>Raw_Production!C253</f>
        <v>Finishing</v>
      </c>
      <c r="C253" s="3" t="str">
        <f>Raw_Production!D253</f>
        <v>T05</v>
      </c>
      <c r="D253" s="3" t="str">
        <f>Raw_Production!P253</f>
        <v>ST-109</v>
      </c>
      <c r="E253" s="3" t="str">
        <f>Raw_Production!O253</f>
        <v>Shirt</v>
      </c>
      <c r="F253" s="6">
        <f>Raw_Production!G253</f>
        <v>0.82</v>
      </c>
      <c r="G253" s="6">
        <f>Raw_Production!N253</f>
        <v>0.72</v>
      </c>
      <c r="H253" s="6">
        <f t="shared" si="3"/>
        <v>-9.9999999999999978E-2</v>
      </c>
      <c r="I253" s="3">
        <f>Raw_Production!I253</f>
        <v>231</v>
      </c>
      <c r="J253" s="3">
        <f>Raw_Production!J253</f>
        <v>148</v>
      </c>
      <c r="K253" s="3">
        <f>Raw_Production!L253</f>
        <v>114</v>
      </c>
      <c r="L253" s="3">
        <f>Raw_Production!M253</f>
        <v>7</v>
      </c>
      <c r="M253" s="3">
        <f>Raw_Production!F253</f>
        <v>2</v>
      </c>
      <c r="N253" s="3">
        <f>Raw_Production!K253</f>
        <v>3643</v>
      </c>
      <c r="O253" s="3">
        <f>Raw_Production!H253</f>
        <v>17.2</v>
      </c>
      <c r="P253" s="3">
        <f>Raw_Production!E253</f>
        <v>30</v>
      </c>
    </row>
    <row r="254" spans="1:16" x14ac:dyDescent="0.3">
      <c r="A254" s="4">
        <f>Raw_Production!A254</f>
        <v>46069</v>
      </c>
      <c r="B254" s="3" t="str">
        <f>Raw_Production!C254</f>
        <v>Cutting</v>
      </c>
      <c r="C254" s="3" t="str">
        <f>Raw_Production!D254</f>
        <v>T01</v>
      </c>
      <c r="D254" s="3" t="str">
        <f>Raw_Production!P254</f>
        <v>ST-105</v>
      </c>
      <c r="E254" s="3" t="str">
        <f>Raw_Production!O254</f>
        <v>Jacket</v>
      </c>
      <c r="F254" s="6">
        <f>Raw_Production!G254</f>
        <v>0.86</v>
      </c>
      <c r="G254" s="6">
        <f>Raw_Production!N254</f>
        <v>0.74</v>
      </c>
      <c r="H254" s="6">
        <f t="shared" si="3"/>
        <v>-0.12</v>
      </c>
      <c r="I254" s="3">
        <f>Raw_Production!I254</f>
        <v>212</v>
      </c>
      <c r="J254" s="3">
        <f>Raw_Production!J254</f>
        <v>138</v>
      </c>
      <c r="K254" s="3">
        <f>Raw_Production!L254</f>
        <v>30</v>
      </c>
      <c r="L254" s="3">
        <f>Raw_Production!M254</f>
        <v>3</v>
      </c>
      <c r="M254" s="3">
        <f>Raw_Production!F254</f>
        <v>1</v>
      </c>
      <c r="N254" s="3">
        <f>Raw_Production!K254</f>
        <v>4308</v>
      </c>
      <c r="O254" s="3">
        <f>Raw_Production!H254</f>
        <v>10.6</v>
      </c>
      <c r="P254" s="3">
        <f>Raw_Production!E254</f>
        <v>31</v>
      </c>
    </row>
    <row r="255" spans="1:16" x14ac:dyDescent="0.3">
      <c r="A255" s="4">
        <f>Raw_Production!A255</f>
        <v>46069</v>
      </c>
      <c r="B255" s="3" t="str">
        <f>Raw_Production!C255</f>
        <v>Cutting</v>
      </c>
      <c r="C255" s="3" t="str">
        <f>Raw_Production!D255</f>
        <v>T06</v>
      </c>
      <c r="D255" s="3" t="str">
        <f>Raw_Production!P255</f>
        <v>ST-102</v>
      </c>
      <c r="E255" s="3" t="str">
        <f>Raw_Production!O255</f>
        <v>Polo</v>
      </c>
      <c r="F255" s="6">
        <f>Raw_Production!G255</f>
        <v>0.84</v>
      </c>
      <c r="G255" s="6">
        <f>Raw_Production!N255</f>
        <v>0.69</v>
      </c>
      <c r="H255" s="6">
        <f t="shared" si="3"/>
        <v>-0.15000000000000002</v>
      </c>
      <c r="I255" s="3">
        <f>Raw_Production!I255</f>
        <v>73</v>
      </c>
      <c r="J255" s="3">
        <f>Raw_Production!J255</f>
        <v>100</v>
      </c>
      <c r="K255" s="3">
        <f>Raw_Production!L255</f>
        <v>104</v>
      </c>
      <c r="L255" s="3">
        <f>Raw_Production!M255</f>
        <v>6</v>
      </c>
      <c r="M255" s="3">
        <f>Raw_Production!F255</f>
        <v>0</v>
      </c>
      <c r="N255" s="3">
        <f>Raw_Production!K255</f>
        <v>85</v>
      </c>
      <c r="O255" s="3">
        <f>Raw_Production!H255</f>
        <v>12.6</v>
      </c>
      <c r="P255" s="3">
        <f>Raw_Production!E255</f>
        <v>37</v>
      </c>
    </row>
    <row r="256" spans="1:16" x14ac:dyDescent="0.3">
      <c r="A256" s="4">
        <f>Raw_Production!A256</f>
        <v>46069</v>
      </c>
      <c r="B256" s="3" t="str">
        <f>Raw_Production!C256</f>
        <v>Sewing</v>
      </c>
      <c r="C256" s="3" t="str">
        <f>Raw_Production!D256</f>
        <v>T02</v>
      </c>
      <c r="D256" s="3" t="str">
        <f>Raw_Production!P256</f>
        <v>ST-109</v>
      </c>
      <c r="E256" s="3" t="str">
        <f>Raw_Production!O256</f>
        <v>Shirt</v>
      </c>
      <c r="F256" s="6">
        <f>Raw_Production!G256</f>
        <v>0.87</v>
      </c>
      <c r="G256" s="6">
        <f>Raw_Production!N256</f>
        <v>0.71</v>
      </c>
      <c r="H256" s="6">
        <f t="shared" si="3"/>
        <v>-0.16000000000000003</v>
      </c>
      <c r="I256" s="3">
        <f>Raw_Production!I256</f>
        <v>263</v>
      </c>
      <c r="J256" s="3">
        <f>Raw_Production!J256</f>
        <v>80</v>
      </c>
      <c r="K256" s="3">
        <f>Raw_Production!L256</f>
        <v>54</v>
      </c>
      <c r="L256" s="3">
        <f>Raw_Production!M256</f>
        <v>4</v>
      </c>
      <c r="M256" s="3">
        <f>Raw_Production!F256</f>
        <v>1</v>
      </c>
      <c r="N256" s="3">
        <f>Raw_Production!K256</f>
        <v>1389</v>
      </c>
      <c r="O256" s="3">
        <f>Raw_Production!H256</f>
        <v>10.3</v>
      </c>
      <c r="P256" s="3">
        <f>Raw_Production!E256</f>
        <v>25</v>
      </c>
    </row>
    <row r="257" spans="1:16" x14ac:dyDescent="0.3">
      <c r="A257" s="4">
        <f>Raw_Production!A257</f>
        <v>46069</v>
      </c>
      <c r="B257" s="3" t="str">
        <f>Raw_Production!C257</f>
        <v>Sewing</v>
      </c>
      <c r="C257" s="3" t="str">
        <f>Raw_Production!D257</f>
        <v>T03</v>
      </c>
      <c r="D257" s="3" t="str">
        <f>Raw_Production!P257</f>
        <v>ST-108</v>
      </c>
      <c r="E257" s="3" t="str">
        <f>Raw_Production!O257</f>
        <v>Hoodie</v>
      </c>
      <c r="F257" s="6">
        <f>Raw_Production!G257</f>
        <v>0.74</v>
      </c>
      <c r="G257" s="6">
        <f>Raw_Production!N257</f>
        <v>0.66</v>
      </c>
      <c r="H257" s="6">
        <f t="shared" si="3"/>
        <v>-7.999999999999996E-2</v>
      </c>
      <c r="I257" s="3">
        <f>Raw_Production!I257</f>
        <v>262</v>
      </c>
      <c r="J257" s="3">
        <f>Raw_Production!J257</f>
        <v>111</v>
      </c>
      <c r="K257" s="3">
        <f>Raw_Production!L257</f>
        <v>73</v>
      </c>
      <c r="L257" s="3">
        <f>Raw_Production!M257</f>
        <v>0</v>
      </c>
      <c r="M257" s="3">
        <f>Raw_Production!F257</f>
        <v>0</v>
      </c>
      <c r="N257" s="3">
        <f>Raw_Production!K257</f>
        <v>2397</v>
      </c>
      <c r="O257" s="3">
        <f>Raw_Production!H257</f>
        <v>10.9</v>
      </c>
      <c r="P257" s="3">
        <f>Raw_Production!E257</f>
        <v>30</v>
      </c>
    </row>
    <row r="258" spans="1:16" x14ac:dyDescent="0.3">
      <c r="A258" s="4">
        <f>Raw_Production!A258</f>
        <v>46069</v>
      </c>
      <c r="B258" s="3" t="str">
        <f>Raw_Production!C258</f>
        <v>Finishing</v>
      </c>
      <c r="C258" s="3" t="str">
        <f>Raw_Production!D258</f>
        <v>T04</v>
      </c>
      <c r="D258" s="3" t="str">
        <f>Raw_Production!P258</f>
        <v>ST-102</v>
      </c>
      <c r="E258" s="3" t="str">
        <f>Raw_Production!O258</f>
        <v>Polo</v>
      </c>
      <c r="F258" s="6">
        <f>Raw_Production!G258</f>
        <v>0.82</v>
      </c>
      <c r="G258" s="6">
        <f>Raw_Production!N258</f>
        <v>0.73</v>
      </c>
      <c r="H258" s="6">
        <f t="shared" ref="H258:H321" si="4">G258-F258</f>
        <v>-8.9999999999999969E-2</v>
      </c>
      <c r="I258" s="3">
        <f>Raw_Production!I258</f>
        <v>42</v>
      </c>
      <c r="J258" s="3">
        <f>Raw_Production!J258</f>
        <v>149</v>
      </c>
      <c r="K258" s="3">
        <f>Raw_Production!L258</f>
        <v>43</v>
      </c>
      <c r="L258" s="3">
        <f>Raw_Production!M258</f>
        <v>0</v>
      </c>
      <c r="M258" s="3">
        <f>Raw_Production!F258</f>
        <v>0</v>
      </c>
      <c r="N258" s="3">
        <f>Raw_Production!K258</f>
        <v>3822</v>
      </c>
      <c r="O258" s="3">
        <f>Raw_Production!H258</f>
        <v>14.5</v>
      </c>
      <c r="P258" s="3">
        <f>Raw_Production!E258</f>
        <v>27</v>
      </c>
    </row>
    <row r="259" spans="1:16" x14ac:dyDescent="0.3">
      <c r="A259" s="4">
        <f>Raw_Production!A259</f>
        <v>46069</v>
      </c>
      <c r="B259" s="3" t="str">
        <f>Raw_Production!C259</f>
        <v>Finishing</v>
      </c>
      <c r="C259" s="3" t="str">
        <f>Raw_Production!D259</f>
        <v>T05</v>
      </c>
      <c r="D259" s="3" t="str">
        <f>Raw_Production!P259</f>
        <v>ST-108</v>
      </c>
      <c r="E259" s="3" t="str">
        <f>Raw_Production!O259</f>
        <v>Hoodie</v>
      </c>
      <c r="F259" s="6">
        <f>Raw_Production!G259</f>
        <v>0.85</v>
      </c>
      <c r="G259" s="6">
        <f>Raw_Production!N259</f>
        <v>0.79</v>
      </c>
      <c r="H259" s="6">
        <f t="shared" si="4"/>
        <v>-5.9999999999999942E-2</v>
      </c>
      <c r="I259" s="3">
        <f>Raw_Production!I259</f>
        <v>364</v>
      </c>
      <c r="J259" s="3">
        <f>Raw_Production!J259</f>
        <v>1</v>
      </c>
      <c r="K259" s="3">
        <f>Raw_Production!L259</f>
        <v>4</v>
      </c>
      <c r="L259" s="3">
        <f>Raw_Production!M259</f>
        <v>6</v>
      </c>
      <c r="M259" s="3">
        <f>Raw_Production!F259</f>
        <v>1</v>
      </c>
      <c r="N259" s="3">
        <f>Raw_Production!K259</f>
        <v>3772</v>
      </c>
      <c r="O259" s="3">
        <f>Raw_Production!H259</f>
        <v>9.3000000000000007</v>
      </c>
      <c r="P259" s="3">
        <f>Raw_Production!E259</f>
        <v>33</v>
      </c>
    </row>
    <row r="260" spans="1:16" x14ac:dyDescent="0.3">
      <c r="A260" s="4">
        <f>Raw_Production!A260</f>
        <v>46070</v>
      </c>
      <c r="B260" s="3" t="str">
        <f>Raw_Production!C260</f>
        <v>Cutting</v>
      </c>
      <c r="C260" s="3" t="str">
        <f>Raw_Production!D260</f>
        <v>T01</v>
      </c>
      <c r="D260" s="3" t="str">
        <f>Raw_Production!P260</f>
        <v>ST-105</v>
      </c>
      <c r="E260" s="3" t="str">
        <f>Raw_Production!O260</f>
        <v>Jacket</v>
      </c>
      <c r="F260" s="6">
        <f>Raw_Production!G260</f>
        <v>0.74</v>
      </c>
      <c r="G260" s="6">
        <f>Raw_Production!N260</f>
        <v>0.67</v>
      </c>
      <c r="H260" s="6">
        <f t="shared" si="4"/>
        <v>-6.9999999999999951E-2</v>
      </c>
      <c r="I260" s="3">
        <f>Raw_Production!I260</f>
        <v>145</v>
      </c>
      <c r="J260" s="3">
        <f>Raw_Production!J260</f>
        <v>99</v>
      </c>
      <c r="K260" s="3">
        <f>Raw_Production!L260</f>
        <v>37</v>
      </c>
      <c r="L260" s="3">
        <f>Raw_Production!M260</f>
        <v>2</v>
      </c>
      <c r="M260" s="3">
        <f>Raw_Production!F260</f>
        <v>1</v>
      </c>
      <c r="N260" s="3">
        <f>Raw_Production!K260</f>
        <v>2098</v>
      </c>
      <c r="O260" s="3">
        <f>Raw_Production!H260</f>
        <v>15.9</v>
      </c>
      <c r="P260" s="3">
        <f>Raw_Production!E260</f>
        <v>36</v>
      </c>
    </row>
    <row r="261" spans="1:16" x14ac:dyDescent="0.3">
      <c r="A261" s="4">
        <f>Raw_Production!A261</f>
        <v>46070</v>
      </c>
      <c r="B261" s="3" t="str">
        <f>Raw_Production!C261</f>
        <v>Cutting</v>
      </c>
      <c r="C261" s="3" t="str">
        <f>Raw_Production!D261</f>
        <v>T06</v>
      </c>
      <c r="D261" s="3" t="str">
        <f>Raw_Production!P261</f>
        <v>ST-103</v>
      </c>
      <c r="E261" s="3" t="str">
        <f>Raw_Production!O261</f>
        <v>Hoodie</v>
      </c>
      <c r="F261" s="6">
        <f>Raw_Production!G261</f>
        <v>0.89</v>
      </c>
      <c r="G261" s="6">
        <f>Raw_Production!N261</f>
        <v>0.78</v>
      </c>
      <c r="H261" s="6">
        <f t="shared" si="4"/>
        <v>-0.10999999999999999</v>
      </c>
      <c r="I261" s="3">
        <f>Raw_Production!I261</f>
        <v>272</v>
      </c>
      <c r="J261" s="3">
        <f>Raw_Production!J261</f>
        <v>97</v>
      </c>
      <c r="K261" s="3">
        <f>Raw_Production!L261</f>
        <v>98</v>
      </c>
      <c r="L261" s="3">
        <f>Raw_Production!M261</f>
        <v>5</v>
      </c>
      <c r="M261" s="3">
        <f>Raw_Production!F261</f>
        <v>1</v>
      </c>
      <c r="N261" s="3">
        <f>Raw_Production!K261</f>
        <v>1769</v>
      </c>
      <c r="O261" s="3">
        <f>Raw_Production!H261</f>
        <v>8.3000000000000007</v>
      </c>
      <c r="P261" s="3">
        <f>Raw_Production!E261</f>
        <v>22</v>
      </c>
    </row>
    <row r="262" spans="1:16" x14ac:dyDescent="0.3">
      <c r="A262" s="4">
        <f>Raw_Production!A262</f>
        <v>46070</v>
      </c>
      <c r="B262" s="3" t="str">
        <f>Raw_Production!C262</f>
        <v>Sewing</v>
      </c>
      <c r="C262" s="3" t="str">
        <f>Raw_Production!D262</f>
        <v>T02</v>
      </c>
      <c r="D262" s="3" t="str">
        <f>Raw_Production!P262</f>
        <v>ST-109</v>
      </c>
      <c r="E262" s="3" t="str">
        <f>Raw_Production!O262</f>
        <v>Shirt</v>
      </c>
      <c r="F262" s="6">
        <f>Raw_Production!G262</f>
        <v>0.9</v>
      </c>
      <c r="G262" s="6">
        <f>Raw_Production!N262</f>
        <v>0.88</v>
      </c>
      <c r="H262" s="6">
        <f t="shared" si="4"/>
        <v>-2.0000000000000018E-2</v>
      </c>
      <c r="I262" s="3">
        <f>Raw_Production!I262</f>
        <v>142</v>
      </c>
      <c r="J262" s="3">
        <f>Raw_Production!J262</f>
        <v>59</v>
      </c>
      <c r="K262" s="3">
        <f>Raw_Production!L262</f>
        <v>63</v>
      </c>
      <c r="L262" s="3">
        <f>Raw_Production!M262</f>
        <v>1</v>
      </c>
      <c r="M262" s="3">
        <f>Raw_Production!F262</f>
        <v>1</v>
      </c>
      <c r="N262" s="3">
        <f>Raw_Production!K262</f>
        <v>3204</v>
      </c>
      <c r="O262" s="3">
        <f>Raw_Production!H262</f>
        <v>13.2</v>
      </c>
      <c r="P262" s="3">
        <f>Raw_Production!E262</f>
        <v>35</v>
      </c>
    </row>
    <row r="263" spans="1:16" x14ac:dyDescent="0.3">
      <c r="A263" s="4">
        <f>Raw_Production!A263</f>
        <v>46070</v>
      </c>
      <c r="B263" s="3" t="str">
        <f>Raw_Production!C263</f>
        <v>Sewing</v>
      </c>
      <c r="C263" s="3" t="str">
        <f>Raw_Production!D263</f>
        <v>T03</v>
      </c>
      <c r="D263" s="3" t="str">
        <f>Raw_Production!P263</f>
        <v>ST-104</v>
      </c>
      <c r="E263" s="3" t="str">
        <f>Raw_Production!O263</f>
        <v>Shirt</v>
      </c>
      <c r="F263" s="6">
        <f>Raw_Production!G263</f>
        <v>0.85</v>
      </c>
      <c r="G263" s="6">
        <f>Raw_Production!N263</f>
        <v>0.87</v>
      </c>
      <c r="H263" s="6">
        <f t="shared" si="4"/>
        <v>2.0000000000000018E-2</v>
      </c>
      <c r="I263" s="3">
        <f>Raw_Production!I263</f>
        <v>303</v>
      </c>
      <c r="J263" s="3">
        <f>Raw_Production!J263</f>
        <v>49</v>
      </c>
      <c r="K263" s="3">
        <f>Raw_Production!L263</f>
        <v>14</v>
      </c>
      <c r="L263" s="3">
        <f>Raw_Production!M263</f>
        <v>4</v>
      </c>
      <c r="M263" s="3">
        <f>Raw_Production!F263</f>
        <v>0</v>
      </c>
      <c r="N263" s="3">
        <f>Raw_Production!K263</f>
        <v>69</v>
      </c>
      <c r="O263" s="3">
        <f>Raw_Production!H263</f>
        <v>15.5</v>
      </c>
      <c r="P263" s="3">
        <f>Raw_Production!E263</f>
        <v>23</v>
      </c>
    </row>
    <row r="264" spans="1:16" x14ac:dyDescent="0.3">
      <c r="A264" s="4">
        <f>Raw_Production!A264</f>
        <v>46070</v>
      </c>
      <c r="B264" s="3" t="str">
        <f>Raw_Production!C264</f>
        <v>Finishing</v>
      </c>
      <c r="C264" s="3" t="str">
        <f>Raw_Production!D264</f>
        <v>T04</v>
      </c>
      <c r="D264" s="3" t="str">
        <f>Raw_Production!P264</f>
        <v>ST-102</v>
      </c>
      <c r="E264" s="3" t="str">
        <f>Raw_Production!O264</f>
        <v>Polo</v>
      </c>
      <c r="F264" s="6">
        <f>Raw_Production!G264</f>
        <v>0.87</v>
      </c>
      <c r="G264" s="6">
        <f>Raw_Production!N264</f>
        <v>0.81</v>
      </c>
      <c r="H264" s="6">
        <f t="shared" si="4"/>
        <v>-5.9999999999999942E-2</v>
      </c>
      <c r="I264" s="3">
        <f>Raw_Production!I264</f>
        <v>58</v>
      </c>
      <c r="J264" s="3">
        <f>Raw_Production!J264</f>
        <v>79</v>
      </c>
      <c r="K264" s="3">
        <f>Raw_Production!L264</f>
        <v>40</v>
      </c>
      <c r="L264" s="3">
        <f>Raw_Production!M264</f>
        <v>4</v>
      </c>
      <c r="M264" s="3">
        <f>Raw_Production!F264</f>
        <v>2</v>
      </c>
      <c r="N264" s="3">
        <f>Raw_Production!K264</f>
        <v>2543</v>
      </c>
      <c r="O264" s="3">
        <f>Raw_Production!H264</f>
        <v>13.8</v>
      </c>
      <c r="P264" s="3">
        <f>Raw_Production!E264</f>
        <v>37</v>
      </c>
    </row>
    <row r="265" spans="1:16" x14ac:dyDescent="0.3">
      <c r="A265" s="4">
        <f>Raw_Production!A265</f>
        <v>46070</v>
      </c>
      <c r="B265" s="3" t="str">
        <f>Raw_Production!C265</f>
        <v>Finishing</v>
      </c>
      <c r="C265" s="3" t="str">
        <f>Raw_Production!D265</f>
        <v>T05</v>
      </c>
      <c r="D265" s="3" t="str">
        <f>Raw_Production!P265</f>
        <v>ST-106</v>
      </c>
      <c r="E265" s="3" t="str">
        <f>Raw_Production!O265</f>
        <v>T-Shirt</v>
      </c>
      <c r="F265" s="6">
        <f>Raw_Production!G265</f>
        <v>0.8</v>
      </c>
      <c r="G265" s="6">
        <f>Raw_Production!N265</f>
        <v>0.66</v>
      </c>
      <c r="H265" s="6">
        <f t="shared" si="4"/>
        <v>-0.14000000000000001</v>
      </c>
      <c r="I265" s="3">
        <f>Raw_Production!I265</f>
        <v>34</v>
      </c>
      <c r="J265" s="3">
        <f>Raw_Production!J265</f>
        <v>60</v>
      </c>
      <c r="K265" s="3">
        <f>Raw_Production!L265</f>
        <v>33</v>
      </c>
      <c r="L265" s="3">
        <f>Raw_Production!M265</f>
        <v>4</v>
      </c>
      <c r="M265" s="3">
        <f>Raw_Production!F265</f>
        <v>1</v>
      </c>
      <c r="N265" s="3">
        <f>Raw_Production!K265</f>
        <v>1560</v>
      </c>
      <c r="O265" s="3">
        <f>Raw_Production!H265</f>
        <v>16</v>
      </c>
      <c r="P265" s="3">
        <f>Raw_Production!E265</f>
        <v>29</v>
      </c>
    </row>
    <row r="266" spans="1:16" x14ac:dyDescent="0.3">
      <c r="A266" s="4">
        <f>Raw_Production!A266</f>
        <v>46071</v>
      </c>
      <c r="B266" s="3" t="str">
        <f>Raw_Production!C266</f>
        <v>Cutting</v>
      </c>
      <c r="C266" s="3" t="str">
        <f>Raw_Production!D266</f>
        <v>T01</v>
      </c>
      <c r="D266" s="3" t="str">
        <f>Raw_Production!P266</f>
        <v>ST-105</v>
      </c>
      <c r="E266" s="3" t="str">
        <f>Raw_Production!O266</f>
        <v>Jacket</v>
      </c>
      <c r="F266" s="6">
        <f>Raw_Production!G266</f>
        <v>0.74</v>
      </c>
      <c r="G266" s="6">
        <f>Raw_Production!N266</f>
        <v>0.76</v>
      </c>
      <c r="H266" s="6">
        <f t="shared" si="4"/>
        <v>2.0000000000000018E-2</v>
      </c>
      <c r="I266" s="3">
        <f>Raw_Production!I266</f>
        <v>344</v>
      </c>
      <c r="J266" s="3">
        <f>Raw_Production!J266</f>
        <v>22</v>
      </c>
      <c r="K266" s="3">
        <f>Raw_Production!L266</f>
        <v>118</v>
      </c>
      <c r="L266" s="3">
        <f>Raw_Production!M266</f>
        <v>1</v>
      </c>
      <c r="M266" s="3">
        <f>Raw_Production!F266</f>
        <v>1</v>
      </c>
      <c r="N266" s="3">
        <f>Raw_Production!K266</f>
        <v>4389</v>
      </c>
      <c r="O266" s="3">
        <f>Raw_Production!H266</f>
        <v>12.1</v>
      </c>
      <c r="P266" s="3">
        <f>Raw_Production!E266</f>
        <v>26</v>
      </c>
    </row>
    <row r="267" spans="1:16" x14ac:dyDescent="0.3">
      <c r="A267" s="4">
        <f>Raw_Production!A267</f>
        <v>46071</v>
      </c>
      <c r="B267" s="3" t="str">
        <f>Raw_Production!C267</f>
        <v>Cutting</v>
      </c>
      <c r="C267" s="3" t="str">
        <f>Raw_Production!D267</f>
        <v>T06</v>
      </c>
      <c r="D267" s="3" t="str">
        <f>Raw_Production!P267</f>
        <v>ST-102</v>
      </c>
      <c r="E267" s="3" t="str">
        <f>Raw_Production!O267</f>
        <v>Polo</v>
      </c>
      <c r="F267" s="6">
        <f>Raw_Production!G267</f>
        <v>0.82</v>
      </c>
      <c r="G267" s="6">
        <f>Raw_Production!N267</f>
        <v>0.64</v>
      </c>
      <c r="H267" s="6">
        <f t="shared" si="4"/>
        <v>-0.17999999999999994</v>
      </c>
      <c r="I267" s="3">
        <f>Raw_Production!I267</f>
        <v>118</v>
      </c>
      <c r="J267" s="3">
        <f>Raw_Production!J267</f>
        <v>36</v>
      </c>
      <c r="K267" s="3">
        <f>Raw_Production!L267</f>
        <v>69</v>
      </c>
      <c r="L267" s="3">
        <f>Raw_Production!M267</f>
        <v>8</v>
      </c>
      <c r="M267" s="3">
        <f>Raw_Production!F267</f>
        <v>2</v>
      </c>
      <c r="N267" s="3">
        <f>Raw_Production!K267</f>
        <v>1916</v>
      </c>
      <c r="O267" s="3">
        <f>Raw_Production!H267</f>
        <v>15.3</v>
      </c>
      <c r="P267" s="3">
        <f>Raw_Production!E267</f>
        <v>35</v>
      </c>
    </row>
    <row r="268" spans="1:16" x14ac:dyDescent="0.3">
      <c r="A268" s="4">
        <f>Raw_Production!A268</f>
        <v>46071</v>
      </c>
      <c r="B268" s="3" t="str">
        <f>Raw_Production!C268</f>
        <v>Sewing</v>
      </c>
      <c r="C268" s="3" t="str">
        <f>Raw_Production!D268</f>
        <v>T02</v>
      </c>
      <c r="D268" s="3" t="str">
        <f>Raw_Production!P268</f>
        <v>ST-107</v>
      </c>
      <c r="E268" s="3" t="str">
        <f>Raw_Production!O268</f>
        <v>Polo</v>
      </c>
      <c r="F268" s="6">
        <f>Raw_Production!G268</f>
        <v>0.73</v>
      </c>
      <c r="G268" s="6">
        <f>Raw_Production!N268</f>
        <v>0.76</v>
      </c>
      <c r="H268" s="6">
        <f t="shared" si="4"/>
        <v>3.0000000000000027E-2</v>
      </c>
      <c r="I268" s="3">
        <f>Raw_Production!I268</f>
        <v>422</v>
      </c>
      <c r="J268" s="3">
        <f>Raw_Production!J268</f>
        <v>142</v>
      </c>
      <c r="K268" s="3">
        <f>Raw_Production!L268</f>
        <v>3</v>
      </c>
      <c r="L268" s="3">
        <f>Raw_Production!M268</f>
        <v>3</v>
      </c>
      <c r="M268" s="3">
        <f>Raw_Production!F268</f>
        <v>0</v>
      </c>
      <c r="N268" s="3">
        <f>Raw_Production!K268</f>
        <v>248</v>
      </c>
      <c r="O268" s="3">
        <f>Raw_Production!H268</f>
        <v>13.3</v>
      </c>
      <c r="P268" s="3">
        <f>Raw_Production!E268</f>
        <v>23</v>
      </c>
    </row>
    <row r="269" spans="1:16" x14ac:dyDescent="0.3">
      <c r="A269" s="4">
        <f>Raw_Production!A269</f>
        <v>46071</v>
      </c>
      <c r="B269" s="3" t="str">
        <f>Raw_Production!C269</f>
        <v>Sewing</v>
      </c>
      <c r="C269" s="3" t="str">
        <f>Raw_Production!D269</f>
        <v>T03</v>
      </c>
      <c r="D269" s="3" t="str">
        <f>Raw_Production!P269</f>
        <v>ST-106</v>
      </c>
      <c r="E269" s="3" t="str">
        <f>Raw_Production!O269</f>
        <v>T-Shirt</v>
      </c>
      <c r="F269" s="6">
        <f>Raw_Production!G269</f>
        <v>0.87</v>
      </c>
      <c r="G269" s="6">
        <f>Raw_Production!N269</f>
        <v>0.91</v>
      </c>
      <c r="H269" s="6">
        <f t="shared" si="4"/>
        <v>4.0000000000000036E-2</v>
      </c>
      <c r="I269" s="3">
        <f>Raw_Production!I269</f>
        <v>162</v>
      </c>
      <c r="J269" s="3">
        <f>Raw_Production!J269</f>
        <v>95</v>
      </c>
      <c r="K269" s="3">
        <f>Raw_Production!L269</f>
        <v>22</v>
      </c>
      <c r="L269" s="3">
        <f>Raw_Production!M269</f>
        <v>0</v>
      </c>
      <c r="M269" s="3">
        <f>Raw_Production!F269</f>
        <v>0</v>
      </c>
      <c r="N269" s="3">
        <f>Raw_Production!K269</f>
        <v>2497</v>
      </c>
      <c r="O269" s="3">
        <f>Raw_Production!H269</f>
        <v>11.9</v>
      </c>
      <c r="P269" s="3">
        <f>Raw_Production!E269</f>
        <v>20</v>
      </c>
    </row>
    <row r="270" spans="1:16" x14ac:dyDescent="0.3">
      <c r="A270" s="4">
        <f>Raw_Production!A270</f>
        <v>46071</v>
      </c>
      <c r="B270" s="3" t="str">
        <f>Raw_Production!C270</f>
        <v>Finishing</v>
      </c>
      <c r="C270" s="3" t="str">
        <f>Raw_Production!D270</f>
        <v>T04</v>
      </c>
      <c r="D270" s="3" t="str">
        <f>Raw_Production!P270</f>
        <v>ST-106</v>
      </c>
      <c r="E270" s="3" t="str">
        <f>Raw_Production!O270</f>
        <v>T-Shirt</v>
      </c>
      <c r="F270" s="6">
        <f>Raw_Production!G270</f>
        <v>0.78</v>
      </c>
      <c r="G270" s="6">
        <f>Raw_Production!N270</f>
        <v>0.56999999999999995</v>
      </c>
      <c r="H270" s="6">
        <f t="shared" si="4"/>
        <v>-0.21000000000000008</v>
      </c>
      <c r="I270" s="3">
        <f>Raw_Production!I270</f>
        <v>69</v>
      </c>
      <c r="J270" s="3">
        <f>Raw_Production!J270</f>
        <v>98</v>
      </c>
      <c r="K270" s="3">
        <f>Raw_Production!L270</f>
        <v>87</v>
      </c>
      <c r="L270" s="3">
        <f>Raw_Production!M270</f>
        <v>7</v>
      </c>
      <c r="M270" s="3">
        <f>Raw_Production!F270</f>
        <v>2</v>
      </c>
      <c r="N270" s="3">
        <f>Raw_Production!K270</f>
        <v>159</v>
      </c>
      <c r="O270" s="3">
        <f>Raw_Production!H270</f>
        <v>10.1</v>
      </c>
      <c r="P270" s="3">
        <f>Raw_Production!E270</f>
        <v>28</v>
      </c>
    </row>
    <row r="271" spans="1:16" x14ac:dyDescent="0.3">
      <c r="A271" s="4">
        <f>Raw_Production!A271</f>
        <v>46071</v>
      </c>
      <c r="B271" s="3" t="str">
        <f>Raw_Production!C271</f>
        <v>Finishing</v>
      </c>
      <c r="C271" s="3" t="str">
        <f>Raw_Production!D271</f>
        <v>T05</v>
      </c>
      <c r="D271" s="3" t="str">
        <f>Raw_Production!P271</f>
        <v>ST-109</v>
      </c>
      <c r="E271" s="3" t="str">
        <f>Raw_Production!O271</f>
        <v>Shirt</v>
      </c>
      <c r="F271" s="6">
        <f>Raw_Production!G271</f>
        <v>0.73</v>
      </c>
      <c r="G271" s="6">
        <f>Raw_Production!N271</f>
        <v>0.63</v>
      </c>
      <c r="H271" s="6">
        <f t="shared" si="4"/>
        <v>-9.9999999999999978E-2</v>
      </c>
      <c r="I271" s="3">
        <f>Raw_Production!I271</f>
        <v>367</v>
      </c>
      <c r="J271" s="3">
        <f>Raw_Production!J271</f>
        <v>82</v>
      </c>
      <c r="K271" s="3">
        <f>Raw_Production!L271</f>
        <v>34</v>
      </c>
      <c r="L271" s="3">
        <f>Raw_Production!M271</f>
        <v>0</v>
      </c>
      <c r="M271" s="3">
        <f>Raw_Production!F271</f>
        <v>0</v>
      </c>
      <c r="N271" s="3">
        <f>Raw_Production!K271</f>
        <v>1347</v>
      </c>
      <c r="O271" s="3">
        <f>Raw_Production!H271</f>
        <v>12.3</v>
      </c>
      <c r="P271" s="3">
        <f>Raw_Production!E271</f>
        <v>32</v>
      </c>
    </row>
    <row r="272" spans="1:16" x14ac:dyDescent="0.3">
      <c r="A272" s="4">
        <f>Raw_Production!A272</f>
        <v>46072</v>
      </c>
      <c r="B272" s="3" t="str">
        <f>Raw_Production!C272</f>
        <v>Cutting</v>
      </c>
      <c r="C272" s="3" t="str">
        <f>Raw_Production!D272</f>
        <v>T01</v>
      </c>
      <c r="D272" s="3" t="str">
        <f>Raw_Production!P272</f>
        <v>ST-104</v>
      </c>
      <c r="E272" s="3" t="str">
        <f>Raw_Production!O272</f>
        <v>Shirt</v>
      </c>
      <c r="F272" s="6">
        <f>Raw_Production!G272</f>
        <v>0.85</v>
      </c>
      <c r="G272" s="6">
        <f>Raw_Production!N272</f>
        <v>0.88</v>
      </c>
      <c r="H272" s="6">
        <f t="shared" si="4"/>
        <v>3.0000000000000027E-2</v>
      </c>
      <c r="I272" s="3">
        <f>Raw_Production!I272</f>
        <v>116</v>
      </c>
      <c r="J272" s="3">
        <f>Raw_Production!J272</f>
        <v>2</v>
      </c>
      <c r="K272" s="3">
        <f>Raw_Production!L272</f>
        <v>95</v>
      </c>
      <c r="L272" s="3">
        <f>Raw_Production!M272</f>
        <v>4</v>
      </c>
      <c r="M272" s="3">
        <f>Raw_Production!F272</f>
        <v>0</v>
      </c>
      <c r="N272" s="3">
        <f>Raw_Production!K272</f>
        <v>942</v>
      </c>
      <c r="O272" s="3">
        <f>Raw_Production!H272</f>
        <v>16.7</v>
      </c>
      <c r="P272" s="3">
        <f>Raw_Production!E272</f>
        <v>20</v>
      </c>
    </row>
    <row r="273" spans="1:16" x14ac:dyDescent="0.3">
      <c r="A273" s="4">
        <f>Raw_Production!A273</f>
        <v>46072</v>
      </c>
      <c r="B273" s="3" t="str">
        <f>Raw_Production!C273</f>
        <v>Cutting</v>
      </c>
      <c r="C273" s="3" t="str">
        <f>Raw_Production!D273</f>
        <v>T06</v>
      </c>
      <c r="D273" s="3" t="str">
        <f>Raw_Production!P273</f>
        <v>ST-106</v>
      </c>
      <c r="E273" s="3" t="str">
        <f>Raw_Production!O273</f>
        <v>T-Shirt</v>
      </c>
      <c r="F273" s="6">
        <f>Raw_Production!G273</f>
        <v>0.74</v>
      </c>
      <c r="G273" s="6">
        <f>Raw_Production!N273</f>
        <v>0.76</v>
      </c>
      <c r="H273" s="6">
        <f t="shared" si="4"/>
        <v>2.0000000000000018E-2</v>
      </c>
      <c r="I273" s="3">
        <f>Raw_Production!I273</f>
        <v>31</v>
      </c>
      <c r="J273" s="3">
        <f>Raw_Production!J273</f>
        <v>68</v>
      </c>
      <c r="K273" s="3">
        <f>Raw_Production!L273</f>
        <v>48</v>
      </c>
      <c r="L273" s="3">
        <f>Raw_Production!M273</f>
        <v>3</v>
      </c>
      <c r="M273" s="3">
        <f>Raw_Production!F273</f>
        <v>3</v>
      </c>
      <c r="N273" s="3">
        <f>Raw_Production!K273</f>
        <v>706</v>
      </c>
      <c r="O273" s="3">
        <f>Raw_Production!H273</f>
        <v>14.2</v>
      </c>
      <c r="P273" s="3">
        <f>Raw_Production!E273</f>
        <v>21</v>
      </c>
    </row>
    <row r="274" spans="1:16" x14ac:dyDescent="0.3">
      <c r="A274" s="4">
        <f>Raw_Production!A274</f>
        <v>46072</v>
      </c>
      <c r="B274" s="3" t="str">
        <f>Raw_Production!C274</f>
        <v>Sewing</v>
      </c>
      <c r="C274" s="3" t="str">
        <f>Raw_Production!D274</f>
        <v>T02</v>
      </c>
      <c r="D274" s="3" t="str">
        <f>Raw_Production!P274</f>
        <v>ST-103</v>
      </c>
      <c r="E274" s="3" t="str">
        <f>Raw_Production!O274</f>
        <v>Hoodie</v>
      </c>
      <c r="F274" s="6">
        <f>Raw_Production!G274</f>
        <v>0.81</v>
      </c>
      <c r="G274" s="6">
        <f>Raw_Production!N274</f>
        <v>0.66</v>
      </c>
      <c r="H274" s="6">
        <f t="shared" si="4"/>
        <v>-0.15000000000000002</v>
      </c>
      <c r="I274" s="3">
        <f>Raw_Production!I274</f>
        <v>302</v>
      </c>
      <c r="J274" s="3">
        <f>Raw_Production!J274</f>
        <v>115</v>
      </c>
      <c r="K274" s="3">
        <f>Raw_Production!L274</f>
        <v>14</v>
      </c>
      <c r="L274" s="3">
        <f>Raw_Production!M274</f>
        <v>5</v>
      </c>
      <c r="M274" s="3">
        <f>Raw_Production!F274</f>
        <v>1</v>
      </c>
      <c r="N274" s="3">
        <f>Raw_Production!K274</f>
        <v>3243</v>
      </c>
      <c r="O274" s="3">
        <f>Raw_Production!H274</f>
        <v>10.1</v>
      </c>
      <c r="P274" s="3">
        <f>Raw_Production!E274</f>
        <v>30</v>
      </c>
    </row>
    <row r="275" spans="1:16" x14ac:dyDescent="0.3">
      <c r="A275" s="4">
        <f>Raw_Production!A275</f>
        <v>46072</v>
      </c>
      <c r="B275" s="3" t="str">
        <f>Raw_Production!C275</f>
        <v>Sewing</v>
      </c>
      <c r="C275" s="3" t="str">
        <f>Raw_Production!D275</f>
        <v>T03</v>
      </c>
      <c r="D275" s="3" t="str">
        <f>Raw_Production!P275</f>
        <v>ST-107</v>
      </c>
      <c r="E275" s="3" t="str">
        <f>Raw_Production!O275</f>
        <v>Polo</v>
      </c>
      <c r="F275" s="6">
        <f>Raw_Production!G275</f>
        <v>0.89</v>
      </c>
      <c r="G275" s="6">
        <f>Raw_Production!N275</f>
        <v>0.87</v>
      </c>
      <c r="H275" s="6">
        <f t="shared" si="4"/>
        <v>-2.0000000000000018E-2</v>
      </c>
      <c r="I275" s="3">
        <f>Raw_Production!I275</f>
        <v>427</v>
      </c>
      <c r="J275" s="3">
        <f>Raw_Production!J275</f>
        <v>29</v>
      </c>
      <c r="K275" s="3">
        <f>Raw_Production!L275</f>
        <v>117</v>
      </c>
      <c r="L275" s="3">
        <f>Raw_Production!M275</f>
        <v>1</v>
      </c>
      <c r="M275" s="3">
        <f>Raw_Production!F275</f>
        <v>0</v>
      </c>
      <c r="N275" s="3">
        <f>Raw_Production!K275</f>
        <v>498</v>
      </c>
      <c r="O275" s="3">
        <f>Raw_Production!H275</f>
        <v>12.7</v>
      </c>
      <c r="P275" s="3">
        <f>Raw_Production!E275</f>
        <v>27</v>
      </c>
    </row>
    <row r="276" spans="1:16" x14ac:dyDescent="0.3">
      <c r="A276" s="4">
        <f>Raw_Production!A276</f>
        <v>46072</v>
      </c>
      <c r="B276" s="3" t="str">
        <f>Raw_Production!C276</f>
        <v>Finishing</v>
      </c>
      <c r="C276" s="3" t="str">
        <f>Raw_Production!D276</f>
        <v>T04</v>
      </c>
      <c r="D276" s="3" t="str">
        <f>Raw_Production!P276</f>
        <v>ST-110</v>
      </c>
      <c r="E276" s="3" t="str">
        <f>Raw_Production!O276</f>
        <v>Jacket</v>
      </c>
      <c r="F276" s="6">
        <f>Raw_Production!G276</f>
        <v>0.85</v>
      </c>
      <c r="G276" s="6">
        <f>Raw_Production!N276</f>
        <v>0.88</v>
      </c>
      <c r="H276" s="6">
        <f t="shared" si="4"/>
        <v>3.0000000000000027E-2</v>
      </c>
      <c r="I276" s="3">
        <f>Raw_Production!I276</f>
        <v>59</v>
      </c>
      <c r="J276" s="3">
        <f>Raw_Production!J276</f>
        <v>102</v>
      </c>
      <c r="K276" s="3">
        <f>Raw_Production!L276</f>
        <v>35</v>
      </c>
      <c r="L276" s="3">
        <f>Raw_Production!M276</f>
        <v>0</v>
      </c>
      <c r="M276" s="3">
        <f>Raw_Production!F276</f>
        <v>4</v>
      </c>
      <c r="N276" s="3">
        <f>Raw_Production!K276</f>
        <v>749</v>
      </c>
      <c r="O276" s="3">
        <f>Raw_Production!H276</f>
        <v>13</v>
      </c>
      <c r="P276" s="3">
        <f>Raw_Production!E276</f>
        <v>38</v>
      </c>
    </row>
    <row r="277" spans="1:16" x14ac:dyDescent="0.3">
      <c r="A277" s="4">
        <f>Raw_Production!A277</f>
        <v>46072</v>
      </c>
      <c r="B277" s="3" t="str">
        <f>Raw_Production!C277</f>
        <v>Finishing</v>
      </c>
      <c r="C277" s="3" t="str">
        <f>Raw_Production!D277</f>
        <v>T05</v>
      </c>
      <c r="D277" s="3" t="str">
        <f>Raw_Production!P277</f>
        <v>ST-103</v>
      </c>
      <c r="E277" s="3" t="str">
        <f>Raw_Production!O277</f>
        <v>Hoodie</v>
      </c>
      <c r="F277" s="6">
        <f>Raw_Production!G277</f>
        <v>0.82</v>
      </c>
      <c r="G277" s="6">
        <f>Raw_Production!N277</f>
        <v>0.67</v>
      </c>
      <c r="H277" s="6">
        <f t="shared" si="4"/>
        <v>-0.14999999999999991</v>
      </c>
      <c r="I277" s="3">
        <f>Raw_Production!I277</f>
        <v>194</v>
      </c>
      <c r="J277" s="3">
        <f>Raw_Production!J277</f>
        <v>136</v>
      </c>
      <c r="K277" s="3">
        <f>Raw_Production!L277</f>
        <v>102</v>
      </c>
      <c r="L277" s="3">
        <f>Raw_Production!M277</f>
        <v>1</v>
      </c>
      <c r="M277" s="3">
        <f>Raw_Production!F277</f>
        <v>0</v>
      </c>
      <c r="N277" s="3">
        <f>Raw_Production!K277</f>
        <v>920</v>
      </c>
      <c r="O277" s="3">
        <f>Raw_Production!H277</f>
        <v>12.1</v>
      </c>
      <c r="P277" s="3">
        <f>Raw_Production!E277</f>
        <v>24</v>
      </c>
    </row>
    <row r="278" spans="1:16" x14ac:dyDescent="0.3">
      <c r="A278" s="4">
        <f>Raw_Production!A278</f>
        <v>46073</v>
      </c>
      <c r="B278" s="3" t="str">
        <f>Raw_Production!C278</f>
        <v>Cutting</v>
      </c>
      <c r="C278" s="3" t="str">
        <f>Raw_Production!D278</f>
        <v>T01</v>
      </c>
      <c r="D278" s="3" t="str">
        <f>Raw_Production!P278</f>
        <v>ST-107</v>
      </c>
      <c r="E278" s="3" t="str">
        <f>Raw_Production!O278</f>
        <v>Polo</v>
      </c>
      <c r="F278" s="6">
        <f>Raw_Production!G278</f>
        <v>0.73</v>
      </c>
      <c r="G278" s="6">
        <f>Raw_Production!N278</f>
        <v>0.55000000000000004</v>
      </c>
      <c r="H278" s="6">
        <f t="shared" si="4"/>
        <v>-0.17999999999999994</v>
      </c>
      <c r="I278" s="3">
        <f>Raw_Production!I278</f>
        <v>181</v>
      </c>
      <c r="J278" s="3">
        <f>Raw_Production!J278</f>
        <v>15</v>
      </c>
      <c r="K278" s="3">
        <f>Raw_Production!L278</f>
        <v>68</v>
      </c>
      <c r="L278" s="3">
        <f>Raw_Production!M278</f>
        <v>4</v>
      </c>
      <c r="M278" s="3">
        <f>Raw_Production!F278</f>
        <v>2</v>
      </c>
      <c r="N278" s="3">
        <f>Raw_Production!K278</f>
        <v>1461</v>
      </c>
      <c r="O278" s="3">
        <f>Raw_Production!H278</f>
        <v>12</v>
      </c>
      <c r="P278" s="3">
        <f>Raw_Production!E278</f>
        <v>37</v>
      </c>
    </row>
    <row r="279" spans="1:16" x14ac:dyDescent="0.3">
      <c r="A279" s="4">
        <f>Raw_Production!A279</f>
        <v>46073</v>
      </c>
      <c r="B279" s="3" t="str">
        <f>Raw_Production!C279</f>
        <v>Cutting</v>
      </c>
      <c r="C279" s="3" t="str">
        <f>Raw_Production!D279</f>
        <v>T06</v>
      </c>
      <c r="D279" s="3" t="str">
        <f>Raw_Production!P279</f>
        <v>ST-107</v>
      </c>
      <c r="E279" s="3" t="str">
        <f>Raw_Production!O279</f>
        <v>Polo</v>
      </c>
      <c r="F279" s="6">
        <f>Raw_Production!G279</f>
        <v>0.74</v>
      </c>
      <c r="G279" s="6">
        <f>Raw_Production!N279</f>
        <v>0.75</v>
      </c>
      <c r="H279" s="6">
        <f t="shared" si="4"/>
        <v>1.0000000000000009E-2</v>
      </c>
      <c r="I279" s="3">
        <f>Raw_Production!I279</f>
        <v>130</v>
      </c>
      <c r="J279" s="3">
        <f>Raw_Production!J279</f>
        <v>38</v>
      </c>
      <c r="K279" s="3">
        <f>Raw_Production!L279</f>
        <v>95</v>
      </c>
      <c r="L279" s="3">
        <f>Raw_Production!M279</f>
        <v>4</v>
      </c>
      <c r="M279" s="3">
        <f>Raw_Production!F279</f>
        <v>0</v>
      </c>
      <c r="N279" s="3">
        <f>Raw_Production!K279</f>
        <v>167</v>
      </c>
      <c r="O279" s="3">
        <f>Raw_Production!H279</f>
        <v>9.3000000000000007</v>
      </c>
      <c r="P279" s="3">
        <f>Raw_Production!E279</f>
        <v>26</v>
      </c>
    </row>
    <row r="280" spans="1:16" x14ac:dyDescent="0.3">
      <c r="A280" s="4">
        <f>Raw_Production!A280</f>
        <v>46073</v>
      </c>
      <c r="B280" s="3" t="str">
        <f>Raw_Production!C280</f>
        <v>Sewing</v>
      </c>
      <c r="C280" s="3" t="str">
        <f>Raw_Production!D280</f>
        <v>T02</v>
      </c>
      <c r="D280" s="3" t="str">
        <f>Raw_Production!P280</f>
        <v>ST-109</v>
      </c>
      <c r="E280" s="3" t="str">
        <f>Raw_Production!O280</f>
        <v>Shirt</v>
      </c>
      <c r="F280" s="6">
        <f>Raw_Production!G280</f>
        <v>0.9</v>
      </c>
      <c r="G280" s="6">
        <f>Raw_Production!N280</f>
        <v>0.88</v>
      </c>
      <c r="H280" s="6">
        <f t="shared" si="4"/>
        <v>-2.0000000000000018E-2</v>
      </c>
      <c r="I280" s="3">
        <f>Raw_Production!I280</f>
        <v>351</v>
      </c>
      <c r="J280" s="3">
        <f>Raw_Production!J280</f>
        <v>137</v>
      </c>
      <c r="K280" s="3">
        <f>Raw_Production!L280</f>
        <v>52</v>
      </c>
      <c r="L280" s="3">
        <f>Raw_Production!M280</f>
        <v>0</v>
      </c>
      <c r="M280" s="3">
        <f>Raw_Production!F280</f>
        <v>1</v>
      </c>
      <c r="N280" s="3">
        <f>Raw_Production!K280</f>
        <v>2487</v>
      </c>
      <c r="O280" s="3">
        <f>Raw_Production!H280</f>
        <v>16.8</v>
      </c>
      <c r="P280" s="3">
        <f>Raw_Production!E280</f>
        <v>21</v>
      </c>
    </row>
    <row r="281" spans="1:16" x14ac:dyDescent="0.3">
      <c r="A281" s="4">
        <f>Raw_Production!A281</f>
        <v>46073</v>
      </c>
      <c r="B281" s="3" t="str">
        <f>Raw_Production!C281</f>
        <v>Sewing</v>
      </c>
      <c r="C281" s="3" t="str">
        <f>Raw_Production!D281</f>
        <v>T03</v>
      </c>
      <c r="D281" s="3" t="str">
        <f>Raw_Production!P281</f>
        <v>ST-107</v>
      </c>
      <c r="E281" s="3" t="str">
        <f>Raw_Production!O281</f>
        <v>Polo</v>
      </c>
      <c r="F281" s="6">
        <f>Raw_Production!G281</f>
        <v>0.75</v>
      </c>
      <c r="G281" s="6">
        <f>Raw_Production!N281</f>
        <v>0.8</v>
      </c>
      <c r="H281" s="6">
        <f t="shared" si="4"/>
        <v>5.0000000000000044E-2</v>
      </c>
      <c r="I281" s="3">
        <f>Raw_Production!I281</f>
        <v>99</v>
      </c>
      <c r="J281" s="3">
        <f>Raw_Production!J281</f>
        <v>141</v>
      </c>
      <c r="K281" s="3">
        <f>Raw_Production!L281</f>
        <v>20</v>
      </c>
      <c r="L281" s="3">
        <f>Raw_Production!M281</f>
        <v>0</v>
      </c>
      <c r="M281" s="3">
        <f>Raw_Production!F281</f>
        <v>1</v>
      </c>
      <c r="N281" s="3">
        <f>Raw_Production!K281</f>
        <v>1250</v>
      </c>
      <c r="O281" s="3">
        <f>Raw_Production!H281</f>
        <v>11.7</v>
      </c>
      <c r="P281" s="3">
        <f>Raw_Production!E281</f>
        <v>37</v>
      </c>
    </row>
    <row r="282" spans="1:16" x14ac:dyDescent="0.3">
      <c r="A282" s="4">
        <f>Raw_Production!A282</f>
        <v>46073</v>
      </c>
      <c r="B282" s="3" t="str">
        <f>Raw_Production!C282</f>
        <v>Finishing</v>
      </c>
      <c r="C282" s="3" t="str">
        <f>Raw_Production!D282</f>
        <v>T04</v>
      </c>
      <c r="D282" s="3" t="str">
        <f>Raw_Production!P282</f>
        <v>ST-102</v>
      </c>
      <c r="E282" s="3" t="str">
        <f>Raw_Production!O282</f>
        <v>Polo</v>
      </c>
      <c r="F282" s="6">
        <f>Raw_Production!G282</f>
        <v>0.77</v>
      </c>
      <c r="G282" s="6">
        <f>Raw_Production!N282</f>
        <v>0.82</v>
      </c>
      <c r="H282" s="6">
        <f t="shared" si="4"/>
        <v>4.9999999999999933E-2</v>
      </c>
      <c r="I282" s="3">
        <f>Raw_Production!I282</f>
        <v>425</v>
      </c>
      <c r="J282" s="3">
        <f>Raw_Production!J282</f>
        <v>121</v>
      </c>
      <c r="K282" s="3">
        <f>Raw_Production!L282</f>
        <v>15</v>
      </c>
      <c r="L282" s="3">
        <f>Raw_Production!M282</f>
        <v>3</v>
      </c>
      <c r="M282" s="3">
        <f>Raw_Production!F282</f>
        <v>0</v>
      </c>
      <c r="N282" s="3">
        <f>Raw_Production!K282</f>
        <v>2626</v>
      </c>
      <c r="O282" s="3">
        <f>Raw_Production!H282</f>
        <v>9.9</v>
      </c>
      <c r="P282" s="3">
        <f>Raw_Production!E282</f>
        <v>21</v>
      </c>
    </row>
    <row r="283" spans="1:16" x14ac:dyDescent="0.3">
      <c r="A283" s="4">
        <f>Raw_Production!A283</f>
        <v>46073</v>
      </c>
      <c r="B283" s="3" t="str">
        <f>Raw_Production!C283</f>
        <v>Finishing</v>
      </c>
      <c r="C283" s="3" t="str">
        <f>Raw_Production!D283</f>
        <v>T05</v>
      </c>
      <c r="D283" s="3" t="str">
        <f>Raw_Production!P283</f>
        <v>ST-104</v>
      </c>
      <c r="E283" s="3" t="str">
        <f>Raw_Production!O283</f>
        <v>Shirt</v>
      </c>
      <c r="F283" s="6">
        <f>Raw_Production!G283</f>
        <v>0.82</v>
      </c>
      <c r="G283" s="6">
        <f>Raw_Production!N283</f>
        <v>0.85</v>
      </c>
      <c r="H283" s="6">
        <f t="shared" si="4"/>
        <v>3.0000000000000027E-2</v>
      </c>
      <c r="I283" s="3">
        <f>Raw_Production!I283</f>
        <v>203</v>
      </c>
      <c r="J283" s="3">
        <f>Raw_Production!J283</f>
        <v>123</v>
      </c>
      <c r="K283" s="3">
        <f>Raw_Production!L283</f>
        <v>0</v>
      </c>
      <c r="L283" s="3">
        <f>Raw_Production!M283</f>
        <v>3</v>
      </c>
      <c r="M283" s="3">
        <f>Raw_Production!F283</f>
        <v>1</v>
      </c>
      <c r="N283" s="3">
        <f>Raw_Production!K283</f>
        <v>3138</v>
      </c>
      <c r="O283" s="3">
        <f>Raw_Production!H283</f>
        <v>15</v>
      </c>
      <c r="P283" s="3">
        <f>Raw_Production!E283</f>
        <v>25</v>
      </c>
    </row>
    <row r="284" spans="1:16" x14ac:dyDescent="0.3">
      <c r="A284" s="4">
        <f>Raw_Production!A284</f>
        <v>46074</v>
      </c>
      <c r="B284" s="3" t="str">
        <f>Raw_Production!C284</f>
        <v>Cutting</v>
      </c>
      <c r="C284" s="3" t="str">
        <f>Raw_Production!D284</f>
        <v>T01</v>
      </c>
      <c r="D284" s="3" t="str">
        <f>Raw_Production!P284</f>
        <v>ST-110</v>
      </c>
      <c r="E284" s="3" t="str">
        <f>Raw_Production!O284</f>
        <v>Jacket</v>
      </c>
      <c r="F284" s="6">
        <f>Raw_Production!G284</f>
        <v>0.9</v>
      </c>
      <c r="G284" s="6">
        <f>Raw_Production!N284</f>
        <v>0.75</v>
      </c>
      <c r="H284" s="6">
        <f t="shared" si="4"/>
        <v>-0.15000000000000002</v>
      </c>
      <c r="I284" s="3">
        <f>Raw_Production!I284</f>
        <v>76</v>
      </c>
      <c r="J284" s="3">
        <f>Raw_Production!J284</f>
        <v>119</v>
      </c>
      <c r="K284" s="3">
        <f>Raw_Production!L284</f>
        <v>24</v>
      </c>
      <c r="L284" s="3">
        <f>Raw_Production!M284</f>
        <v>2</v>
      </c>
      <c r="M284" s="3">
        <f>Raw_Production!F284</f>
        <v>0</v>
      </c>
      <c r="N284" s="3">
        <f>Raw_Production!K284</f>
        <v>601</v>
      </c>
      <c r="O284" s="3">
        <f>Raw_Production!H284</f>
        <v>14.5</v>
      </c>
      <c r="P284" s="3">
        <f>Raw_Production!E284</f>
        <v>33</v>
      </c>
    </row>
    <row r="285" spans="1:16" x14ac:dyDescent="0.3">
      <c r="A285" s="4">
        <f>Raw_Production!A285</f>
        <v>46074</v>
      </c>
      <c r="B285" s="3" t="str">
        <f>Raw_Production!C285</f>
        <v>Cutting</v>
      </c>
      <c r="C285" s="3" t="str">
        <f>Raw_Production!D285</f>
        <v>T06</v>
      </c>
      <c r="D285" s="3" t="str">
        <f>Raw_Production!P285</f>
        <v>ST-107</v>
      </c>
      <c r="E285" s="3" t="str">
        <f>Raw_Production!O285</f>
        <v>Polo</v>
      </c>
      <c r="F285" s="6">
        <f>Raw_Production!G285</f>
        <v>0.76</v>
      </c>
      <c r="G285" s="6">
        <f>Raw_Production!N285</f>
        <v>0.75</v>
      </c>
      <c r="H285" s="6">
        <f t="shared" si="4"/>
        <v>-1.0000000000000009E-2</v>
      </c>
      <c r="I285" s="3">
        <f>Raw_Production!I285</f>
        <v>281</v>
      </c>
      <c r="J285" s="3">
        <f>Raw_Production!J285</f>
        <v>42</v>
      </c>
      <c r="K285" s="3">
        <f>Raw_Production!L285</f>
        <v>20</v>
      </c>
      <c r="L285" s="3">
        <f>Raw_Production!M285</f>
        <v>1</v>
      </c>
      <c r="M285" s="3">
        <f>Raw_Production!F285</f>
        <v>2</v>
      </c>
      <c r="N285" s="3">
        <f>Raw_Production!K285</f>
        <v>610</v>
      </c>
      <c r="O285" s="3">
        <f>Raw_Production!H285</f>
        <v>14.1</v>
      </c>
      <c r="P285" s="3">
        <f>Raw_Production!E285</f>
        <v>20</v>
      </c>
    </row>
    <row r="286" spans="1:16" x14ac:dyDescent="0.3">
      <c r="A286" s="4">
        <f>Raw_Production!A286</f>
        <v>46074</v>
      </c>
      <c r="B286" s="3" t="str">
        <f>Raw_Production!C286</f>
        <v>Sewing</v>
      </c>
      <c r="C286" s="3" t="str">
        <f>Raw_Production!D286</f>
        <v>T02</v>
      </c>
      <c r="D286" s="3" t="str">
        <f>Raw_Production!P286</f>
        <v>ST-104</v>
      </c>
      <c r="E286" s="3" t="str">
        <f>Raw_Production!O286</f>
        <v>Shirt</v>
      </c>
      <c r="F286" s="6">
        <f>Raw_Production!G286</f>
        <v>0.75</v>
      </c>
      <c r="G286" s="6">
        <f>Raw_Production!N286</f>
        <v>0.68</v>
      </c>
      <c r="H286" s="6">
        <f t="shared" si="4"/>
        <v>-6.9999999999999951E-2</v>
      </c>
      <c r="I286" s="3">
        <f>Raw_Production!I286</f>
        <v>362</v>
      </c>
      <c r="J286" s="3">
        <f>Raw_Production!J286</f>
        <v>30</v>
      </c>
      <c r="K286" s="3">
        <f>Raw_Production!L286</f>
        <v>17</v>
      </c>
      <c r="L286" s="3">
        <f>Raw_Production!M286</f>
        <v>9</v>
      </c>
      <c r="M286" s="3">
        <f>Raw_Production!F286</f>
        <v>0</v>
      </c>
      <c r="N286" s="3">
        <f>Raw_Production!K286</f>
        <v>4444</v>
      </c>
      <c r="O286" s="3">
        <f>Raw_Production!H286</f>
        <v>16.7</v>
      </c>
      <c r="P286" s="3">
        <f>Raw_Production!E286</f>
        <v>38</v>
      </c>
    </row>
    <row r="287" spans="1:16" x14ac:dyDescent="0.3">
      <c r="A287" s="4">
        <f>Raw_Production!A287</f>
        <v>46074</v>
      </c>
      <c r="B287" s="3" t="str">
        <f>Raw_Production!C287</f>
        <v>Sewing</v>
      </c>
      <c r="C287" s="3" t="str">
        <f>Raw_Production!D287</f>
        <v>T03</v>
      </c>
      <c r="D287" s="3" t="str">
        <f>Raw_Production!P287</f>
        <v>ST-104</v>
      </c>
      <c r="E287" s="3" t="str">
        <f>Raw_Production!O287</f>
        <v>Shirt</v>
      </c>
      <c r="F287" s="6">
        <f>Raw_Production!G287</f>
        <v>0.89</v>
      </c>
      <c r="G287" s="6">
        <f>Raw_Production!N287</f>
        <v>0.85</v>
      </c>
      <c r="H287" s="6">
        <f t="shared" si="4"/>
        <v>-4.0000000000000036E-2</v>
      </c>
      <c r="I287" s="3">
        <f>Raw_Production!I287</f>
        <v>192</v>
      </c>
      <c r="J287" s="3">
        <f>Raw_Production!J287</f>
        <v>78</v>
      </c>
      <c r="K287" s="3">
        <f>Raw_Production!L287</f>
        <v>53</v>
      </c>
      <c r="L287" s="3">
        <f>Raw_Production!M287</f>
        <v>0</v>
      </c>
      <c r="M287" s="3">
        <f>Raw_Production!F287</f>
        <v>0</v>
      </c>
      <c r="N287" s="3">
        <f>Raw_Production!K287</f>
        <v>4158</v>
      </c>
      <c r="O287" s="3">
        <f>Raw_Production!H287</f>
        <v>14</v>
      </c>
      <c r="P287" s="3">
        <f>Raw_Production!E287</f>
        <v>38</v>
      </c>
    </row>
    <row r="288" spans="1:16" x14ac:dyDescent="0.3">
      <c r="A288" s="4">
        <f>Raw_Production!A288</f>
        <v>46074</v>
      </c>
      <c r="B288" s="3" t="str">
        <f>Raw_Production!C288</f>
        <v>Finishing</v>
      </c>
      <c r="C288" s="3" t="str">
        <f>Raw_Production!D288</f>
        <v>T04</v>
      </c>
      <c r="D288" s="3" t="str">
        <f>Raw_Production!P288</f>
        <v>ST-102</v>
      </c>
      <c r="E288" s="3" t="str">
        <f>Raw_Production!O288</f>
        <v>Polo</v>
      </c>
      <c r="F288" s="6">
        <f>Raw_Production!G288</f>
        <v>0.82</v>
      </c>
      <c r="G288" s="6">
        <f>Raw_Production!N288</f>
        <v>0.83</v>
      </c>
      <c r="H288" s="6">
        <f t="shared" si="4"/>
        <v>1.0000000000000009E-2</v>
      </c>
      <c r="I288" s="3">
        <f>Raw_Production!I288</f>
        <v>340</v>
      </c>
      <c r="J288" s="3">
        <f>Raw_Production!J288</f>
        <v>27</v>
      </c>
      <c r="K288" s="3">
        <f>Raw_Production!L288</f>
        <v>39</v>
      </c>
      <c r="L288" s="3">
        <f>Raw_Production!M288</f>
        <v>9</v>
      </c>
      <c r="M288" s="3">
        <f>Raw_Production!F288</f>
        <v>2</v>
      </c>
      <c r="N288" s="3">
        <f>Raw_Production!K288</f>
        <v>1288</v>
      </c>
      <c r="O288" s="3">
        <f>Raw_Production!H288</f>
        <v>10.3</v>
      </c>
      <c r="P288" s="3">
        <f>Raw_Production!E288</f>
        <v>38</v>
      </c>
    </row>
    <row r="289" spans="1:16" x14ac:dyDescent="0.3">
      <c r="A289" s="4">
        <f>Raw_Production!A289</f>
        <v>46074</v>
      </c>
      <c r="B289" s="3" t="str">
        <f>Raw_Production!C289</f>
        <v>Finishing</v>
      </c>
      <c r="C289" s="3" t="str">
        <f>Raw_Production!D289</f>
        <v>T05</v>
      </c>
      <c r="D289" s="3" t="str">
        <f>Raw_Production!P289</f>
        <v>ST-102</v>
      </c>
      <c r="E289" s="3" t="str">
        <f>Raw_Production!O289</f>
        <v>Polo</v>
      </c>
      <c r="F289" s="6">
        <f>Raw_Production!G289</f>
        <v>0.74</v>
      </c>
      <c r="G289" s="6">
        <f>Raw_Production!N289</f>
        <v>0.67</v>
      </c>
      <c r="H289" s="6">
        <f t="shared" si="4"/>
        <v>-6.9999999999999951E-2</v>
      </c>
      <c r="I289" s="3">
        <f>Raw_Production!I289</f>
        <v>314</v>
      </c>
      <c r="J289" s="3">
        <f>Raw_Production!J289</f>
        <v>88</v>
      </c>
      <c r="K289" s="3">
        <f>Raw_Production!L289</f>
        <v>100</v>
      </c>
      <c r="L289" s="3">
        <f>Raw_Production!M289</f>
        <v>9</v>
      </c>
      <c r="M289" s="3">
        <f>Raw_Production!F289</f>
        <v>2</v>
      </c>
      <c r="N289" s="3">
        <f>Raw_Production!K289</f>
        <v>1079</v>
      </c>
      <c r="O289" s="3">
        <f>Raw_Production!H289</f>
        <v>10.5</v>
      </c>
      <c r="P289" s="3">
        <f>Raw_Production!E289</f>
        <v>37</v>
      </c>
    </row>
    <row r="290" spans="1:16" x14ac:dyDescent="0.3">
      <c r="A290" s="4">
        <f>Raw_Production!A290</f>
        <v>46075</v>
      </c>
      <c r="B290" s="3" t="str">
        <f>Raw_Production!C290</f>
        <v>Cutting</v>
      </c>
      <c r="C290" s="3" t="str">
        <f>Raw_Production!D290</f>
        <v>T01</v>
      </c>
      <c r="D290" s="3" t="str">
        <f>Raw_Production!P290</f>
        <v>ST-107</v>
      </c>
      <c r="E290" s="3" t="str">
        <f>Raw_Production!O290</f>
        <v>Polo</v>
      </c>
      <c r="F290" s="6">
        <f>Raw_Production!G290</f>
        <v>0.89</v>
      </c>
      <c r="G290" s="6">
        <f>Raw_Production!N290</f>
        <v>0.92</v>
      </c>
      <c r="H290" s="6">
        <f t="shared" si="4"/>
        <v>3.0000000000000027E-2</v>
      </c>
      <c r="I290" s="3">
        <f>Raw_Production!I290</f>
        <v>173</v>
      </c>
      <c r="J290" s="3">
        <f>Raw_Production!J290</f>
        <v>146</v>
      </c>
      <c r="K290" s="3">
        <f>Raw_Production!L290</f>
        <v>49</v>
      </c>
      <c r="L290" s="3">
        <f>Raw_Production!M290</f>
        <v>0</v>
      </c>
      <c r="M290" s="3">
        <f>Raw_Production!F290</f>
        <v>3</v>
      </c>
      <c r="N290" s="3">
        <f>Raw_Production!K290</f>
        <v>3009</v>
      </c>
      <c r="O290" s="3">
        <f>Raw_Production!H290</f>
        <v>10.6</v>
      </c>
      <c r="P290" s="3">
        <f>Raw_Production!E290</f>
        <v>32</v>
      </c>
    </row>
    <row r="291" spans="1:16" x14ac:dyDescent="0.3">
      <c r="A291" s="4">
        <f>Raw_Production!A291</f>
        <v>46075</v>
      </c>
      <c r="B291" s="3" t="str">
        <f>Raw_Production!C291</f>
        <v>Cutting</v>
      </c>
      <c r="C291" s="3" t="str">
        <f>Raw_Production!D291</f>
        <v>T06</v>
      </c>
      <c r="D291" s="3" t="str">
        <f>Raw_Production!P291</f>
        <v>ST-102</v>
      </c>
      <c r="E291" s="3" t="str">
        <f>Raw_Production!O291</f>
        <v>Polo</v>
      </c>
      <c r="F291" s="6">
        <f>Raw_Production!G291</f>
        <v>0.8</v>
      </c>
      <c r="G291" s="6">
        <f>Raw_Production!N291</f>
        <v>0.66</v>
      </c>
      <c r="H291" s="6">
        <f t="shared" si="4"/>
        <v>-0.14000000000000001</v>
      </c>
      <c r="I291" s="3">
        <f>Raw_Production!I291</f>
        <v>391</v>
      </c>
      <c r="J291" s="3">
        <f>Raw_Production!J291</f>
        <v>72</v>
      </c>
      <c r="K291" s="3">
        <f>Raw_Production!L291</f>
        <v>34</v>
      </c>
      <c r="L291" s="3">
        <f>Raw_Production!M291</f>
        <v>9</v>
      </c>
      <c r="M291" s="3">
        <f>Raw_Production!F291</f>
        <v>0</v>
      </c>
      <c r="N291" s="3">
        <f>Raw_Production!K291</f>
        <v>2111</v>
      </c>
      <c r="O291" s="3">
        <f>Raw_Production!H291</f>
        <v>9.5</v>
      </c>
      <c r="P291" s="3">
        <f>Raw_Production!E291</f>
        <v>36</v>
      </c>
    </row>
    <row r="292" spans="1:16" x14ac:dyDescent="0.3">
      <c r="A292" s="4">
        <f>Raw_Production!A292</f>
        <v>46075</v>
      </c>
      <c r="B292" s="3" t="str">
        <f>Raw_Production!C292</f>
        <v>Sewing</v>
      </c>
      <c r="C292" s="3" t="str">
        <f>Raw_Production!D292</f>
        <v>T02</v>
      </c>
      <c r="D292" s="3" t="str">
        <f>Raw_Production!P292</f>
        <v>ST-105</v>
      </c>
      <c r="E292" s="3" t="str">
        <f>Raw_Production!O292</f>
        <v>Jacket</v>
      </c>
      <c r="F292" s="6">
        <f>Raw_Production!G292</f>
        <v>0.77</v>
      </c>
      <c r="G292" s="6">
        <f>Raw_Production!N292</f>
        <v>0.82</v>
      </c>
      <c r="H292" s="6">
        <f t="shared" si="4"/>
        <v>4.9999999999999933E-2</v>
      </c>
      <c r="I292" s="3">
        <f>Raw_Production!I292</f>
        <v>186</v>
      </c>
      <c r="J292" s="3">
        <f>Raw_Production!J292</f>
        <v>137</v>
      </c>
      <c r="K292" s="3">
        <f>Raw_Production!L292</f>
        <v>78</v>
      </c>
      <c r="L292" s="3">
        <f>Raw_Production!M292</f>
        <v>4</v>
      </c>
      <c r="M292" s="3">
        <f>Raw_Production!F292</f>
        <v>0</v>
      </c>
      <c r="N292" s="3">
        <f>Raw_Production!K292</f>
        <v>145</v>
      </c>
      <c r="O292" s="3">
        <f>Raw_Production!H292</f>
        <v>16.7</v>
      </c>
      <c r="P292" s="3">
        <f>Raw_Production!E292</f>
        <v>27</v>
      </c>
    </row>
    <row r="293" spans="1:16" x14ac:dyDescent="0.3">
      <c r="A293" s="4">
        <f>Raw_Production!A293</f>
        <v>46075</v>
      </c>
      <c r="B293" s="3" t="str">
        <f>Raw_Production!C293</f>
        <v>Sewing</v>
      </c>
      <c r="C293" s="3" t="str">
        <f>Raw_Production!D293</f>
        <v>T03</v>
      </c>
      <c r="D293" s="3" t="str">
        <f>Raw_Production!P293</f>
        <v>ST-108</v>
      </c>
      <c r="E293" s="3" t="str">
        <f>Raw_Production!O293</f>
        <v>Hoodie</v>
      </c>
      <c r="F293" s="6">
        <f>Raw_Production!G293</f>
        <v>0.79</v>
      </c>
      <c r="G293" s="6">
        <f>Raw_Production!N293</f>
        <v>0.61</v>
      </c>
      <c r="H293" s="6">
        <f t="shared" si="4"/>
        <v>-0.18000000000000005</v>
      </c>
      <c r="I293" s="3">
        <f>Raw_Production!I293</f>
        <v>441</v>
      </c>
      <c r="J293" s="3">
        <f>Raw_Production!J293</f>
        <v>19</v>
      </c>
      <c r="K293" s="3">
        <f>Raw_Production!L293</f>
        <v>75</v>
      </c>
      <c r="L293" s="3">
        <f>Raw_Production!M293</f>
        <v>1</v>
      </c>
      <c r="M293" s="3">
        <f>Raw_Production!F293</f>
        <v>1</v>
      </c>
      <c r="N293" s="3">
        <f>Raw_Production!K293</f>
        <v>1416</v>
      </c>
      <c r="O293" s="3">
        <f>Raw_Production!H293</f>
        <v>12.7</v>
      </c>
      <c r="P293" s="3">
        <f>Raw_Production!E293</f>
        <v>38</v>
      </c>
    </row>
    <row r="294" spans="1:16" x14ac:dyDescent="0.3">
      <c r="A294" s="4">
        <f>Raw_Production!A294</f>
        <v>46075</v>
      </c>
      <c r="B294" s="3" t="str">
        <f>Raw_Production!C294</f>
        <v>Finishing</v>
      </c>
      <c r="C294" s="3" t="str">
        <f>Raw_Production!D294</f>
        <v>T04</v>
      </c>
      <c r="D294" s="3" t="str">
        <f>Raw_Production!P294</f>
        <v>ST-102</v>
      </c>
      <c r="E294" s="3" t="str">
        <f>Raw_Production!O294</f>
        <v>Polo</v>
      </c>
      <c r="F294" s="6">
        <f>Raw_Production!G294</f>
        <v>0.82</v>
      </c>
      <c r="G294" s="6">
        <f>Raw_Production!N294</f>
        <v>0.73</v>
      </c>
      <c r="H294" s="6">
        <f t="shared" si="4"/>
        <v>-8.9999999999999969E-2</v>
      </c>
      <c r="I294" s="3">
        <f>Raw_Production!I294</f>
        <v>246</v>
      </c>
      <c r="J294" s="3">
        <f>Raw_Production!J294</f>
        <v>0</v>
      </c>
      <c r="K294" s="3">
        <f>Raw_Production!L294</f>
        <v>57</v>
      </c>
      <c r="L294" s="3">
        <f>Raw_Production!M294</f>
        <v>5</v>
      </c>
      <c r="M294" s="3">
        <f>Raw_Production!F294</f>
        <v>3</v>
      </c>
      <c r="N294" s="3">
        <f>Raw_Production!K294</f>
        <v>1079</v>
      </c>
      <c r="O294" s="3">
        <f>Raw_Production!H294</f>
        <v>12.7</v>
      </c>
      <c r="P294" s="3">
        <f>Raw_Production!E294</f>
        <v>23</v>
      </c>
    </row>
    <row r="295" spans="1:16" x14ac:dyDescent="0.3">
      <c r="A295" s="4">
        <f>Raw_Production!A295</f>
        <v>46075</v>
      </c>
      <c r="B295" s="3" t="str">
        <f>Raw_Production!C295</f>
        <v>Finishing</v>
      </c>
      <c r="C295" s="3" t="str">
        <f>Raw_Production!D295</f>
        <v>T05</v>
      </c>
      <c r="D295" s="3" t="str">
        <f>Raw_Production!P295</f>
        <v>ST-104</v>
      </c>
      <c r="E295" s="3" t="str">
        <f>Raw_Production!O295</f>
        <v>Shirt</v>
      </c>
      <c r="F295" s="6">
        <f>Raw_Production!G295</f>
        <v>0.79</v>
      </c>
      <c r="G295" s="6">
        <f>Raw_Production!N295</f>
        <v>0.76</v>
      </c>
      <c r="H295" s="6">
        <f t="shared" si="4"/>
        <v>-3.0000000000000027E-2</v>
      </c>
      <c r="I295" s="3">
        <f>Raw_Production!I295</f>
        <v>30</v>
      </c>
      <c r="J295" s="3">
        <f>Raw_Production!J295</f>
        <v>82</v>
      </c>
      <c r="K295" s="3">
        <f>Raw_Production!L295</f>
        <v>32</v>
      </c>
      <c r="L295" s="3">
        <f>Raw_Production!M295</f>
        <v>8</v>
      </c>
      <c r="M295" s="3">
        <f>Raw_Production!F295</f>
        <v>3</v>
      </c>
      <c r="N295" s="3">
        <f>Raw_Production!K295</f>
        <v>454</v>
      </c>
      <c r="O295" s="3">
        <f>Raw_Production!H295</f>
        <v>16.7</v>
      </c>
      <c r="P295" s="3">
        <f>Raw_Production!E295</f>
        <v>37</v>
      </c>
    </row>
    <row r="296" spans="1:16" x14ac:dyDescent="0.3">
      <c r="A296" s="4">
        <f>Raw_Production!A296</f>
        <v>46076</v>
      </c>
      <c r="B296" s="3" t="str">
        <f>Raw_Production!C296</f>
        <v>Cutting</v>
      </c>
      <c r="C296" s="3" t="str">
        <f>Raw_Production!D296</f>
        <v>T01</v>
      </c>
      <c r="D296" s="3" t="str">
        <f>Raw_Production!P296</f>
        <v>ST-109</v>
      </c>
      <c r="E296" s="3" t="str">
        <f>Raw_Production!O296</f>
        <v>Shirt</v>
      </c>
      <c r="F296" s="6">
        <f>Raw_Production!G296</f>
        <v>0.86</v>
      </c>
      <c r="G296" s="6">
        <f>Raw_Production!N296</f>
        <v>0.78</v>
      </c>
      <c r="H296" s="6">
        <f t="shared" si="4"/>
        <v>-7.999999999999996E-2</v>
      </c>
      <c r="I296" s="3">
        <f>Raw_Production!I296</f>
        <v>320</v>
      </c>
      <c r="J296" s="3">
        <f>Raw_Production!J296</f>
        <v>38</v>
      </c>
      <c r="K296" s="3">
        <f>Raw_Production!L296</f>
        <v>7</v>
      </c>
      <c r="L296" s="3">
        <f>Raw_Production!M296</f>
        <v>2</v>
      </c>
      <c r="M296" s="3">
        <f>Raw_Production!F296</f>
        <v>1</v>
      </c>
      <c r="N296" s="3">
        <f>Raw_Production!K296</f>
        <v>1760</v>
      </c>
      <c r="O296" s="3">
        <f>Raw_Production!H296</f>
        <v>17.600000000000001</v>
      </c>
      <c r="P296" s="3">
        <f>Raw_Production!E296</f>
        <v>31</v>
      </c>
    </row>
    <row r="297" spans="1:16" x14ac:dyDescent="0.3">
      <c r="A297" s="4">
        <f>Raw_Production!A297</f>
        <v>46076</v>
      </c>
      <c r="B297" s="3" t="str">
        <f>Raw_Production!C297</f>
        <v>Cutting</v>
      </c>
      <c r="C297" s="3" t="str">
        <f>Raw_Production!D297</f>
        <v>T06</v>
      </c>
      <c r="D297" s="3" t="str">
        <f>Raw_Production!P297</f>
        <v>ST-101</v>
      </c>
      <c r="E297" s="3" t="str">
        <f>Raw_Production!O297</f>
        <v>T-Shirt</v>
      </c>
      <c r="F297" s="6">
        <f>Raw_Production!G297</f>
        <v>0.84</v>
      </c>
      <c r="G297" s="6">
        <f>Raw_Production!N297</f>
        <v>0.65</v>
      </c>
      <c r="H297" s="6">
        <f t="shared" si="4"/>
        <v>-0.18999999999999995</v>
      </c>
      <c r="I297" s="3">
        <f>Raw_Production!I297</f>
        <v>229</v>
      </c>
      <c r="J297" s="3">
        <f>Raw_Production!J297</f>
        <v>114</v>
      </c>
      <c r="K297" s="3">
        <f>Raw_Production!L297</f>
        <v>80</v>
      </c>
      <c r="L297" s="3">
        <f>Raw_Production!M297</f>
        <v>8</v>
      </c>
      <c r="M297" s="3">
        <f>Raw_Production!F297</f>
        <v>1</v>
      </c>
      <c r="N297" s="3">
        <f>Raw_Production!K297</f>
        <v>1261</v>
      </c>
      <c r="O297" s="3">
        <f>Raw_Production!H297</f>
        <v>8.9</v>
      </c>
      <c r="P297" s="3">
        <f>Raw_Production!E297</f>
        <v>34</v>
      </c>
    </row>
    <row r="298" spans="1:16" x14ac:dyDescent="0.3">
      <c r="A298" s="4">
        <f>Raw_Production!A298</f>
        <v>46076</v>
      </c>
      <c r="B298" s="3" t="str">
        <f>Raw_Production!C298</f>
        <v>Sewing</v>
      </c>
      <c r="C298" s="3" t="str">
        <f>Raw_Production!D298</f>
        <v>T02</v>
      </c>
      <c r="D298" s="3" t="str">
        <f>Raw_Production!P298</f>
        <v>ST-107</v>
      </c>
      <c r="E298" s="3" t="str">
        <f>Raw_Production!O298</f>
        <v>Polo</v>
      </c>
      <c r="F298" s="6">
        <f>Raw_Production!G298</f>
        <v>0.88</v>
      </c>
      <c r="G298" s="6">
        <f>Raw_Production!N298</f>
        <v>0.82</v>
      </c>
      <c r="H298" s="6">
        <f t="shared" si="4"/>
        <v>-6.0000000000000053E-2</v>
      </c>
      <c r="I298" s="3">
        <f>Raw_Production!I298</f>
        <v>197</v>
      </c>
      <c r="J298" s="3">
        <f>Raw_Production!J298</f>
        <v>57</v>
      </c>
      <c r="K298" s="3">
        <f>Raw_Production!L298</f>
        <v>18</v>
      </c>
      <c r="L298" s="3">
        <f>Raw_Production!M298</f>
        <v>3</v>
      </c>
      <c r="M298" s="3">
        <f>Raw_Production!F298</f>
        <v>0</v>
      </c>
      <c r="N298" s="3">
        <f>Raw_Production!K298</f>
        <v>913</v>
      </c>
      <c r="O298" s="3">
        <f>Raw_Production!H298</f>
        <v>13.2</v>
      </c>
      <c r="P298" s="3">
        <f>Raw_Production!E298</f>
        <v>22</v>
      </c>
    </row>
    <row r="299" spans="1:16" x14ac:dyDescent="0.3">
      <c r="A299" s="4">
        <f>Raw_Production!A299</f>
        <v>46076</v>
      </c>
      <c r="B299" s="3" t="str">
        <f>Raw_Production!C299</f>
        <v>Sewing</v>
      </c>
      <c r="C299" s="3" t="str">
        <f>Raw_Production!D299</f>
        <v>T03</v>
      </c>
      <c r="D299" s="3" t="str">
        <f>Raw_Production!P299</f>
        <v>ST-104</v>
      </c>
      <c r="E299" s="3" t="str">
        <f>Raw_Production!O299</f>
        <v>Shirt</v>
      </c>
      <c r="F299" s="6">
        <f>Raw_Production!G299</f>
        <v>0.88</v>
      </c>
      <c r="G299" s="6">
        <f>Raw_Production!N299</f>
        <v>0.74</v>
      </c>
      <c r="H299" s="6">
        <f t="shared" si="4"/>
        <v>-0.14000000000000001</v>
      </c>
      <c r="I299" s="3">
        <f>Raw_Production!I299</f>
        <v>224</v>
      </c>
      <c r="J299" s="3">
        <f>Raw_Production!J299</f>
        <v>61</v>
      </c>
      <c r="K299" s="3">
        <f>Raw_Production!L299</f>
        <v>115</v>
      </c>
      <c r="L299" s="3">
        <f>Raw_Production!M299</f>
        <v>9</v>
      </c>
      <c r="M299" s="3">
        <f>Raw_Production!F299</f>
        <v>0</v>
      </c>
      <c r="N299" s="3">
        <f>Raw_Production!K299</f>
        <v>3714</v>
      </c>
      <c r="O299" s="3">
        <f>Raw_Production!H299</f>
        <v>15.9</v>
      </c>
      <c r="P299" s="3">
        <f>Raw_Production!E299</f>
        <v>38</v>
      </c>
    </row>
    <row r="300" spans="1:16" x14ac:dyDescent="0.3">
      <c r="A300" s="4">
        <f>Raw_Production!A300</f>
        <v>46076</v>
      </c>
      <c r="B300" s="3" t="str">
        <f>Raw_Production!C300</f>
        <v>Finishing</v>
      </c>
      <c r="C300" s="3" t="str">
        <f>Raw_Production!D300</f>
        <v>T04</v>
      </c>
      <c r="D300" s="3" t="str">
        <f>Raw_Production!P300</f>
        <v>ST-102</v>
      </c>
      <c r="E300" s="3" t="str">
        <f>Raw_Production!O300</f>
        <v>Polo</v>
      </c>
      <c r="F300" s="6">
        <f>Raw_Production!G300</f>
        <v>0.87</v>
      </c>
      <c r="G300" s="6">
        <f>Raw_Production!N300</f>
        <v>0.71</v>
      </c>
      <c r="H300" s="6">
        <f t="shared" si="4"/>
        <v>-0.16000000000000003</v>
      </c>
      <c r="I300" s="3">
        <f>Raw_Production!I300</f>
        <v>100</v>
      </c>
      <c r="J300" s="3">
        <f>Raw_Production!J300</f>
        <v>107</v>
      </c>
      <c r="K300" s="3">
        <f>Raw_Production!L300</f>
        <v>87</v>
      </c>
      <c r="L300" s="3">
        <f>Raw_Production!M300</f>
        <v>3</v>
      </c>
      <c r="M300" s="3">
        <f>Raw_Production!F300</f>
        <v>0</v>
      </c>
      <c r="N300" s="3">
        <f>Raw_Production!K300</f>
        <v>1322</v>
      </c>
      <c r="O300" s="3">
        <f>Raw_Production!H300</f>
        <v>16.399999999999999</v>
      </c>
      <c r="P300" s="3">
        <f>Raw_Production!E300</f>
        <v>28</v>
      </c>
    </row>
    <row r="301" spans="1:16" x14ac:dyDescent="0.3">
      <c r="A301" s="4">
        <f>Raw_Production!A301</f>
        <v>46076</v>
      </c>
      <c r="B301" s="3" t="str">
        <f>Raw_Production!C301</f>
        <v>Finishing</v>
      </c>
      <c r="C301" s="3" t="str">
        <f>Raw_Production!D301</f>
        <v>T05</v>
      </c>
      <c r="D301" s="3" t="str">
        <f>Raw_Production!P301</f>
        <v>ST-107</v>
      </c>
      <c r="E301" s="3" t="str">
        <f>Raw_Production!O301</f>
        <v>Polo</v>
      </c>
      <c r="F301" s="6">
        <f>Raw_Production!G301</f>
        <v>0.86</v>
      </c>
      <c r="G301" s="6">
        <f>Raw_Production!N301</f>
        <v>0.81</v>
      </c>
      <c r="H301" s="6">
        <f t="shared" si="4"/>
        <v>-4.9999999999999933E-2</v>
      </c>
      <c r="I301" s="3">
        <f>Raw_Production!I301</f>
        <v>248</v>
      </c>
      <c r="J301" s="3">
        <f>Raw_Production!J301</f>
        <v>125</v>
      </c>
      <c r="K301" s="3">
        <f>Raw_Production!L301</f>
        <v>55</v>
      </c>
      <c r="L301" s="3">
        <f>Raw_Production!M301</f>
        <v>5</v>
      </c>
      <c r="M301" s="3">
        <f>Raw_Production!F301</f>
        <v>1</v>
      </c>
      <c r="N301" s="3">
        <f>Raw_Production!K301</f>
        <v>4379</v>
      </c>
      <c r="O301" s="3">
        <f>Raw_Production!H301</f>
        <v>11.2</v>
      </c>
      <c r="P301" s="3">
        <f>Raw_Production!E301</f>
        <v>37</v>
      </c>
    </row>
    <row r="302" spans="1:16" x14ac:dyDescent="0.3">
      <c r="A302" s="4">
        <f>Raw_Production!A302</f>
        <v>46077</v>
      </c>
      <c r="B302" s="3" t="str">
        <f>Raw_Production!C302</f>
        <v>Cutting</v>
      </c>
      <c r="C302" s="3" t="str">
        <f>Raw_Production!D302</f>
        <v>T01</v>
      </c>
      <c r="D302" s="3" t="str">
        <f>Raw_Production!P302</f>
        <v>ST-105</v>
      </c>
      <c r="E302" s="3" t="str">
        <f>Raw_Production!O302</f>
        <v>Jacket</v>
      </c>
      <c r="F302" s="6">
        <f>Raw_Production!G302</f>
        <v>0.84</v>
      </c>
      <c r="G302" s="6">
        <f>Raw_Production!N302</f>
        <v>0.84</v>
      </c>
      <c r="H302" s="6">
        <f t="shared" si="4"/>
        <v>0</v>
      </c>
      <c r="I302" s="3">
        <f>Raw_Production!I302</f>
        <v>442</v>
      </c>
      <c r="J302" s="3">
        <f>Raw_Production!J302</f>
        <v>110</v>
      </c>
      <c r="K302" s="3">
        <f>Raw_Production!L302</f>
        <v>105</v>
      </c>
      <c r="L302" s="3">
        <f>Raw_Production!M302</f>
        <v>3</v>
      </c>
      <c r="M302" s="3">
        <f>Raw_Production!F302</f>
        <v>0</v>
      </c>
      <c r="N302" s="3">
        <f>Raw_Production!K302</f>
        <v>2845</v>
      </c>
      <c r="O302" s="3">
        <f>Raw_Production!H302</f>
        <v>17.100000000000001</v>
      </c>
      <c r="P302" s="3">
        <f>Raw_Production!E302</f>
        <v>23</v>
      </c>
    </row>
    <row r="303" spans="1:16" x14ac:dyDescent="0.3">
      <c r="A303" s="4">
        <f>Raw_Production!A303</f>
        <v>46077</v>
      </c>
      <c r="B303" s="3" t="str">
        <f>Raw_Production!C303</f>
        <v>Cutting</v>
      </c>
      <c r="C303" s="3" t="str">
        <f>Raw_Production!D303</f>
        <v>T06</v>
      </c>
      <c r="D303" s="3" t="str">
        <f>Raw_Production!P303</f>
        <v>ST-105</v>
      </c>
      <c r="E303" s="3" t="str">
        <f>Raw_Production!O303</f>
        <v>Jacket</v>
      </c>
      <c r="F303" s="6">
        <f>Raw_Production!G303</f>
        <v>0.75</v>
      </c>
      <c r="G303" s="6">
        <f>Raw_Production!N303</f>
        <v>0.68</v>
      </c>
      <c r="H303" s="6">
        <f t="shared" si="4"/>
        <v>-6.9999999999999951E-2</v>
      </c>
      <c r="I303" s="3">
        <f>Raw_Production!I303</f>
        <v>120</v>
      </c>
      <c r="J303" s="3">
        <f>Raw_Production!J303</f>
        <v>100</v>
      </c>
      <c r="K303" s="3">
        <f>Raw_Production!L303</f>
        <v>53</v>
      </c>
      <c r="L303" s="3">
        <f>Raw_Production!M303</f>
        <v>2</v>
      </c>
      <c r="M303" s="3">
        <f>Raw_Production!F303</f>
        <v>0</v>
      </c>
      <c r="N303" s="3">
        <f>Raw_Production!K303</f>
        <v>1642</v>
      </c>
      <c r="O303" s="3">
        <f>Raw_Production!H303</f>
        <v>15.2</v>
      </c>
      <c r="P303" s="3">
        <f>Raw_Production!E303</f>
        <v>35</v>
      </c>
    </row>
    <row r="304" spans="1:16" x14ac:dyDescent="0.3">
      <c r="A304" s="4">
        <f>Raw_Production!A304</f>
        <v>46077</v>
      </c>
      <c r="B304" s="3" t="str">
        <f>Raw_Production!C304</f>
        <v>Sewing</v>
      </c>
      <c r="C304" s="3" t="str">
        <f>Raw_Production!D304</f>
        <v>T02</v>
      </c>
      <c r="D304" s="3" t="str">
        <f>Raw_Production!P304</f>
        <v>ST-101</v>
      </c>
      <c r="E304" s="3" t="str">
        <f>Raw_Production!O304</f>
        <v>T-Shirt</v>
      </c>
      <c r="F304" s="6">
        <f>Raw_Production!G304</f>
        <v>0.82</v>
      </c>
      <c r="G304" s="6">
        <f>Raw_Production!N304</f>
        <v>0.69</v>
      </c>
      <c r="H304" s="6">
        <f t="shared" si="4"/>
        <v>-0.13</v>
      </c>
      <c r="I304" s="3">
        <f>Raw_Production!I304</f>
        <v>80</v>
      </c>
      <c r="J304" s="3">
        <f>Raw_Production!J304</f>
        <v>112</v>
      </c>
      <c r="K304" s="3">
        <f>Raw_Production!L304</f>
        <v>117</v>
      </c>
      <c r="L304" s="3">
        <f>Raw_Production!M304</f>
        <v>3</v>
      </c>
      <c r="M304" s="3">
        <f>Raw_Production!F304</f>
        <v>0</v>
      </c>
      <c r="N304" s="3">
        <f>Raw_Production!K304</f>
        <v>1912</v>
      </c>
      <c r="O304" s="3">
        <f>Raw_Production!H304</f>
        <v>9.6</v>
      </c>
      <c r="P304" s="3">
        <f>Raw_Production!E304</f>
        <v>32</v>
      </c>
    </row>
    <row r="305" spans="1:16" x14ac:dyDescent="0.3">
      <c r="A305" s="4">
        <f>Raw_Production!A305</f>
        <v>46077</v>
      </c>
      <c r="B305" s="3" t="str">
        <f>Raw_Production!C305</f>
        <v>Sewing</v>
      </c>
      <c r="C305" s="3" t="str">
        <f>Raw_Production!D305</f>
        <v>T03</v>
      </c>
      <c r="D305" s="3" t="str">
        <f>Raw_Production!P305</f>
        <v>ST-105</v>
      </c>
      <c r="E305" s="3" t="str">
        <f>Raw_Production!O305</f>
        <v>Jacket</v>
      </c>
      <c r="F305" s="6">
        <f>Raw_Production!G305</f>
        <v>0.78</v>
      </c>
      <c r="G305" s="6">
        <f>Raw_Production!N305</f>
        <v>0.81</v>
      </c>
      <c r="H305" s="6">
        <f t="shared" si="4"/>
        <v>3.0000000000000027E-2</v>
      </c>
      <c r="I305" s="3">
        <f>Raw_Production!I305</f>
        <v>388</v>
      </c>
      <c r="J305" s="3">
        <f>Raw_Production!J305</f>
        <v>93</v>
      </c>
      <c r="K305" s="3">
        <f>Raw_Production!L305</f>
        <v>41</v>
      </c>
      <c r="L305" s="3">
        <f>Raw_Production!M305</f>
        <v>5</v>
      </c>
      <c r="M305" s="3">
        <f>Raw_Production!F305</f>
        <v>2</v>
      </c>
      <c r="N305" s="3">
        <f>Raw_Production!K305</f>
        <v>2544</v>
      </c>
      <c r="O305" s="3">
        <f>Raw_Production!H305</f>
        <v>15.1</v>
      </c>
      <c r="P305" s="3">
        <f>Raw_Production!E305</f>
        <v>32</v>
      </c>
    </row>
    <row r="306" spans="1:16" x14ac:dyDescent="0.3">
      <c r="A306" s="4">
        <f>Raw_Production!A306</f>
        <v>46077</v>
      </c>
      <c r="B306" s="3" t="str">
        <f>Raw_Production!C306</f>
        <v>Finishing</v>
      </c>
      <c r="C306" s="3" t="str">
        <f>Raw_Production!D306</f>
        <v>T04</v>
      </c>
      <c r="D306" s="3" t="str">
        <f>Raw_Production!P306</f>
        <v>ST-102</v>
      </c>
      <c r="E306" s="3" t="str">
        <f>Raw_Production!O306</f>
        <v>Polo</v>
      </c>
      <c r="F306" s="6">
        <f>Raw_Production!G306</f>
        <v>0.86</v>
      </c>
      <c r="G306" s="6">
        <f>Raw_Production!N306</f>
        <v>0.89</v>
      </c>
      <c r="H306" s="6">
        <f t="shared" si="4"/>
        <v>3.0000000000000027E-2</v>
      </c>
      <c r="I306" s="3">
        <f>Raw_Production!I306</f>
        <v>259</v>
      </c>
      <c r="J306" s="3">
        <f>Raw_Production!J306</f>
        <v>66</v>
      </c>
      <c r="K306" s="3">
        <f>Raw_Production!L306</f>
        <v>48</v>
      </c>
      <c r="L306" s="3">
        <f>Raw_Production!M306</f>
        <v>1</v>
      </c>
      <c r="M306" s="3">
        <f>Raw_Production!F306</f>
        <v>0</v>
      </c>
      <c r="N306" s="3">
        <f>Raw_Production!K306</f>
        <v>4080</v>
      </c>
      <c r="O306" s="3">
        <f>Raw_Production!H306</f>
        <v>15.6</v>
      </c>
      <c r="P306" s="3">
        <f>Raw_Production!E306</f>
        <v>36</v>
      </c>
    </row>
    <row r="307" spans="1:16" x14ac:dyDescent="0.3">
      <c r="A307" s="4">
        <f>Raw_Production!A307</f>
        <v>46077</v>
      </c>
      <c r="B307" s="3" t="str">
        <f>Raw_Production!C307</f>
        <v>Finishing</v>
      </c>
      <c r="C307" s="3" t="str">
        <f>Raw_Production!D307</f>
        <v>T05</v>
      </c>
      <c r="D307" s="3" t="str">
        <f>Raw_Production!P307</f>
        <v>ST-109</v>
      </c>
      <c r="E307" s="3" t="str">
        <f>Raw_Production!O307</f>
        <v>Shirt</v>
      </c>
      <c r="F307" s="6">
        <f>Raw_Production!G307</f>
        <v>0.85</v>
      </c>
      <c r="G307" s="6">
        <f>Raw_Production!N307</f>
        <v>0.79</v>
      </c>
      <c r="H307" s="6">
        <f t="shared" si="4"/>
        <v>-5.9999999999999942E-2</v>
      </c>
      <c r="I307" s="3">
        <f>Raw_Production!I307</f>
        <v>204</v>
      </c>
      <c r="J307" s="3">
        <f>Raw_Production!J307</f>
        <v>22</v>
      </c>
      <c r="K307" s="3">
        <f>Raw_Production!L307</f>
        <v>15</v>
      </c>
      <c r="L307" s="3">
        <f>Raw_Production!M307</f>
        <v>3</v>
      </c>
      <c r="M307" s="3">
        <f>Raw_Production!F307</f>
        <v>1</v>
      </c>
      <c r="N307" s="3">
        <f>Raw_Production!K307</f>
        <v>354</v>
      </c>
      <c r="O307" s="3">
        <f>Raw_Production!H307</f>
        <v>17.399999999999999</v>
      </c>
      <c r="P307" s="3">
        <f>Raw_Production!E307</f>
        <v>35</v>
      </c>
    </row>
    <row r="308" spans="1:16" x14ac:dyDescent="0.3">
      <c r="A308" s="4">
        <f>Raw_Production!A308</f>
        <v>46078</v>
      </c>
      <c r="B308" s="3" t="str">
        <f>Raw_Production!C308</f>
        <v>Cutting</v>
      </c>
      <c r="C308" s="3" t="str">
        <f>Raw_Production!D308</f>
        <v>T01</v>
      </c>
      <c r="D308" s="3" t="str">
        <f>Raw_Production!P308</f>
        <v>ST-105</v>
      </c>
      <c r="E308" s="3" t="str">
        <f>Raw_Production!O308</f>
        <v>Jacket</v>
      </c>
      <c r="F308" s="6">
        <f>Raw_Production!G308</f>
        <v>0.82</v>
      </c>
      <c r="G308" s="6">
        <f>Raw_Production!N308</f>
        <v>0.78</v>
      </c>
      <c r="H308" s="6">
        <f t="shared" si="4"/>
        <v>-3.9999999999999925E-2</v>
      </c>
      <c r="I308" s="3">
        <f>Raw_Production!I308</f>
        <v>36</v>
      </c>
      <c r="J308" s="3">
        <f>Raw_Production!J308</f>
        <v>66</v>
      </c>
      <c r="K308" s="3">
        <f>Raw_Production!L308</f>
        <v>57</v>
      </c>
      <c r="L308" s="3">
        <f>Raw_Production!M308</f>
        <v>4</v>
      </c>
      <c r="M308" s="3">
        <f>Raw_Production!F308</f>
        <v>0</v>
      </c>
      <c r="N308" s="3">
        <f>Raw_Production!K308</f>
        <v>2343</v>
      </c>
      <c r="O308" s="3">
        <f>Raw_Production!H308</f>
        <v>11.1</v>
      </c>
      <c r="P308" s="3">
        <f>Raw_Production!E308</f>
        <v>31</v>
      </c>
    </row>
    <row r="309" spans="1:16" x14ac:dyDescent="0.3">
      <c r="A309" s="4">
        <f>Raw_Production!A309</f>
        <v>46078</v>
      </c>
      <c r="B309" s="3" t="str">
        <f>Raw_Production!C309</f>
        <v>Cutting</v>
      </c>
      <c r="C309" s="3" t="str">
        <f>Raw_Production!D309</f>
        <v>T06</v>
      </c>
      <c r="D309" s="3" t="str">
        <f>Raw_Production!P309</f>
        <v>ST-105</v>
      </c>
      <c r="E309" s="3" t="str">
        <f>Raw_Production!O309</f>
        <v>Jacket</v>
      </c>
      <c r="F309" s="6">
        <f>Raw_Production!G309</f>
        <v>0.73</v>
      </c>
      <c r="G309" s="6">
        <f>Raw_Production!N309</f>
        <v>0.66</v>
      </c>
      <c r="H309" s="6">
        <f t="shared" si="4"/>
        <v>-6.9999999999999951E-2</v>
      </c>
      <c r="I309" s="3">
        <f>Raw_Production!I309</f>
        <v>388</v>
      </c>
      <c r="J309" s="3">
        <f>Raw_Production!J309</f>
        <v>59</v>
      </c>
      <c r="K309" s="3">
        <f>Raw_Production!L309</f>
        <v>64</v>
      </c>
      <c r="L309" s="3">
        <f>Raw_Production!M309</f>
        <v>7</v>
      </c>
      <c r="M309" s="3">
        <f>Raw_Production!F309</f>
        <v>3</v>
      </c>
      <c r="N309" s="3">
        <f>Raw_Production!K309</f>
        <v>4193</v>
      </c>
      <c r="O309" s="3">
        <f>Raw_Production!H309</f>
        <v>18.100000000000001</v>
      </c>
      <c r="P309" s="3">
        <f>Raw_Production!E309</f>
        <v>38</v>
      </c>
    </row>
    <row r="310" spans="1:16" x14ac:dyDescent="0.3">
      <c r="A310" s="4">
        <f>Raw_Production!A310</f>
        <v>46078</v>
      </c>
      <c r="B310" s="3" t="str">
        <f>Raw_Production!C310</f>
        <v>Sewing</v>
      </c>
      <c r="C310" s="3" t="str">
        <f>Raw_Production!D310</f>
        <v>T02</v>
      </c>
      <c r="D310" s="3" t="str">
        <f>Raw_Production!P310</f>
        <v>ST-110</v>
      </c>
      <c r="E310" s="3" t="str">
        <f>Raw_Production!O310</f>
        <v>Jacket</v>
      </c>
      <c r="F310" s="6">
        <f>Raw_Production!G310</f>
        <v>0.75</v>
      </c>
      <c r="G310" s="6">
        <f>Raw_Production!N310</f>
        <v>0.78</v>
      </c>
      <c r="H310" s="6">
        <f t="shared" si="4"/>
        <v>3.0000000000000027E-2</v>
      </c>
      <c r="I310" s="3">
        <f>Raw_Production!I310</f>
        <v>413</v>
      </c>
      <c r="J310" s="3">
        <f>Raw_Production!J310</f>
        <v>48</v>
      </c>
      <c r="K310" s="3">
        <f>Raw_Production!L310</f>
        <v>108</v>
      </c>
      <c r="L310" s="3">
        <f>Raw_Production!M310</f>
        <v>0</v>
      </c>
      <c r="M310" s="3">
        <f>Raw_Production!F310</f>
        <v>1</v>
      </c>
      <c r="N310" s="3">
        <f>Raw_Production!K310</f>
        <v>435</v>
      </c>
      <c r="O310" s="3">
        <f>Raw_Production!H310</f>
        <v>14.1</v>
      </c>
      <c r="P310" s="3">
        <f>Raw_Production!E310</f>
        <v>33</v>
      </c>
    </row>
    <row r="311" spans="1:16" x14ac:dyDescent="0.3">
      <c r="A311" s="4">
        <f>Raw_Production!A311</f>
        <v>46078</v>
      </c>
      <c r="B311" s="3" t="str">
        <f>Raw_Production!C311</f>
        <v>Sewing</v>
      </c>
      <c r="C311" s="3" t="str">
        <f>Raw_Production!D311</f>
        <v>T03</v>
      </c>
      <c r="D311" s="3" t="str">
        <f>Raw_Production!P311</f>
        <v>ST-101</v>
      </c>
      <c r="E311" s="3" t="str">
        <f>Raw_Production!O311</f>
        <v>T-Shirt</v>
      </c>
      <c r="F311" s="6">
        <f>Raw_Production!G311</f>
        <v>0.73</v>
      </c>
      <c r="G311" s="6">
        <f>Raw_Production!N311</f>
        <v>0.6</v>
      </c>
      <c r="H311" s="6">
        <f t="shared" si="4"/>
        <v>-0.13</v>
      </c>
      <c r="I311" s="3">
        <f>Raw_Production!I311</f>
        <v>189</v>
      </c>
      <c r="J311" s="3">
        <f>Raw_Production!J311</f>
        <v>147</v>
      </c>
      <c r="K311" s="3">
        <f>Raw_Production!L311</f>
        <v>98</v>
      </c>
      <c r="L311" s="3">
        <f>Raw_Production!M311</f>
        <v>1</v>
      </c>
      <c r="M311" s="3">
        <f>Raw_Production!F311</f>
        <v>0</v>
      </c>
      <c r="N311" s="3">
        <f>Raw_Production!K311</f>
        <v>2931</v>
      </c>
      <c r="O311" s="3">
        <f>Raw_Production!H311</f>
        <v>13.2</v>
      </c>
      <c r="P311" s="3">
        <f>Raw_Production!E311</f>
        <v>26</v>
      </c>
    </row>
    <row r="312" spans="1:16" x14ac:dyDescent="0.3">
      <c r="A312" s="4">
        <f>Raw_Production!A312</f>
        <v>46078</v>
      </c>
      <c r="B312" s="3" t="str">
        <f>Raw_Production!C312</f>
        <v>Finishing</v>
      </c>
      <c r="C312" s="3" t="str">
        <f>Raw_Production!D312</f>
        <v>T04</v>
      </c>
      <c r="D312" s="3" t="str">
        <f>Raw_Production!P312</f>
        <v>ST-106</v>
      </c>
      <c r="E312" s="3" t="str">
        <f>Raw_Production!O312</f>
        <v>T-Shirt</v>
      </c>
      <c r="F312" s="6">
        <f>Raw_Production!G312</f>
        <v>0.78</v>
      </c>
      <c r="G312" s="6">
        <f>Raw_Production!N312</f>
        <v>0.73</v>
      </c>
      <c r="H312" s="6">
        <f t="shared" si="4"/>
        <v>-5.0000000000000044E-2</v>
      </c>
      <c r="I312" s="3">
        <f>Raw_Production!I312</f>
        <v>113</v>
      </c>
      <c r="J312" s="3">
        <f>Raw_Production!J312</f>
        <v>36</v>
      </c>
      <c r="K312" s="3">
        <f>Raw_Production!L312</f>
        <v>36</v>
      </c>
      <c r="L312" s="3">
        <f>Raw_Production!M312</f>
        <v>4</v>
      </c>
      <c r="M312" s="3">
        <f>Raw_Production!F312</f>
        <v>1</v>
      </c>
      <c r="N312" s="3">
        <f>Raw_Production!K312</f>
        <v>1517</v>
      </c>
      <c r="O312" s="3">
        <f>Raw_Production!H312</f>
        <v>11.1</v>
      </c>
      <c r="P312" s="3">
        <f>Raw_Production!E312</f>
        <v>29</v>
      </c>
    </row>
    <row r="313" spans="1:16" x14ac:dyDescent="0.3">
      <c r="A313" s="4">
        <f>Raw_Production!A313</f>
        <v>46078</v>
      </c>
      <c r="B313" s="3" t="str">
        <f>Raw_Production!C313</f>
        <v>Finishing</v>
      </c>
      <c r="C313" s="3" t="str">
        <f>Raw_Production!D313</f>
        <v>T05</v>
      </c>
      <c r="D313" s="3" t="str">
        <f>Raw_Production!P313</f>
        <v>ST-105</v>
      </c>
      <c r="E313" s="3" t="str">
        <f>Raw_Production!O313</f>
        <v>Jacket</v>
      </c>
      <c r="F313" s="6">
        <f>Raw_Production!G313</f>
        <v>0.78</v>
      </c>
      <c r="G313" s="6">
        <f>Raw_Production!N313</f>
        <v>0.76</v>
      </c>
      <c r="H313" s="6">
        <f t="shared" si="4"/>
        <v>-2.0000000000000018E-2</v>
      </c>
      <c r="I313" s="3">
        <f>Raw_Production!I313</f>
        <v>355</v>
      </c>
      <c r="J313" s="3">
        <f>Raw_Production!J313</f>
        <v>71</v>
      </c>
      <c r="K313" s="3">
        <f>Raw_Production!L313</f>
        <v>44</v>
      </c>
      <c r="L313" s="3">
        <f>Raw_Production!M313</f>
        <v>1</v>
      </c>
      <c r="M313" s="3">
        <f>Raw_Production!F313</f>
        <v>2</v>
      </c>
      <c r="N313" s="3">
        <f>Raw_Production!K313</f>
        <v>3178</v>
      </c>
      <c r="O313" s="3">
        <f>Raw_Production!H313</f>
        <v>9.6999999999999993</v>
      </c>
      <c r="P313" s="3">
        <f>Raw_Production!E313</f>
        <v>22</v>
      </c>
    </row>
    <row r="314" spans="1:16" x14ac:dyDescent="0.3">
      <c r="A314" s="4">
        <f>Raw_Production!A314</f>
        <v>46079</v>
      </c>
      <c r="B314" s="3" t="str">
        <f>Raw_Production!C314</f>
        <v>Cutting</v>
      </c>
      <c r="C314" s="3" t="str">
        <f>Raw_Production!D314</f>
        <v>T01</v>
      </c>
      <c r="D314" s="3" t="str">
        <f>Raw_Production!P314</f>
        <v>ST-108</v>
      </c>
      <c r="E314" s="3" t="str">
        <f>Raw_Production!O314</f>
        <v>Hoodie</v>
      </c>
      <c r="F314" s="6">
        <f>Raw_Production!G314</f>
        <v>0.74</v>
      </c>
      <c r="G314" s="6">
        <f>Raw_Production!N314</f>
        <v>0.57999999999999996</v>
      </c>
      <c r="H314" s="6">
        <f t="shared" si="4"/>
        <v>-0.16000000000000003</v>
      </c>
      <c r="I314" s="3">
        <f>Raw_Production!I314</f>
        <v>371</v>
      </c>
      <c r="J314" s="3">
        <f>Raw_Production!J314</f>
        <v>128</v>
      </c>
      <c r="K314" s="3">
        <f>Raw_Production!L314</f>
        <v>14</v>
      </c>
      <c r="L314" s="3">
        <f>Raw_Production!M314</f>
        <v>5</v>
      </c>
      <c r="M314" s="3">
        <f>Raw_Production!F314</f>
        <v>1</v>
      </c>
      <c r="N314" s="3">
        <f>Raw_Production!K314</f>
        <v>890</v>
      </c>
      <c r="O314" s="3">
        <f>Raw_Production!H314</f>
        <v>17.2</v>
      </c>
      <c r="P314" s="3">
        <f>Raw_Production!E314</f>
        <v>25</v>
      </c>
    </row>
    <row r="315" spans="1:16" x14ac:dyDescent="0.3">
      <c r="A315" s="4">
        <f>Raw_Production!A315</f>
        <v>46079</v>
      </c>
      <c r="B315" s="3" t="str">
        <f>Raw_Production!C315</f>
        <v>Cutting</v>
      </c>
      <c r="C315" s="3" t="str">
        <f>Raw_Production!D315</f>
        <v>T06</v>
      </c>
      <c r="D315" s="3" t="str">
        <f>Raw_Production!P315</f>
        <v>ST-104</v>
      </c>
      <c r="E315" s="3" t="str">
        <f>Raw_Production!O315</f>
        <v>Shirt</v>
      </c>
      <c r="F315" s="6">
        <f>Raw_Production!G315</f>
        <v>0.86</v>
      </c>
      <c r="G315" s="6">
        <f>Raw_Production!N315</f>
        <v>0.79</v>
      </c>
      <c r="H315" s="6">
        <f t="shared" si="4"/>
        <v>-6.9999999999999951E-2</v>
      </c>
      <c r="I315" s="3">
        <f>Raw_Production!I315</f>
        <v>288</v>
      </c>
      <c r="J315" s="3">
        <f>Raw_Production!J315</f>
        <v>81</v>
      </c>
      <c r="K315" s="3">
        <f>Raw_Production!L315</f>
        <v>20</v>
      </c>
      <c r="L315" s="3">
        <f>Raw_Production!M315</f>
        <v>5</v>
      </c>
      <c r="M315" s="3">
        <f>Raw_Production!F315</f>
        <v>0</v>
      </c>
      <c r="N315" s="3">
        <f>Raw_Production!K315</f>
        <v>2347</v>
      </c>
      <c r="O315" s="3">
        <f>Raw_Production!H315</f>
        <v>12.4</v>
      </c>
      <c r="P315" s="3">
        <f>Raw_Production!E315</f>
        <v>28</v>
      </c>
    </row>
    <row r="316" spans="1:16" x14ac:dyDescent="0.3">
      <c r="A316" s="4">
        <f>Raw_Production!A316</f>
        <v>46079</v>
      </c>
      <c r="B316" s="3" t="str">
        <f>Raw_Production!C316</f>
        <v>Sewing</v>
      </c>
      <c r="C316" s="3" t="str">
        <f>Raw_Production!D316</f>
        <v>T02</v>
      </c>
      <c r="D316" s="3" t="str">
        <f>Raw_Production!P316</f>
        <v>ST-103</v>
      </c>
      <c r="E316" s="3" t="str">
        <f>Raw_Production!O316</f>
        <v>Hoodie</v>
      </c>
      <c r="F316" s="6">
        <f>Raw_Production!G316</f>
        <v>0.82</v>
      </c>
      <c r="G316" s="6">
        <f>Raw_Production!N316</f>
        <v>0.64</v>
      </c>
      <c r="H316" s="6">
        <f t="shared" si="4"/>
        <v>-0.17999999999999994</v>
      </c>
      <c r="I316" s="3">
        <f>Raw_Production!I316</f>
        <v>292</v>
      </c>
      <c r="J316" s="3">
        <f>Raw_Production!J316</f>
        <v>114</v>
      </c>
      <c r="K316" s="3">
        <f>Raw_Production!L316</f>
        <v>29</v>
      </c>
      <c r="L316" s="3">
        <f>Raw_Production!M316</f>
        <v>0</v>
      </c>
      <c r="M316" s="3">
        <f>Raw_Production!F316</f>
        <v>2</v>
      </c>
      <c r="N316" s="3">
        <f>Raw_Production!K316</f>
        <v>2399</v>
      </c>
      <c r="O316" s="3">
        <f>Raw_Production!H316</f>
        <v>9.5</v>
      </c>
      <c r="P316" s="3">
        <f>Raw_Production!E316</f>
        <v>28</v>
      </c>
    </row>
    <row r="317" spans="1:16" x14ac:dyDescent="0.3">
      <c r="A317" s="4">
        <f>Raw_Production!A317</f>
        <v>46079</v>
      </c>
      <c r="B317" s="3" t="str">
        <f>Raw_Production!C317</f>
        <v>Sewing</v>
      </c>
      <c r="C317" s="3" t="str">
        <f>Raw_Production!D317</f>
        <v>T03</v>
      </c>
      <c r="D317" s="3" t="str">
        <f>Raw_Production!P317</f>
        <v>ST-102</v>
      </c>
      <c r="E317" s="3" t="str">
        <f>Raw_Production!O317</f>
        <v>Polo</v>
      </c>
      <c r="F317" s="6">
        <f>Raw_Production!G317</f>
        <v>0.87</v>
      </c>
      <c r="G317" s="6">
        <f>Raw_Production!N317</f>
        <v>0.82</v>
      </c>
      <c r="H317" s="6">
        <f t="shared" si="4"/>
        <v>-5.0000000000000044E-2</v>
      </c>
      <c r="I317" s="3">
        <f>Raw_Production!I317</f>
        <v>288</v>
      </c>
      <c r="J317" s="3">
        <f>Raw_Production!J317</f>
        <v>99</v>
      </c>
      <c r="K317" s="3">
        <f>Raw_Production!L317</f>
        <v>64</v>
      </c>
      <c r="L317" s="3">
        <f>Raw_Production!M317</f>
        <v>6</v>
      </c>
      <c r="M317" s="3">
        <f>Raw_Production!F317</f>
        <v>0</v>
      </c>
      <c r="N317" s="3">
        <f>Raw_Production!K317</f>
        <v>3375</v>
      </c>
      <c r="O317" s="3">
        <f>Raw_Production!H317</f>
        <v>14.2</v>
      </c>
      <c r="P317" s="3">
        <f>Raw_Production!E317</f>
        <v>26</v>
      </c>
    </row>
    <row r="318" spans="1:16" x14ac:dyDescent="0.3">
      <c r="A318" s="4">
        <f>Raw_Production!A318</f>
        <v>46079</v>
      </c>
      <c r="B318" s="3" t="str">
        <f>Raw_Production!C318</f>
        <v>Finishing</v>
      </c>
      <c r="C318" s="3" t="str">
        <f>Raw_Production!D318</f>
        <v>T04</v>
      </c>
      <c r="D318" s="3" t="str">
        <f>Raw_Production!P318</f>
        <v>ST-102</v>
      </c>
      <c r="E318" s="3" t="str">
        <f>Raw_Production!O318</f>
        <v>Polo</v>
      </c>
      <c r="F318" s="6">
        <f>Raw_Production!G318</f>
        <v>0.8</v>
      </c>
      <c r="G318" s="6">
        <f>Raw_Production!N318</f>
        <v>0.75</v>
      </c>
      <c r="H318" s="6">
        <f t="shared" si="4"/>
        <v>-5.0000000000000044E-2</v>
      </c>
      <c r="I318" s="3">
        <f>Raw_Production!I318</f>
        <v>162</v>
      </c>
      <c r="J318" s="3">
        <f>Raw_Production!J318</f>
        <v>57</v>
      </c>
      <c r="K318" s="3">
        <f>Raw_Production!L318</f>
        <v>5</v>
      </c>
      <c r="L318" s="3">
        <f>Raw_Production!M318</f>
        <v>1</v>
      </c>
      <c r="M318" s="3">
        <f>Raw_Production!F318</f>
        <v>1</v>
      </c>
      <c r="N318" s="3">
        <f>Raw_Production!K318</f>
        <v>1380</v>
      </c>
      <c r="O318" s="3">
        <f>Raw_Production!H318</f>
        <v>8.3000000000000007</v>
      </c>
      <c r="P318" s="3">
        <f>Raw_Production!E318</f>
        <v>35</v>
      </c>
    </row>
    <row r="319" spans="1:16" x14ac:dyDescent="0.3">
      <c r="A319" s="4">
        <f>Raw_Production!A319</f>
        <v>46079</v>
      </c>
      <c r="B319" s="3" t="str">
        <f>Raw_Production!C319</f>
        <v>Finishing</v>
      </c>
      <c r="C319" s="3" t="str">
        <f>Raw_Production!D319</f>
        <v>T05</v>
      </c>
      <c r="D319" s="3" t="str">
        <f>Raw_Production!P319</f>
        <v>ST-104</v>
      </c>
      <c r="E319" s="3" t="str">
        <f>Raw_Production!O319</f>
        <v>Shirt</v>
      </c>
      <c r="F319" s="6">
        <f>Raw_Production!G319</f>
        <v>0.86</v>
      </c>
      <c r="G319" s="6">
        <f>Raw_Production!N319</f>
        <v>0.82</v>
      </c>
      <c r="H319" s="6">
        <f t="shared" si="4"/>
        <v>-4.0000000000000036E-2</v>
      </c>
      <c r="I319" s="3">
        <f>Raw_Production!I319</f>
        <v>372</v>
      </c>
      <c r="J319" s="3">
        <f>Raw_Production!J319</f>
        <v>132</v>
      </c>
      <c r="K319" s="3">
        <f>Raw_Production!L319</f>
        <v>62</v>
      </c>
      <c r="L319" s="3">
        <f>Raw_Production!M319</f>
        <v>4</v>
      </c>
      <c r="M319" s="3">
        <f>Raw_Production!F319</f>
        <v>0</v>
      </c>
      <c r="N319" s="3">
        <f>Raw_Production!K319</f>
        <v>903</v>
      </c>
      <c r="O319" s="3">
        <f>Raw_Production!H319</f>
        <v>15.8</v>
      </c>
      <c r="P319" s="3">
        <f>Raw_Production!E319</f>
        <v>21</v>
      </c>
    </row>
    <row r="320" spans="1:16" x14ac:dyDescent="0.3">
      <c r="A320" s="4">
        <f>Raw_Production!A320</f>
        <v>46080</v>
      </c>
      <c r="B320" s="3" t="str">
        <f>Raw_Production!C320</f>
        <v>Cutting</v>
      </c>
      <c r="C320" s="3" t="str">
        <f>Raw_Production!D320</f>
        <v>T01</v>
      </c>
      <c r="D320" s="3" t="str">
        <f>Raw_Production!P320</f>
        <v>ST-103</v>
      </c>
      <c r="E320" s="3" t="str">
        <f>Raw_Production!O320</f>
        <v>Hoodie</v>
      </c>
      <c r="F320" s="6">
        <f>Raw_Production!G320</f>
        <v>0.82</v>
      </c>
      <c r="G320" s="6">
        <f>Raw_Production!N320</f>
        <v>0.8</v>
      </c>
      <c r="H320" s="6">
        <f t="shared" si="4"/>
        <v>-1.9999999999999907E-2</v>
      </c>
      <c r="I320" s="3">
        <f>Raw_Production!I320</f>
        <v>199</v>
      </c>
      <c r="J320" s="3">
        <f>Raw_Production!J320</f>
        <v>28</v>
      </c>
      <c r="K320" s="3">
        <f>Raw_Production!L320</f>
        <v>5</v>
      </c>
      <c r="L320" s="3">
        <f>Raw_Production!M320</f>
        <v>5</v>
      </c>
      <c r="M320" s="3">
        <f>Raw_Production!F320</f>
        <v>0</v>
      </c>
      <c r="N320" s="3">
        <f>Raw_Production!K320</f>
        <v>3780</v>
      </c>
      <c r="O320" s="3">
        <f>Raw_Production!H320</f>
        <v>12.6</v>
      </c>
      <c r="P320" s="3">
        <f>Raw_Production!E320</f>
        <v>20</v>
      </c>
    </row>
    <row r="321" spans="1:16" x14ac:dyDescent="0.3">
      <c r="A321" s="4">
        <f>Raw_Production!A321</f>
        <v>46080</v>
      </c>
      <c r="B321" s="3" t="str">
        <f>Raw_Production!C321</f>
        <v>Cutting</v>
      </c>
      <c r="C321" s="3" t="str">
        <f>Raw_Production!D321</f>
        <v>T06</v>
      </c>
      <c r="D321" s="3" t="str">
        <f>Raw_Production!P321</f>
        <v>ST-102</v>
      </c>
      <c r="E321" s="3" t="str">
        <f>Raw_Production!O321</f>
        <v>Polo</v>
      </c>
      <c r="F321" s="6">
        <f>Raw_Production!G321</f>
        <v>0.84</v>
      </c>
      <c r="G321" s="6">
        <f>Raw_Production!N321</f>
        <v>0.85</v>
      </c>
      <c r="H321" s="6">
        <f t="shared" si="4"/>
        <v>1.0000000000000009E-2</v>
      </c>
      <c r="I321" s="3">
        <f>Raw_Production!I321</f>
        <v>241</v>
      </c>
      <c r="J321" s="3">
        <f>Raw_Production!J321</f>
        <v>124</v>
      </c>
      <c r="K321" s="3">
        <f>Raw_Production!L321</f>
        <v>41</v>
      </c>
      <c r="L321" s="3">
        <f>Raw_Production!M321</f>
        <v>5</v>
      </c>
      <c r="M321" s="3">
        <f>Raw_Production!F321</f>
        <v>0</v>
      </c>
      <c r="N321" s="3">
        <f>Raw_Production!K321</f>
        <v>1446</v>
      </c>
      <c r="O321" s="3">
        <f>Raw_Production!H321</f>
        <v>7.7</v>
      </c>
      <c r="P321" s="3">
        <f>Raw_Production!E321</f>
        <v>37</v>
      </c>
    </row>
    <row r="322" spans="1:16" x14ac:dyDescent="0.3">
      <c r="A322" s="4">
        <f>Raw_Production!A322</f>
        <v>46080</v>
      </c>
      <c r="B322" s="3" t="str">
        <f>Raw_Production!C322</f>
        <v>Sewing</v>
      </c>
      <c r="C322" s="3" t="str">
        <f>Raw_Production!D322</f>
        <v>T02</v>
      </c>
      <c r="D322" s="3" t="str">
        <f>Raw_Production!P322</f>
        <v>ST-109</v>
      </c>
      <c r="E322" s="3" t="str">
        <f>Raw_Production!O322</f>
        <v>Shirt</v>
      </c>
      <c r="F322" s="6">
        <f>Raw_Production!G322</f>
        <v>0.81</v>
      </c>
      <c r="G322" s="6">
        <f>Raw_Production!N322</f>
        <v>0.74</v>
      </c>
      <c r="H322" s="6">
        <f t="shared" ref="H322:H385" si="5">G322-F322</f>
        <v>-7.0000000000000062E-2</v>
      </c>
      <c r="I322" s="3">
        <f>Raw_Production!I322</f>
        <v>162</v>
      </c>
      <c r="J322" s="3">
        <f>Raw_Production!J322</f>
        <v>33</v>
      </c>
      <c r="K322" s="3">
        <f>Raw_Production!L322</f>
        <v>7</v>
      </c>
      <c r="L322" s="3">
        <f>Raw_Production!M322</f>
        <v>5</v>
      </c>
      <c r="M322" s="3">
        <f>Raw_Production!F322</f>
        <v>0</v>
      </c>
      <c r="N322" s="3">
        <f>Raw_Production!K322</f>
        <v>3603</v>
      </c>
      <c r="O322" s="3">
        <f>Raw_Production!H322</f>
        <v>15.7</v>
      </c>
      <c r="P322" s="3">
        <f>Raw_Production!E322</f>
        <v>38</v>
      </c>
    </row>
    <row r="323" spans="1:16" x14ac:dyDescent="0.3">
      <c r="A323" s="4">
        <f>Raw_Production!A323</f>
        <v>46080</v>
      </c>
      <c r="B323" s="3" t="str">
        <f>Raw_Production!C323</f>
        <v>Sewing</v>
      </c>
      <c r="C323" s="3" t="str">
        <f>Raw_Production!D323</f>
        <v>T03</v>
      </c>
      <c r="D323" s="3" t="str">
        <f>Raw_Production!P323</f>
        <v>ST-101</v>
      </c>
      <c r="E323" s="3" t="str">
        <f>Raw_Production!O323</f>
        <v>T-Shirt</v>
      </c>
      <c r="F323" s="6">
        <f>Raw_Production!G323</f>
        <v>0.77</v>
      </c>
      <c r="G323" s="6">
        <f>Raw_Production!N323</f>
        <v>0.82</v>
      </c>
      <c r="H323" s="6">
        <f t="shared" si="5"/>
        <v>4.9999999999999933E-2</v>
      </c>
      <c r="I323" s="3">
        <f>Raw_Production!I323</f>
        <v>53</v>
      </c>
      <c r="J323" s="3">
        <f>Raw_Production!J323</f>
        <v>142</v>
      </c>
      <c r="K323" s="3">
        <f>Raw_Production!L323</f>
        <v>106</v>
      </c>
      <c r="L323" s="3">
        <f>Raw_Production!M323</f>
        <v>3</v>
      </c>
      <c r="M323" s="3">
        <f>Raw_Production!F323</f>
        <v>0</v>
      </c>
      <c r="N323" s="3">
        <f>Raw_Production!K323</f>
        <v>2849</v>
      </c>
      <c r="O323" s="3">
        <f>Raw_Production!H323</f>
        <v>17.600000000000001</v>
      </c>
      <c r="P323" s="3">
        <f>Raw_Production!E323</f>
        <v>38</v>
      </c>
    </row>
    <row r="324" spans="1:16" x14ac:dyDescent="0.3">
      <c r="A324" s="4">
        <f>Raw_Production!A324</f>
        <v>46080</v>
      </c>
      <c r="B324" s="3" t="str">
        <f>Raw_Production!C324</f>
        <v>Finishing</v>
      </c>
      <c r="C324" s="3" t="str">
        <f>Raw_Production!D324</f>
        <v>T04</v>
      </c>
      <c r="D324" s="3" t="str">
        <f>Raw_Production!P324</f>
        <v>ST-107</v>
      </c>
      <c r="E324" s="3" t="str">
        <f>Raw_Production!O324</f>
        <v>Polo</v>
      </c>
      <c r="F324" s="6">
        <f>Raw_Production!G324</f>
        <v>0.89</v>
      </c>
      <c r="G324" s="6">
        <f>Raw_Production!N324</f>
        <v>0.89</v>
      </c>
      <c r="H324" s="6">
        <f t="shared" si="5"/>
        <v>0</v>
      </c>
      <c r="I324" s="3">
        <f>Raw_Production!I324</f>
        <v>415</v>
      </c>
      <c r="J324" s="3">
        <f>Raw_Production!J324</f>
        <v>121</v>
      </c>
      <c r="K324" s="3">
        <f>Raw_Production!L324</f>
        <v>74</v>
      </c>
      <c r="L324" s="3">
        <f>Raw_Production!M324</f>
        <v>6</v>
      </c>
      <c r="M324" s="3">
        <f>Raw_Production!F324</f>
        <v>2</v>
      </c>
      <c r="N324" s="3">
        <f>Raw_Production!K324</f>
        <v>939</v>
      </c>
      <c r="O324" s="3">
        <f>Raw_Production!H324</f>
        <v>8.6999999999999993</v>
      </c>
      <c r="P324" s="3">
        <f>Raw_Production!E324</f>
        <v>35</v>
      </c>
    </row>
    <row r="325" spans="1:16" x14ac:dyDescent="0.3">
      <c r="A325" s="4">
        <f>Raw_Production!A325</f>
        <v>46080</v>
      </c>
      <c r="B325" s="3" t="str">
        <f>Raw_Production!C325</f>
        <v>Finishing</v>
      </c>
      <c r="C325" s="3" t="str">
        <f>Raw_Production!D325</f>
        <v>T05</v>
      </c>
      <c r="D325" s="3" t="str">
        <f>Raw_Production!P325</f>
        <v>ST-102</v>
      </c>
      <c r="E325" s="3" t="str">
        <f>Raw_Production!O325</f>
        <v>Polo</v>
      </c>
      <c r="F325" s="6">
        <f>Raw_Production!G325</f>
        <v>0.88</v>
      </c>
      <c r="G325" s="6">
        <f>Raw_Production!N325</f>
        <v>0.83</v>
      </c>
      <c r="H325" s="6">
        <f t="shared" si="5"/>
        <v>-5.0000000000000044E-2</v>
      </c>
      <c r="I325" s="3">
        <f>Raw_Production!I325</f>
        <v>383</v>
      </c>
      <c r="J325" s="3">
        <f>Raw_Production!J325</f>
        <v>35</v>
      </c>
      <c r="K325" s="3">
        <f>Raw_Production!L325</f>
        <v>63</v>
      </c>
      <c r="L325" s="3">
        <f>Raw_Production!M325</f>
        <v>5</v>
      </c>
      <c r="M325" s="3">
        <f>Raw_Production!F325</f>
        <v>0</v>
      </c>
      <c r="N325" s="3">
        <f>Raw_Production!K325</f>
        <v>2306</v>
      </c>
      <c r="O325" s="3">
        <f>Raw_Production!H325</f>
        <v>9</v>
      </c>
      <c r="P325" s="3">
        <f>Raw_Production!E325</f>
        <v>26</v>
      </c>
    </row>
    <row r="326" spans="1:16" x14ac:dyDescent="0.3">
      <c r="A326" s="4">
        <f>Raw_Production!A326</f>
        <v>46081</v>
      </c>
      <c r="B326" s="3" t="str">
        <f>Raw_Production!C326</f>
        <v>Cutting</v>
      </c>
      <c r="C326" s="3" t="str">
        <f>Raw_Production!D326</f>
        <v>T01</v>
      </c>
      <c r="D326" s="3" t="str">
        <f>Raw_Production!P326</f>
        <v>ST-106</v>
      </c>
      <c r="E326" s="3" t="str">
        <f>Raw_Production!O326</f>
        <v>T-Shirt</v>
      </c>
      <c r="F326" s="6">
        <f>Raw_Production!G326</f>
        <v>0.77</v>
      </c>
      <c r="G326" s="6">
        <f>Raw_Production!N326</f>
        <v>0.7</v>
      </c>
      <c r="H326" s="6">
        <f t="shared" si="5"/>
        <v>-7.0000000000000062E-2</v>
      </c>
      <c r="I326" s="3">
        <f>Raw_Production!I326</f>
        <v>247</v>
      </c>
      <c r="J326" s="3">
        <f>Raw_Production!J326</f>
        <v>114</v>
      </c>
      <c r="K326" s="3">
        <f>Raw_Production!L326</f>
        <v>50</v>
      </c>
      <c r="L326" s="3">
        <f>Raw_Production!M326</f>
        <v>6</v>
      </c>
      <c r="M326" s="3">
        <f>Raw_Production!F326</f>
        <v>1</v>
      </c>
      <c r="N326" s="3">
        <f>Raw_Production!K326</f>
        <v>1741</v>
      </c>
      <c r="O326" s="3">
        <f>Raw_Production!H326</f>
        <v>18.399999999999999</v>
      </c>
      <c r="P326" s="3">
        <f>Raw_Production!E326</f>
        <v>24</v>
      </c>
    </row>
    <row r="327" spans="1:16" x14ac:dyDescent="0.3">
      <c r="A327" s="4">
        <f>Raw_Production!A327</f>
        <v>46081</v>
      </c>
      <c r="B327" s="3" t="str">
        <f>Raw_Production!C327</f>
        <v>Cutting</v>
      </c>
      <c r="C327" s="3" t="str">
        <f>Raw_Production!D327</f>
        <v>T06</v>
      </c>
      <c r="D327" s="3" t="str">
        <f>Raw_Production!P327</f>
        <v>ST-105</v>
      </c>
      <c r="E327" s="3" t="str">
        <f>Raw_Production!O327</f>
        <v>Jacket</v>
      </c>
      <c r="F327" s="6">
        <f>Raw_Production!G327</f>
        <v>0.89</v>
      </c>
      <c r="G327" s="6">
        <f>Raw_Production!N327</f>
        <v>0.78</v>
      </c>
      <c r="H327" s="6">
        <f t="shared" si="5"/>
        <v>-0.10999999999999999</v>
      </c>
      <c r="I327" s="3">
        <f>Raw_Production!I327</f>
        <v>198</v>
      </c>
      <c r="J327" s="3">
        <f>Raw_Production!J327</f>
        <v>78</v>
      </c>
      <c r="K327" s="3">
        <f>Raw_Production!L327</f>
        <v>100</v>
      </c>
      <c r="L327" s="3">
        <f>Raw_Production!M327</f>
        <v>7</v>
      </c>
      <c r="M327" s="3">
        <f>Raw_Production!F327</f>
        <v>1</v>
      </c>
      <c r="N327" s="3">
        <f>Raw_Production!K327</f>
        <v>3882</v>
      </c>
      <c r="O327" s="3">
        <f>Raw_Production!H327</f>
        <v>15.2</v>
      </c>
      <c r="P327" s="3">
        <f>Raw_Production!E327</f>
        <v>29</v>
      </c>
    </row>
    <row r="328" spans="1:16" x14ac:dyDescent="0.3">
      <c r="A328" s="4">
        <f>Raw_Production!A328</f>
        <v>46081</v>
      </c>
      <c r="B328" s="3" t="str">
        <f>Raw_Production!C328</f>
        <v>Sewing</v>
      </c>
      <c r="C328" s="3" t="str">
        <f>Raw_Production!D328</f>
        <v>T02</v>
      </c>
      <c r="D328" s="3" t="str">
        <f>Raw_Production!P328</f>
        <v>ST-110</v>
      </c>
      <c r="E328" s="3" t="str">
        <f>Raw_Production!O328</f>
        <v>Jacket</v>
      </c>
      <c r="F328" s="6">
        <f>Raw_Production!G328</f>
        <v>0.79</v>
      </c>
      <c r="G328" s="6">
        <f>Raw_Production!N328</f>
        <v>0.71</v>
      </c>
      <c r="H328" s="6">
        <f t="shared" si="5"/>
        <v>-8.0000000000000071E-2</v>
      </c>
      <c r="I328" s="3">
        <f>Raw_Production!I328</f>
        <v>317</v>
      </c>
      <c r="J328" s="3">
        <f>Raw_Production!J328</f>
        <v>99</v>
      </c>
      <c r="K328" s="3">
        <f>Raw_Production!L328</f>
        <v>85</v>
      </c>
      <c r="L328" s="3">
        <f>Raw_Production!M328</f>
        <v>0</v>
      </c>
      <c r="M328" s="3">
        <f>Raw_Production!F328</f>
        <v>0</v>
      </c>
      <c r="N328" s="3">
        <f>Raw_Production!K328</f>
        <v>1484</v>
      </c>
      <c r="O328" s="3">
        <f>Raw_Production!H328</f>
        <v>12.5</v>
      </c>
      <c r="P328" s="3">
        <f>Raw_Production!E328</f>
        <v>28</v>
      </c>
    </row>
    <row r="329" spans="1:16" x14ac:dyDescent="0.3">
      <c r="A329" s="4">
        <f>Raw_Production!A329</f>
        <v>46081</v>
      </c>
      <c r="B329" s="3" t="str">
        <f>Raw_Production!C329</f>
        <v>Sewing</v>
      </c>
      <c r="C329" s="3" t="str">
        <f>Raw_Production!D329</f>
        <v>T03</v>
      </c>
      <c r="D329" s="3" t="str">
        <f>Raw_Production!P329</f>
        <v>ST-109</v>
      </c>
      <c r="E329" s="3" t="str">
        <f>Raw_Production!O329</f>
        <v>Shirt</v>
      </c>
      <c r="F329" s="6">
        <f>Raw_Production!G329</f>
        <v>0.78</v>
      </c>
      <c r="G329" s="6">
        <f>Raw_Production!N329</f>
        <v>0.67</v>
      </c>
      <c r="H329" s="6">
        <f t="shared" si="5"/>
        <v>-0.10999999999999999</v>
      </c>
      <c r="I329" s="3">
        <f>Raw_Production!I329</f>
        <v>327</v>
      </c>
      <c r="J329" s="3">
        <f>Raw_Production!J329</f>
        <v>142</v>
      </c>
      <c r="K329" s="3">
        <f>Raw_Production!L329</f>
        <v>74</v>
      </c>
      <c r="L329" s="3">
        <f>Raw_Production!M329</f>
        <v>4</v>
      </c>
      <c r="M329" s="3">
        <f>Raw_Production!F329</f>
        <v>0</v>
      </c>
      <c r="N329" s="3">
        <f>Raw_Production!K329</f>
        <v>3121</v>
      </c>
      <c r="O329" s="3">
        <f>Raw_Production!H329</f>
        <v>9.3000000000000007</v>
      </c>
      <c r="P329" s="3">
        <f>Raw_Production!E329</f>
        <v>23</v>
      </c>
    </row>
    <row r="330" spans="1:16" x14ac:dyDescent="0.3">
      <c r="A330" s="4">
        <f>Raw_Production!A330</f>
        <v>46081</v>
      </c>
      <c r="B330" s="3" t="str">
        <f>Raw_Production!C330</f>
        <v>Finishing</v>
      </c>
      <c r="C330" s="3" t="str">
        <f>Raw_Production!D330</f>
        <v>T04</v>
      </c>
      <c r="D330" s="3" t="str">
        <f>Raw_Production!P330</f>
        <v>ST-105</v>
      </c>
      <c r="E330" s="3" t="str">
        <f>Raw_Production!O330</f>
        <v>Jacket</v>
      </c>
      <c r="F330" s="6">
        <f>Raw_Production!G330</f>
        <v>0.86</v>
      </c>
      <c r="G330" s="6">
        <f>Raw_Production!N330</f>
        <v>0.81</v>
      </c>
      <c r="H330" s="6">
        <f t="shared" si="5"/>
        <v>-4.9999999999999933E-2</v>
      </c>
      <c r="I330" s="3">
        <f>Raw_Production!I330</f>
        <v>276</v>
      </c>
      <c r="J330" s="3">
        <f>Raw_Production!J330</f>
        <v>0</v>
      </c>
      <c r="K330" s="3">
        <f>Raw_Production!L330</f>
        <v>113</v>
      </c>
      <c r="L330" s="3">
        <f>Raw_Production!M330</f>
        <v>0</v>
      </c>
      <c r="M330" s="3">
        <f>Raw_Production!F330</f>
        <v>1</v>
      </c>
      <c r="N330" s="3">
        <f>Raw_Production!K330</f>
        <v>2686</v>
      </c>
      <c r="O330" s="3">
        <f>Raw_Production!H330</f>
        <v>9.6</v>
      </c>
      <c r="P330" s="3">
        <f>Raw_Production!E330</f>
        <v>21</v>
      </c>
    </row>
    <row r="331" spans="1:16" x14ac:dyDescent="0.3">
      <c r="A331" s="4">
        <f>Raw_Production!A331</f>
        <v>46081</v>
      </c>
      <c r="B331" s="3" t="str">
        <f>Raw_Production!C331</f>
        <v>Finishing</v>
      </c>
      <c r="C331" s="3" t="str">
        <f>Raw_Production!D331</f>
        <v>T05</v>
      </c>
      <c r="D331" s="3" t="str">
        <f>Raw_Production!P331</f>
        <v>ST-102</v>
      </c>
      <c r="E331" s="3" t="str">
        <f>Raw_Production!O331</f>
        <v>Polo</v>
      </c>
      <c r="F331" s="6">
        <f>Raw_Production!G331</f>
        <v>0.76</v>
      </c>
      <c r="G331" s="6">
        <f>Raw_Production!N331</f>
        <v>0.62</v>
      </c>
      <c r="H331" s="6">
        <f t="shared" si="5"/>
        <v>-0.14000000000000001</v>
      </c>
      <c r="I331" s="3">
        <f>Raw_Production!I331</f>
        <v>153</v>
      </c>
      <c r="J331" s="3">
        <f>Raw_Production!J331</f>
        <v>150</v>
      </c>
      <c r="K331" s="3">
        <f>Raw_Production!L331</f>
        <v>74</v>
      </c>
      <c r="L331" s="3">
        <f>Raw_Production!M331</f>
        <v>3</v>
      </c>
      <c r="M331" s="3">
        <f>Raw_Production!F331</f>
        <v>2</v>
      </c>
      <c r="N331" s="3">
        <f>Raw_Production!K331</f>
        <v>2752</v>
      </c>
      <c r="O331" s="3">
        <f>Raw_Production!H331</f>
        <v>10.6</v>
      </c>
      <c r="P331" s="3">
        <f>Raw_Production!E331</f>
        <v>38</v>
      </c>
    </row>
    <row r="332" spans="1:16" x14ac:dyDescent="0.3">
      <c r="A332" s="4">
        <f>Raw_Production!A332</f>
        <v>46082</v>
      </c>
      <c r="B332" s="3" t="str">
        <f>Raw_Production!C332</f>
        <v>Cutting</v>
      </c>
      <c r="C332" s="3" t="str">
        <f>Raw_Production!D332</f>
        <v>T01</v>
      </c>
      <c r="D332" s="3" t="str">
        <f>Raw_Production!P332</f>
        <v>ST-105</v>
      </c>
      <c r="E332" s="3" t="str">
        <f>Raw_Production!O332</f>
        <v>Jacket</v>
      </c>
      <c r="F332" s="6">
        <f>Raw_Production!G332</f>
        <v>0.89</v>
      </c>
      <c r="G332" s="6">
        <f>Raw_Production!N332</f>
        <v>0.88</v>
      </c>
      <c r="H332" s="6">
        <f t="shared" si="5"/>
        <v>-1.0000000000000009E-2</v>
      </c>
      <c r="I332" s="3">
        <f>Raw_Production!I332</f>
        <v>239</v>
      </c>
      <c r="J332" s="3">
        <f>Raw_Production!J332</f>
        <v>7</v>
      </c>
      <c r="K332" s="3">
        <f>Raw_Production!L332</f>
        <v>76</v>
      </c>
      <c r="L332" s="3">
        <f>Raw_Production!M332</f>
        <v>6</v>
      </c>
      <c r="M332" s="3">
        <f>Raw_Production!F332</f>
        <v>1</v>
      </c>
      <c r="N332" s="3">
        <f>Raw_Production!K332</f>
        <v>2960</v>
      </c>
      <c r="O332" s="3">
        <f>Raw_Production!H332</f>
        <v>15.6</v>
      </c>
      <c r="P332" s="3">
        <f>Raw_Production!E332</f>
        <v>28</v>
      </c>
    </row>
    <row r="333" spans="1:16" x14ac:dyDescent="0.3">
      <c r="A333" s="4">
        <f>Raw_Production!A333</f>
        <v>46082</v>
      </c>
      <c r="B333" s="3" t="str">
        <f>Raw_Production!C333</f>
        <v>Cutting</v>
      </c>
      <c r="C333" s="3" t="str">
        <f>Raw_Production!D333</f>
        <v>T06</v>
      </c>
      <c r="D333" s="3" t="str">
        <f>Raw_Production!P333</f>
        <v>ST-110</v>
      </c>
      <c r="E333" s="3" t="str">
        <f>Raw_Production!O333</f>
        <v>Jacket</v>
      </c>
      <c r="F333" s="6">
        <f>Raw_Production!G333</f>
        <v>0.88</v>
      </c>
      <c r="G333" s="6">
        <f>Raw_Production!N333</f>
        <v>0.82</v>
      </c>
      <c r="H333" s="6">
        <f t="shared" si="5"/>
        <v>-6.0000000000000053E-2</v>
      </c>
      <c r="I333" s="3">
        <f>Raw_Production!I333</f>
        <v>133</v>
      </c>
      <c r="J333" s="3">
        <f>Raw_Production!J333</f>
        <v>39</v>
      </c>
      <c r="K333" s="3">
        <f>Raw_Production!L333</f>
        <v>18</v>
      </c>
      <c r="L333" s="3">
        <f>Raw_Production!M333</f>
        <v>5</v>
      </c>
      <c r="M333" s="3">
        <f>Raw_Production!F333</f>
        <v>1</v>
      </c>
      <c r="N333" s="3">
        <f>Raw_Production!K333</f>
        <v>258</v>
      </c>
      <c r="O333" s="3">
        <f>Raw_Production!H333</f>
        <v>7.9</v>
      </c>
      <c r="P333" s="3">
        <f>Raw_Production!E333</f>
        <v>23</v>
      </c>
    </row>
    <row r="334" spans="1:16" x14ac:dyDescent="0.3">
      <c r="A334" s="4">
        <f>Raw_Production!A334</f>
        <v>46082</v>
      </c>
      <c r="B334" s="3" t="str">
        <f>Raw_Production!C334</f>
        <v>Sewing</v>
      </c>
      <c r="C334" s="3" t="str">
        <f>Raw_Production!D334</f>
        <v>T02</v>
      </c>
      <c r="D334" s="3" t="str">
        <f>Raw_Production!P334</f>
        <v>ST-108</v>
      </c>
      <c r="E334" s="3" t="str">
        <f>Raw_Production!O334</f>
        <v>Hoodie</v>
      </c>
      <c r="F334" s="6">
        <f>Raw_Production!G334</f>
        <v>0.76</v>
      </c>
      <c r="G334" s="6">
        <f>Raw_Production!N334</f>
        <v>0.73</v>
      </c>
      <c r="H334" s="6">
        <f t="shared" si="5"/>
        <v>-3.0000000000000027E-2</v>
      </c>
      <c r="I334" s="3">
        <f>Raw_Production!I334</f>
        <v>351</v>
      </c>
      <c r="J334" s="3">
        <f>Raw_Production!J334</f>
        <v>85</v>
      </c>
      <c r="K334" s="3">
        <f>Raw_Production!L334</f>
        <v>26</v>
      </c>
      <c r="L334" s="3">
        <f>Raw_Production!M334</f>
        <v>3</v>
      </c>
      <c r="M334" s="3">
        <f>Raw_Production!F334</f>
        <v>0</v>
      </c>
      <c r="N334" s="3">
        <f>Raw_Production!K334</f>
        <v>4303</v>
      </c>
      <c r="O334" s="3">
        <f>Raw_Production!H334</f>
        <v>17.8</v>
      </c>
      <c r="P334" s="3">
        <f>Raw_Production!E334</f>
        <v>30</v>
      </c>
    </row>
    <row r="335" spans="1:16" x14ac:dyDescent="0.3">
      <c r="A335" s="4">
        <f>Raw_Production!A335</f>
        <v>46082</v>
      </c>
      <c r="B335" s="3" t="str">
        <f>Raw_Production!C335</f>
        <v>Sewing</v>
      </c>
      <c r="C335" s="3" t="str">
        <f>Raw_Production!D335</f>
        <v>T03</v>
      </c>
      <c r="D335" s="3" t="str">
        <f>Raw_Production!P335</f>
        <v>ST-104</v>
      </c>
      <c r="E335" s="3" t="str">
        <f>Raw_Production!O335</f>
        <v>Shirt</v>
      </c>
      <c r="F335" s="6">
        <f>Raw_Production!G335</f>
        <v>0.73</v>
      </c>
      <c r="G335" s="6">
        <f>Raw_Production!N335</f>
        <v>0.61</v>
      </c>
      <c r="H335" s="6">
        <f t="shared" si="5"/>
        <v>-0.12</v>
      </c>
      <c r="I335" s="3">
        <f>Raw_Production!I335</f>
        <v>64</v>
      </c>
      <c r="J335" s="3">
        <f>Raw_Production!J335</f>
        <v>145</v>
      </c>
      <c r="K335" s="3">
        <f>Raw_Production!L335</f>
        <v>15</v>
      </c>
      <c r="L335" s="3">
        <f>Raw_Production!M335</f>
        <v>4</v>
      </c>
      <c r="M335" s="3">
        <f>Raw_Production!F335</f>
        <v>0</v>
      </c>
      <c r="N335" s="3">
        <f>Raw_Production!K335</f>
        <v>890</v>
      </c>
      <c r="O335" s="3">
        <f>Raw_Production!H335</f>
        <v>11.5</v>
      </c>
      <c r="P335" s="3">
        <f>Raw_Production!E335</f>
        <v>26</v>
      </c>
    </row>
    <row r="336" spans="1:16" x14ac:dyDescent="0.3">
      <c r="A336" s="4">
        <f>Raw_Production!A336</f>
        <v>46082</v>
      </c>
      <c r="B336" s="3" t="str">
        <f>Raw_Production!C336</f>
        <v>Finishing</v>
      </c>
      <c r="C336" s="3" t="str">
        <f>Raw_Production!D336</f>
        <v>T04</v>
      </c>
      <c r="D336" s="3" t="str">
        <f>Raw_Production!P336</f>
        <v>ST-102</v>
      </c>
      <c r="E336" s="3" t="str">
        <f>Raw_Production!O336</f>
        <v>Polo</v>
      </c>
      <c r="F336" s="6">
        <f>Raw_Production!G336</f>
        <v>0.82</v>
      </c>
      <c r="G336" s="6">
        <f>Raw_Production!N336</f>
        <v>0.85</v>
      </c>
      <c r="H336" s="6">
        <f t="shared" si="5"/>
        <v>3.0000000000000027E-2</v>
      </c>
      <c r="I336" s="3">
        <f>Raw_Production!I336</f>
        <v>289</v>
      </c>
      <c r="J336" s="3">
        <f>Raw_Production!J336</f>
        <v>88</v>
      </c>
      <c r="K336" s="3">
        <f>Raw_Production!L336</f>
        <v>26</v>
      </c>
      <c r="L336" s="3">
        <f>Raw_Production!M336</f>
        <v>5</v>
      </c>
      <c r="M336" s="3">
        <f>Raw_Production!F336</f>
        <v>0</v>
      </c>
      <c r="N336" s="3">
        <f>Raw_Production!K336</f>
        <v>1542</v>
      </c>
      <c r="O336" s="3">
        <f>Raw_Production!H336</f>
        <v>17</v>
      </c>
      <c r="P336" s="3">
        <f>Raw_Production!E336</f>
        <v>21</v>
      </c>
    </row>
    <row r="337" spans="1:16" x14ac:dyDescent="0.3">
      <c r="A337" s="4">
        <f>Raw_Production!A337</f>
        <v>46082</v>
      </c>
      <c r="B337" s="3" t="str">
        <f>Raw_Production!C337</f>
        <v>Finishing</v>
      </c>
      <c r="C337" s="3" t="str">
        <f>Raw_Production!D337</f>
        <v>T05</v>
      </c>
      <c r="D337" s="3" t="str">
        <f>Raw_Production!P337</f>
        <v>ST-104</v>
      </c>
      <c r="E337" s="3" t="str">
        <f>Raw_Production!O337</f>
        <v>Shirt</v>
      </c>
      <c r="F337" s="6">
        <f>Raw_Production!G337</f>
        <v>0.76</v>
      </c>
      <c r="G337" s="6">
        <f>Raw_Production!N337</f>
        <v>0.63</v>
      </c>
      <c r="H337" s="6">
        <f t="shared" si="5"/>
        <v>-0.13</v>
      </c>
      <c r="I337" s="3">
        <f>Raw_Production!I337</f>
        <v>171</v>
      </c>
      <c r="J337" s="3">
        <f>Raw_Production!J337</f>
        <v>63</v>
      </c>
      <c r="K337" s="3">
        <f>Raw_Production!L337</f>
        <v>114</v>
      </c>
      <c r="L337" s="3">
        <f>Raw_Production!M337</f>
        <v>7</v>
      </c>
      <c r="M337" s="3">
        <f>Raw_Production!F337</f>
        <v>1</v>
      </c>
      <c r="N337" s="3">
        <f>Raw_Production!K337</f>
        <v>332</v>
      </c>
      <c r="O337" s="3">
        <f>Raw_Production!H337</f>
        <v>11.9</v>
      </c>
      <c r="P337" s="3">
        <f>Raw_Production!E337</f>
        <v>29</v>
      </c>
    </row>
    <row r="338" spans="1:16" x14ac:dyDescent="0.3">
      <c r="A338" s="4">
        <f>Raw_Production!A338</f>
        <v>46083</v>
      </c>
      <c r="B338" s="3" t="str">
        <f>Raw_Production!C338</f>
        <v>Cutting</v>
      </c>
      <c r="C338" s="3" t="str">
        <f>Raw_Production!D338</f>
        <v>T01</v>
      </c>
      <c r="D338" s="3" t="str">
        <f>Raw_Production!P338</f>
        <v>ST-109</v>
      </c>
      <c r="E338" s="3" t="str">
        <f>Raw_Production!O338</f>
        <v>Shirt</v>
      </c>
      <c r="F338" s="6">
        <f>Raw_Production!G338</f>
        <v>0.77</v>
      </c>
      <c r="G338" s="6">
        <f>Raw_Production!N338</f>
        <v>0.53</v>
      </c>
      <c r="H338" s="6">
        <f t="shared" si="5"/>
        <v>-0.24</v>
      </c>
      <c r="I338" s="3">
        <f>Raw_Production!I338</f>
        <v>396</v>
      </c>
      <c r="J338" s="3">
        <f>Raw_Production!J338</f>
        <v>24</v>
      </c>
      <c r="K338" s="3">
        <f>Raw_Production!L338</f>
        <v>82</v>
      </c>
      <c r="L338" s="3">
        <f>Raw_Production!M338</f>
        <v>4</v>
      </c>
      <c r="M338" s="3">
        <f>Raw_Production!F338</f>
        <v>4</v>
      </c>
      <c r="N338" s="3">
        <f>Raw_Production!K338</f>
        <v>341</v>
      </c>
      <c r="O338" s="3">
        <f>Raw_Production!H338</f>
        <v>8.8000000000000007</v>
      </c>
      <c r="P338" s="3">
        <f>Raw_Production!E338</f>
        <v>31</v>
      </c>
    </row>
    <row r="339" spans="1:16" x14ac:dyDescent="0.3">
      <c r="A339" s="4">
        <f>Raw_Production!A339</f>
        <v>46083</v>
      </c>
      <c r="B339" s="3" t="str">
        <f>Raw_Production!C339</f>
        <v>Cutting</v>
      </c>
      <c r="C339" s="3" t="str">
        <f>Raw_Production!D339</f>
        <v>T06</v>
      </c>
      <c r="D339" s="3" t="str">
        <f>Raw_Production!P339</f>
        <v>ST-104</v>
      </c>
      <c r="E339" s="3" t="str">
        <f>Raw_Production!O339</f>
        <v>Shirt</v>
      </c>
      <c r="F339" s="6">
        <f>Raw_Production!G339</f>
        <v>0.78</v>
      </c>
      <c r="G339" s="6">
        <f>Raw_Production!N339</f>
        <v>0.74</v>
      </c>
      <c r="H339" s="6">
        <f t="shared" si="5"/>
        <v>-4.0000000000000036E-2</v>
      </c>
      <c r="I339" s="3">
        <f>Raw_Production!I339</f>
        <v>142</v>
      </c>
      <c r="J339" s="3">
        <f>Raw_Production!J339</f>
        <v>17</v>
      </c>
      <c r="K339" s="3">
        <f>Raw_Production!L339</f>
        <v>75</v>
      </c>
      <c r="L339" s="3">
        <f>Raw_Production!M339</f>
        <v>5</v>
      </c>
      <c r="M339" s="3">
        <f>Raw_Production!F339</f>
        <v>0</v>
      </c>
      <c r="N339" s="3">
        <f>Raw_Production!K339</f>
        <v>1280</v>
      </c>
      <c r="O339" s="3">
        <f>Raw_Production!H339</f>
        <v>12.4</v>
      </c>
      <c r="P339" s="3">
        <f>Raw_Production!E339</f>
        <v>24</v>
      </c>
    </row>
    <row r="340" spans="1:16" x14ac:dyDescent="0.3">
      <c r="A340" s="4">
        <f>Raw_Production!A340</f>
        <v>46083</v>
      </c>
      <c r="B340" s="3" t="str">
        <f>Raw_Production!C340</f>
        <v>Sewing</v>
      </c>
      <c r="C340" s="3" t="str">
        <f>Raw_Production!D340</f>
        <v>T02</v>
      </c>
      <c r="D340" s="3" t="str">
        <f>Raw_Production!P340</f>
        <v>ST-102</v>
      </c>
      <c r="E340" s="3" t="str">
        <f>Raw_Production!O340</f>
        <v>Polo</v>
      </c>
      <c r="F340" s="6">
        <f>Raw_Production!G340</f>
        <v>0.86</v>
      </c>
      <c r="G340" s="6">
        <f>Raw_Production!N340</f>
        <v>0.88</v>
      </c>
      <c r="H340" s="6">
        <f t="shared" si="5"/>
        <v>2.0000000000000018E-2</v>
      </c>
      <c r="I340" s="3">
        <f>Raw_Production!I340</f>
        <v>258</v>
      </c>
      <c r="J340" s="3">
        <f>Raw_Production!J340</f>
        <v>143</v>
      </c>
      <c r="K340" s="3">
        <f>Raw_Production!L340</f>
        <v>97</v>
      </c>
      <c r="L340" s="3">
        <f>Raw_Production!M340</f>
        <v>7</v>
      </c>
      <c r="M340" s="3">
        <f>Raw_Production!F340</f>
        <v>1</v>
      </c>
      <c r="N340" s="3">
        <f>Raw_Production!K340</f>
        <v>3293</v>
      </c>
      <c r="O340" s="3">
        <f>Raw_Production!H340</f>
        <v>16.899999999999999</v>
      </c>
      <c r="P340" s="3">
        <f>Raw_Production!E340</f>
        <v>32</v>
      </c>
    </row>
    <row r="341" spans="1:16" x14ac:dyDescent="0.3">
      <c r="A341" s="4">
        <f>Raw_Production!A341</f>
        <v>46083</v>
      </c>
      <c r="B341" s="3" t="str">
        <f>Raw_Production!C341</f>
        <v>Sewing</v>
      </c>
      <c r="C341" s="3" t="str">
        <f>Raw_Production!D341</f>
        <v>T03</v>
      </c>
      <c r="D341" s="3" t="str">
        <f>Raw_Production!P341</f>
        <v>ST-109</v>
      </c>
      <c r="E341" s="3" t="str">
        <f>Raw_Production!O341</f>
        <v>Shirt</v>
      </c>
      <c r="F341" s="6">
        <f>Raw_Production!G341</f>
        <v>0.73</v>
      </c>
      <c r="G341" s="6">
        <f>Raw_Production!N341</f>
        <v>0.78</v>
      </c>
      <c r="H341" s="6">
        <f t="shared" si="5"/>
        <v>5.0000000000000044E-2</v>
      </c>
      <c r="I341" s="3">
        <f>Raw_Production!I341</f>
        <v>325</v>
      </c>
      <c r="J341" s="3">
        <f>Raw_Production!J341</f>
        <v>119</v>
      </c>
      <c r="K341" s="3">
        <f>Raw_Production!L341</f>
        <v>75</v>
      </c>
      <c r="L341" s="3">
        <f>Raw_Production!M341</f>
        <v>5</v>
      </c>
      <c r="M341" s="3">
        <f>Raw_Production!F341</f>
        <v>0</v>
      </c>
      <c r="N341" s="3">
        <f>Raw_Production!K341</f>
        <v>1077</v>
      </c>
      <c r="O341" s="3">
        <f>Raw_Production!H341</f>
        <v>9</v>
      </c>
      <c r="P341" s="3">
        <f>Raw_Production!E341</f>
        <v>23</v>
      </c>
    </row>
    <row r="342" spans="1:16" x14ac:dyDescent="0.3">
      <c r="A342" s="4">
        <f>Raw_Production!A342</f>
        <v>46083</v>
      </c>
      <c r="B342" s="3" t="str">
        <f>Raw_Production!C342</f>
        <v>Finishing</v>
      </c>
      <c r="C342" s="3" t="str">
        <f>Raw_Production!D342</f>
        <v>T04</v>
      </c>
      <c r="D342" s="3" t="str">
        <f>Raw_Production!P342</f>
        <v>ST-108</v>
      </c>
      <c r="E342" s="3" t="str">
        <f>Raw_Production!O342</f>
        <v>Hoodie</v>
      </c>
      <c r="F342" s="6">
        <f>Raw_Production!G342</f>
        <v>0.85</v>
      </c>
      <c r="G342" s="6">
        <f>Raw_Production!N342</f>
        <v>0.89</v>
      </c>
      <c r="H342" s="6">
        <f t="shared" si="5"/>
        <v>4.0000000000000036E-2</v>
      </c>
      <c r="I342" s="3">
        <f>Raw_Production!I342</f>
        <v>93</v>
      </c>
      <c r="J342" s="3">
        <f>Raw_Production!J342</f>
        <v>117</v>
      </c>
      <c r="K342" s="3">
        <f>Raw_Production!L342</f>
        <v>68</v>
      </c>
      <c r="L342" s="3">
        <f>Raw_Production!M342</f>
        <v>1</v>
      </c>
      <c r="M342" s="3">
        <f>Raw_Production!F342</f>
        <v>1</v>
      </c>
      <c r="N342" s="3">
        <f>Raw_Production!K342</f>
        <v>1723</v>
      </c>
      <c r="O342" s="3">
        <f>Raw_Production!H342</f>
        <v>10.9</v>
      </c>
      <c r="P342" s="3">
        <f>Raw_Production!E342</f>
        <v>25</v>
      </c>
    </row>
    <row r="343" spans="1:16" x14ac:dyDescent="0.3">
      <c r="A343" s="4">
        <f>Raw_Production!A343</f>
        <v>46083</v>
      </c>
      <c r="B343" s="3" t="str">
        <f>Raw_Production!C343</f>
        <v>Finishing</v>
      </c>
      <c r="C343" s="3" t="str">
        <f>Raw_Production!D343</f>
        <v>T05</v>
      </c>
      <c r="D343" s="3" t="str">
        <f>Raw_Production!P343</f>
        <v>ST-103</v>
      </c>
      <c r="E343" s="3" t="str">
        <f>Raw_Production!O343</f>
        <v>Hoodie</v>
      </c>
      <c r="F343" s="6">
        <f>Raw_Production!G343</f>
        <v>0.82</v>
      </c>
      <c r="G343" s="6">
        <f>Raw_Production!N343</f>
        <v>0.88</v>
      </c>
      <c r="H343" s="6">
        <f t="shared" si="5"/>
        <v>6.0000000000000053E-2</v>
      </c>
      <c r="I343" s="3">
        <f>Raw_Production!I343</f>
        <v>392</v>
      </c>
      <c r="J343" s="3">
        <f>Raw_Production!J343</f>
        <v>15</v>
      </c>
      <c r="K343" s="3">
        <f>Raw_Production!L343</f>
        <v>57</v>
      </c>
      <c r="L343" s="3">
        <f>Raw_Production!M343</f>
        <v>4</v>
      </c>
      <c r="M343" s="3">
        <f>Raw_Production!F343</f>
        <v>0</v>
      </c>
      <c r="N343" s="3">
        <f>Raw_Production!K343</f>
        <v>3334</v>
      </c>
      <c r="O343" s="3">
        <f>Raw_Production!H343</f>
        <v>9.5</v>
      </c>
      <c r="P343" s="3">
        <f>Raw_Production!E343</f>
        <v>24</v>
      </c>
    </row>
    <row r="344" spans="1:16" x14ac:dyDescent="0.3">
      <c r="A344" s="4">
        <f>Raw_Production!A344</f>
        <v>46084</v>
      </c>
      <c r="B344" s="3" t="str">
        <f>Raw_Production!C344</f>
        <v>Cutting</v>
      </c>
      <c r="C344" s="3" t="str">
        <f>Raw_Production!D344</f>
        <v>T01</v>
      </c>
      <c r="D344" s="3" t="str">
        <f>Raw_Production!P344</f>
        <v>ST-102</v>
      </c>
      <c r="E344" s="3" t="str">
        <f>Raw_Production!O344</f>
        <v>Polo</v>
      </c>
      <c r="F344" s="6">
        <f>Raw_Production!G344</f>
        <v>0.74</v>
      </c>
      <c r="G344" s="6">
        <f>Raw_Production!N344</f>
        <v>0.56999999999999995</v>
      </c>
      <c r="H344" s="6">
        <f t="shared" si="5"/>
        <v>-0.17000000000000004</v>
      </c>
      <c r="I344" s="3">
        <f>Raw_Production!I344</f>
        <v>363</v>
      </c>
      <c r="J344" s="3">
        <f>Raw_Production!J344</f>
        <v>39</v>
      </c>
      <c r="K344" s="3">
        <f>Raw_Production!L344</f>
        <v>47</v>
      </c>
      <c r="L344" s="3">
        <f>Raw_Production!M344</f>
        <v>5</v>
      </c>
      <c r="M344" s="3">
        <f>Raw_Production!F344</f>
        <v>3</v>
      </c>
      <c r="N344" s="3">
        <f>Raw_Production!K344</f>
        <v>4433</v>
      </c>
      <c r="O344" s="3">
        <f>Raw_Production!H344</f>
        <v>10.5</v>
      </c>
      <c r="P344" s="3">
        <f>Raw_Production!E344</f>
        <v>24</v>
      </c>
    </row>
    <row r="345" spans="1:16" x14ac:dyDescent="0.3">
      <c r="A345" s="4">
        <f>Raw_Production!A345</f>
        <v>46084</v>
      </c>
      <c r="B345" s="3" t="str">
        <f>Raw_Production!C345</f>
        <v>Cutting</v>
      </c>
      <c r="C345" s="3" t="str">
        <f>Raw_Production!D345</f>
        <v>T06</v>
      </c>
      <c r="D345" s="3" t="str">
        <f>Raw_Production!P345</f>
        <v>ST-106</v>
      </c>
      <c r="E345" s="3" t="str">
        <f>Raw_Production!O345</f>
        <v>T-Shirt</v>
      </c>
      <c r="F345" s="6">
        <f>Raw_Production!G345</f>
        <v>0.87</v>
      </c>
      <c r="G345" s="6">
        <f>Raw_Production!N345</f>
        <v>0.74</v>
      </c>
      <c r="H345" s="6">
        <f t="shared" si="5"/>
        <v>-0.13</v>
      </c>
      <c r="I345" s="3">
        <f>Raw_Production!I345</f>
        <v>149</v>
      </c>
      <c r="J345" s="3">
        <f>Raw_Production!J345</f>
        <v>89</v>
      </c>
      <c r="K345" s="3">
        <f>Raw_Production!L345</f>
        <v>32</v>
      </c>
      <c r="L345" s="3">
        <f>Raw_Production!M345</f>
        <v>6</v>
      </c>
      <c r="M345" s="3">
        <f>Raw_Production!F345</f>
        <v>2</v>
      </c>
      <c r="N345" s="3">
        <f>Raw_Production!K345</f>
        <v>3202</v>
      </c>
      <c r="O345" s="3">
        <f>Raw_Production!H345</f>
        <v>12.1</v>
      </c>
      <c r="P345" s="3">
        <f>Raw_Production!E345</f>
        <v>30</v>
      </c>
    </row>
    <row r="346" spans="1:16" x14ac:dyDescent="0.3">
      <c r="A346" s="4">
        <f>Raw_Production!A346</f>
        <v>46084</v>
      </c>
      <c r="B346" s="3" t="str">
        <f>Raw_Production!C346</f>
        <v>Sewing</v>
      </c>
      <c r="C346" s="3" t="str">
        <f>Raw_Production!D346</f>
        <v>T02</v>
      </c>
      <c r="D346" s="3" t="str">
        <f>Raw_Production!P346</f>
        <v>ST-105</v>
      </c>
      <c r="E346" s="3" t="str">
        <f>Raw_Production!O346</f>
        <v>Jacket</v>
      </c>
      <c r="F346" s="6">
        <f>Raw_Production!G346</f>
        <v>0.87</v>
      </c>
      <c r="G346" s="6">
        <f>Raw_Production!N346</f>
        <v>0.84</v>
      </c>
      <c r="H346" s="6">
        <f t="shared" si="5"/>
        <v>-3.0000000000000027E-2</v>
      </c>
      <c r="I346" s="3">
        <f>Raw_Production!I346</f>
        <v>212</v>
      </c>
      <c r="J346" s="3">
        <f>Raw_Production!J346</f>
        <v>99</v>
      </c>
      <c r="K346" s="3">
        <f>Raw_Production!L346</f>
        <v>0</v>
      </c>
      <c r="L346" s="3">
        <f>Raw_Production!M346</f>
        <v>0</v>
      </c>
      <c r="M346" s="3">
        <f>Raw_Production!F346</f>
        <v>0</v>
      </c>
      <c r="N346" s="3">
        <f>Raw_Production!K346</f>
        <v>4430</v>
      </c>
      <c r="O346" s="3">
        <f>Raw_Production!H346</f>
        <v>10.199999999999999</v>
      </c>
      <c r="P346" s="3">
        <f>Raw_Production!E346</f>
        <v>20</v>
      </c>
    </row>
    <row r="347" spans="1:16" x14ac:dyDescent="0.3">
      <c r="A347" s="4">
        <f>Raw_Production!A347</f>
        <v>46084</v>
      </c>
      <c r="B347" s="3" t="str">
        <f>Raw_Production!C347</f>
        <v>Sewing</v>
      </c>
      <c r="C347" s="3" t="str">
        <f>Raw_Production!D347</f>
        <v>T03</v>
      </c>
      <c r="D347" s="3" t="str">
        <f>Raw_Production!P347</f>
        <v>ST-102</v>
      </c>
      <c r="E347" s="3" t="str">
        <f>Raw_Production!O347</f>
        <v>Polo</v>
      </c>
      <c r="F347" s="6">
        <f>Raw_Production!G347</f>
        <v>0.81</v>
      </c>
      <c r="G347" s="6">
        <f>Raw_Production!N347</f>
        <v>0.82</v>
      </c>
      <c r="H347" s="6">
        <f t="shared" si="5"/>
        <v>9.9999999999998979E-3</v>
      </c>
      <c r="I347" s="3">
        <f>Raw_Production!I347</f>
        <v>161</v>
      </c>
      <c r="J347" s="3">
        <f>Raw_Production!J347</f>
        <v>2</v>
      </c>
      <c r="K347" s="3">
        <f>Raw_Production!L347</f>
        <v>45</v>
      </c>
      <c r="L347" s="3">
        <f>Raw_Production!M347</f>
        <v>6</v>
      </c>
      <c r="M347" s="3">
        <f>Raw_Production!F347</f>
        <v>0</v>
      </c>
      <c r="N347" s="3">
        <f>Raw_Production!K347</f>
        <v>1885</v>
      </c>
      <c r="O347" s="3">
        <f>Raw_Production!H347</f>
        <v>12.4</v>
      </c>
      <c r="P347" s="3">
        <f>Raw_Production!E347</f>
        <v>24</v>
      </c>
    </row>
    <row r="348" spans="1:16" x14ac:dyDescent="0.3">
      <c r="A348" s="4">
        <f>Raw_Production!A348</f>
        <v>46084</v>
      </c>
      <c r="B348" s="3" t="str">
        <f>Raw_Production!C348</f>
        <v>Finishing</v>
      </c>
      <c r="C348" s="3" t="str">
        <f>Raw_Production!D348</f>
        <v>T04</v>
      </c>
      <c r="D348" s="3" t="str">
        <f>Raw_Production!P348</f>
        <v>ST-108</v>
      </c>
      <c r="E348" s="3" t="str">
        <f>Raw_Production!O348</f>
        <v>Hoodie</v>
      </c>
      <c r="F348" s="6">
        <f>Raw_Production!G348</f>
        <v>0.85</v>
      </c>
      <c r="G348" s="6">
        <f>Raw_Production!N348</f>
        <v>0.85</v>
      </c>
      <c r="H348" s="6">
        <f t="shared" si="5"/>
        <v>0</v>
      </c>
      <c r="I348" s="3">
        <f>Raw_Production!I348</f>
        <v>300</v>
      </c>
      <c r="J348" s="3">
        <f>Raw_Production!J348</f>
        <v>125</v>
      </c>
      <c r="K348" s="3">
        <f>Raw_Production!L348</f>
        <v>13</v>
      </c>
      <c r="L348" s="3">
        <f>Raw_Production!M348</f>
        <v>0</v>
      </c>
      <c r="M348" s="3">
        <f>Raw_Production!F348</f>
        <v>3</v>
      </c>
      <c r="N348" s="3">
        <f>Raw_Production!K348</f>
        <v>2607</v>
      </c>
      <c r="O348" s="3">
        <f>Raw_Production!H348</f>
        <v>16.899999999999999</v>
      </c>
      <c r="P348" s="3">
        <f>Raw_Production!E348</f>
        <v>36</v>
      </c>
    </row>
    <row r="349" spans="1:16" x14ac:dyDescent="0.3">
      <c r="A349" s="4">
        <f>Raw_Production!A349</f>
        <v>46084</v>
      </c>
      <c r="B349" s="3" t="str">
        <f>Raw_Production!C349</f>
        <v>Finishing</v>
      </c>
      <c r="C349" s="3" t="str">
        <f>Raw_Production!D349</f>
        <v>T05</v>
      </c>
      <c r="D349" s="3" t="str">
        <f>Raw_Production!P349</f>
        <v>ST-108</v>
      </c>
      <c r="E349" s="3" t="str">
        <f>Raw_Production!O349</f>
        <v>Hoodie</v>
      </c>
      <c r="F349" s="6">
        <f>Raw_Production!G349</f>
        <v>0.77</v>
      </c>
      <c r="G349" s="6">
        <f>Raw_Production!N349</f>
        <v>0.74</v>
      </c>
      <c r="H349" s="6">
        <f t="shared" si="5"/>
        <v>-3.0000000000000027E-2</v>
      </c>
      <c r="I349" s="3">
        <f>Raw_Production!I349</f>
        <v>357</v>
      </c>
      <c r="J349" s="3">
        <f>Raw_Production!J349</f>
        <v>130</v>
      </c>
      <c r="K349" s="3">
        <f>Raw_Production!L349</f>
        <v>113</v>
      </c>
      <c r="L349" s="3">
        <f>Raw_Production!M349</f>
        <v>1</v>
      </c>
      <c r="M349" s="3">
        <f>Raw_Production!F349</f>
        <v>1</v>
      </c>
      <c r="N349" s="3">
        <f>Raw_Production!K349</f>
        <v>3392</v>
      </c>
      <c r="O349" s="3">
        <f>Raw_Production!H349</f>
        <v>18.3</v>
      </c>
      <c r="P349" s="3">
        <f>Raw_Production!E349</f>
        <v>21</v>
      </c>
    </row>
    <row r="350" spans="1:16" x14ac:dyDescent="0.3">
      <c r="A350" s="4">
        <f>Raw_Production!A350</f>
        <v>46085</v>
      </c>
      <c r="B350" s="3" t="str">
        <f>Raw_Production!C350</f>
        <v>Cutting</v>
      </c>
      <c r="C350" s="3" t="str">
        <f>Raw_Production!D350</f>
        <v>T01</v>
      </c>
      <c r="D350" s="3" t="str">
        <f>Raw_Production!P350</f>
        <v>ST-108</v>
      </c>
      <c r="E350" s="3" t="str">
        <f>Raw_Production!O350</f>
        <v>Hoodie</v>
      </c>
      <c r="F350" s="6">
        <f>Raw_Production!G350</f>
        <v>0.85</v>
      </c>
      <c r="G350" s="6">
        <f>Raw_Production!N350</f>
        <v>0.83</v>
      </c>
      <c r="H350" s="6">
        <f t="shared" si="5"/>
        <v>-2.0000000000000018E-2</v>
      </c>
      <c r="I350" s="3">
        <f>Raw_Production!I350</f>
        <v>170</v>
      </c>
      <c r="J350" s="3">
        <f>Raw_Production!J350</f>
        <v>113</v>
      </c>
      <c r="K350" s="3">
        <f>Raw_Production!L350</f>
        <v>110</v>
      </c>
      <c r="L350" s="3">
        <f>Raw_Production!M350</f>
        <v>5</v>
      </c>
      <c r="M350" s="3">
        <f>Raw_Production!F350</f>
        <v>1</v>
      </c>
      <c r="N350" s="3">
        <f>Raw_Production!K350</f>
        <v>3934</v>
      </c>
      <c r="O350" s="3">
        <f>Raw_Production!H350</f>
        <v>14.6</v>
      </c>
      <c r="P350" s="3">
        <f>Raw_Production!E350</f>
        <v>27</v>
      </c>
    </row>
    <row r="351" spans="1:16" x14ac:dyDescent="0.3">
      <c r="A351" s="4">
        <f>Raw_Production!A351</f>
        <v>46085</v>
      </c>
      <c r="B351" s="3" t="str">
        <f>Raw_Production!C351</f>
        <v>Cutting</v>
      </c>
      <c r="C351" s="3" t="str">
        <f>Raw_Production!D351</f>
        <v>T06</v>
      </c>
      <c r="D351" s="3" t="str">
        <f>Raw_Production!P351</f>
        <v>ST-104</v>
      </c>
      <c r="E351" s="3" t="str">
        <f>Raw_Production!O351</f>
        <v>Shirt</v>
      </c>
      <c r="F351" s="6">
        <f>Raw_Production!G351</f>
        <v>0.85</v>
      </c>
      <c r="G351" s="6">
        <f>Raw_Production!N351</f>
        <v>0.82</v>
      </c>
      <c r="H351" s="6">
        <f t="shared" si="5"/>
        <v>-3.0000000000000027E-2</v>
      </c>
      <c r="I351" s="3">
        <f>Raw_Production!I351</f>
        <v>184</v>
      </c>
      <c r="J351" s="3">
        <f>Raw_Production!J351</f>
        <v>67</v>
      </c>
      <c r="K351" s="3">
        <f>Raw_Production!L351</f>
        <v>10</v>
      </c>
      <c r="L351" s="3">
        <f>Raw_Production!M351</f>
        <v>0</v>
      </c>
      <c r="M351" s="3">
        <f>Raw_Production!F351</f>
        <v>4</v>
      </c>
      <c r="N351" s="3">
        <f>Raw_Production!K351</f>
        <v>4288</v>
      </c>
      <c r="O351" s="3">
        <f>Raw_Production!H351</f>
        <v>8.1999999999999993</v>
      </c>
      <c r="P351" s="3">
        <f>Raw_Production!E351</f>
        <v>21</v>
      </c>
    </row>
    <row r="352" spans="1:16" x14ac:dyDescent="0.3">
      <c r="A352" s="4">
        <f>Raw_Production!A352</f>
        <v>46085</v>
      </c>
      <c r="B352" s="3" t="str">
        <f>Raw_Production!C352</f>
        <v>Sewing</v>
      </c>
      <c r="C352" s="3" t="str">
        <f>Raw_Production!D352</f>
        <v>T02</v>
      </c>
      <c r="D352" s="3" t="str">
        <f>Raw_Production!P352</f>
        <v>ST-102</v>
      </c>
      <c r="E352" s="3" t="str">
        <f>Raw_Production!O352</f>
        <v>Polo</v>
      </c>
      <c r="F352" s="6">
        <f>Raw_Production!G352</f>
        <v>0.82</v>
      </c>
      <c r="G352" s="6">
        <f>Raw_Production!N352</f>
        <v>0.66</v>
      </c>
      <c r="H352" s="6">
        <f t="shared" si="5"/>
        <v>-0.15999999999999992</v>
      </c>
      <c r="I352" s="3">
        <f>Raw_Production!I352</f>
        <v>366</v>
      </c>
      <c r="J352" s="3">
        <f>Raw_Production!J352</f>
        <v>42</v>
      </c>
      <c r="K352" s="3">
        <f>Raw_Production!L352</f>
        <v>95</v>
      </c>
      <c r="L352" s="3">
        <f>Raw_Production!M352</f>
        <v>6</v>
      </c>
      <c r="M352" s="3">
        <f>Raw_Production!F352</f>
        <v>0</v>
      </c>
      <c r="N352" s="3">
        <f>Raw_Production!K352</f>
        <v>2990</v>
      </c>
      <c r="O352" s="3">
        <f>Raw_Production!H352</f>
        <v>13.5</v>
      </c>
      <c r="P352" s="3">
        <f>Raw_Production!E352</f>
        <v>27</v>
      </c>
    </row>
    <row r="353" spans="1:16" x14ac:dyDescent="0.3">
      <c r="A353" s="4">
        <f>Raw_Production!A353</f>
        <v>46085</v>
      </c>
      <c r="B353" s="3" t="str">
        <f>Raw_Production!C353</f>
        <v>Sewing</v>
      </c>
      <c r="C353" s="3" t="str">
        <f>Raw_Production!D353</f>
        <v>T03</v>
      </c>
      <c r="D353" s="3" t="str">
        <f>Raw_Production!P353</f>
        <v>ST-103</v>
      </c>
      <c r="E353" s="3" t="str">
        <f>Raw_Production!O353</f>
        <v>Hoodie</v>
      </c>
      <c r="F353" s="6">
        <f>Raw_Production!G353</f>
        <v>0.83</v>
      </c>
      <c r="G353" s="6">
        <f>Raw_Production!N353</f>
        <v>0.62</v>
      </c>
      <c r="H353" s="6">
        <f t="shared" si="5"/>
        <v>-0.20999999999999996</v>
      </c>
      <c r="I353" s="3">
        <f>Raw_Production!I353</f>
        <v>233</v>
      </c>
      <c r="J353" s="3">
        <f>Raw_Production!J353</f>
        <v>51</v>
      </c>
      <c r="K353" s="3">
        <f>Raw_Production!L353</f>
        <v>90</v>
      </c>
      <c r="L353" s="3">
        <f>Raw_Production!M353</f>
        <v>4</v>
      </c>
      <c r="M353" s="3">
        <f>Raw_Production!F353</f>
        <v>3</v>
      </c>
      <c r="N353" s="3">
        <f>Raw_Production!K353</f>
        <v>3177</v>
      </c>
      <c r="O353" s="3">
        <f>Raw_Production!H353</f>
        <v>8.1999999999999993</v>
      </c>
      <c r="P353" s="3">
        <f>Raw_Production!E353</f>
        <v>33</v>
      </c>
    </row>
    <row r="354" spans="1:16" x14ac:dyDescent="0.3">
      <c r="A354" s="4">
        <f>Raw_Production!A354</f>
        <v>46085</v>
      </c>
      <c r="B354" s="3" t="str">
        <f>Raw_Production!C354</f>
        <v>Finishing</v>
      </c>
      <c r="C354" s="3" t="str">
        <f>Raw_Production!D354</f>
        <v>T04</v>
      </c>
      <c r="D354" s="3" t="str">
        <f>Raw_Production!P354</f>
        <v>ST-105</v>
      </c>
      <c r="E354" s="3" t="str">
        <f>Raw_Production!O354</f>
        <v>Jacket</v>
      </c>
      <c r="F354" s="6">
        <f>Raw_Production!G354</f>
        <v>0.72</v>
      </c>
      <c r="G354" s="6">
        <f>Raw_Production!N354</f>
        <v>0.68</v>
      </c>
      <c r="H354" s="6">
        <f t="shared" si="5"/>
        <v>-3.9999999999999925E-2</v>
      </c>
      <c r="I354" s="3">
        <f>Raw_Production!I354</f>
        <v>120</v>
      </c>
      <c r="J354" s="3">
        <f>Raw_Production!J354</f>
        <v>28</v>
      </c>
      <c r="K354" s="3">
        <f>Raw_Production!L354</f>
        <v>110</v>
      </c>
      <c r="L354" s="3">
        <f>Raw_Production!M354</f>
        <v>9</v>
      </c>
      <c r="M354" s="3">
        <f>Raw_Production!F354</f>
        <v>2</v>
      </c>
      <c r="N354" s="3">
        <f>Raw_Production!K354</f>
        <v>370</v>
      </c>
      <c r="O354" s="3">
        <f>Raw_Production!H354</f>
        <v>13.8</v>
      </c>
      <c r="P354" s="3">
        <f>Raw_Production!E354</f>
        <v>37</v>
      </c>
    </row>
    <row r="355" spans="1:16" x14ac:dyDescent="0.3">
      <c r="A355" s="4">
        <f>Raw_Production!A355</f>
        <v>46085</v>
      </c>
      <c r="B355" s="3" t="str">
        <f>Raw_Production!C355</f>
        <v>Finishing</v>
      </c>
      <c r="C355" s="3" t="str">
        <f>Raw_Production!D355</f>
        <v>T05</v>
      </c>
      <c r="D355" s="3" t="str">
        <f>Raw_Production!P355</f>
        <v>ST-101</v>
      </c>
      <c r="E355" s="3" t="str">
        <f>Raw_Production!O355</f>
        <v>T-Shirt</v>
      </c>
      <c r="F355" s="6">
        <f>Raw_Production!G355</f>
        <v>0.81</v>
      </c>
      <c r="G355" s="6">
        <f>Raw_Production!N355</f>
        <v>0.84</v>
      </c>
      <c r="H355" s="6">
        <f t="shared" si="5"/>
        <v>2.9999999999999916E-2</v>
      </c>
      <c r="I355" s="3">
        <f>Raw_Production!I355</f>
        <v>252</v>
      </c>
      <c r="J355" s="3">
        <f>Raw_Production!J355</f>
        <v>35</v>
      </c>
      <c r="K355" s="3">
        <f>Raw_Production!L355</f>
        <v>70</v>
      </c>
      <c r="L355" s="3">
        <f>Raw_Production!M355</f>
        <v>4</v>
      </c>
      <c r="M355" s="3">
        <f>Raw_Production!F355</f>
        <v>1</v>
      </c>
      <c r="N355" s="3">
        <f>Raw_Production!K355</f>
        <v>3042</v>
      </c>
      <c r="O355" s="3">
        <f>Raw_Production!H355</f>
        <v>13.7</v>
      </c>
      <c r="P355" s="3">
        <f>Raw_Production!E355</f>
        <v>30</v>
      </c>
    </row>
    <row r="356" spans="1:16" x14ac:dyDescent="0.3">
      <c r="A356" s="4">
        <f>Raw_Production!A356</f>
        <v>46086</v>
      </c>
      <c r="B356" s="3" t="str">
        <f>Raw_Production!C356</f>
        <v>Cutting</v>
      </c>
      <c r="C356" s="3" t="str">
        <f>Raw_Production!D356</f>
        <v>T01</v>
      </c>
      <c r="D356" s="3" t="str">
        <f>Raw_Production!P356</f>
        <v>ST-107</v>
      </c>
      <c r="E356" s="3" t="str">
        <f>Raw_Production!O356</f>
        <v>Polo</v>
      </c>
      <c r="F356" s="6">
        <f>Raw_Production!G356</f>
        <v>0.72</v>
      </c>
      <c r="G356" s="6">
        <f>Raw_Production!N356</f>
        <v>0.5</v>
      </c>
      <c r="H356" s="6">
        <f t="shared" si="5"/>
        <v>-0.21999999999999997</v>
      </c>
      <c r="I356" s="3">
        <f>Raw_Production!I356</f>
        <v>352</v>
      </c>
      <c r="J356" s="3">
        <f>Raw_Production!J356</f>
        <v>107</v>
      </c>
      <c r="K356" s="3">
        <f>Raw_Production!L356</f>
        <v>112</v>
      </c>
      <c r="L356" s="3">
        <f>Raw_Production!M356</f>
        <v>0</v>
      </c>
      <c r="M356" s="3">
        <f>Raw_Production!F356</f>
        <v>2</v>
      </c>
      <c r="N356" s="3">
        <f>Raw_Production!K356</f>
        <v>1064</v>
      </c>
      <c r="O356" s="3">
        <f>Raw_Production!H356</f>
        <v>14</v>
      </c>
      <c r="P356" s="3">
        <f>Raw_Production!E356</f>
        <v>23</v>
      </c>
    </row>
    <row r="357" spans="1:16" x14ac:dyDescent="0.3">
      <c r="A357" s="4">
        <f>Raw_Production!A357</f>
        <v>46086</v>
      </c>
      <c r="B357" s="3" t="str">
        <f>Raw_Production!C357</f>
        <v>Cutting</v>
      </c>
      <c r="C357" s="3" t="str">
        <f>Raw_Production!D357</f>
        <v>T06</v>
      </c>
      <c r="D357" s="3" t="str">
        <f>Raw_Production!P357</f>
        <v>ST-106</v>
      </c>
      <c r="E357" s="3" t="str">
        <f>Raw_Production!O357</f>
        <v>T-Shirt</v>
      </c>
      <c r="F357" s="6">
        <f>Raw_Production!G357</f>
        <v>0.86</v>
      </c>
      <c r="G357" s="6">
        <f>Raw_Production!N357</f>
        <v>0.69</v>
      </c>
      <c r="H357" s="6">
        <f t="shared" si="5"/>
        <v>-0.17000000000000004</v>
      </c>
      <c r="I357" s="3">
        <f>Raw_Production!I357</f>
        <v>196</v>
      </c>
      <c r="J357" s="3">
        <f>Raw_Production!J357</f>
        <v>132</v>
      </c>
      <c r="K357" s="3">
        <f>Raw_Production!L357</f>
        <v>82</v>
      </c>
      <c r="L357" s="3">
        <f>Raw_Production!M357</f>
        <v>2</v>
      </c>
      <c r="M357" s="3">
        <f>Raw_Production!F357</f>
        <v>1</v>
      </c>
      <c r="N357" s="3">
        <f>Raw_Production!K357</f>
        <v>3586</v>
      </c>
      <c r="O357" s="3">
        <f>Raw_Production!H357</f>
        <v>9.6999999999999993</v>
      </c>
      <c r="P357" s="3">
        <f>Raw_Production!E357</f>
        <v>21</v>
      </c>
    </row>
    <row r="358" spans="1:16" x14ac:dyDescent="0.3">
      <c r="A358" s="4">
        <f>Raw_Production!A358</f>
        <v>46086</v>
      </c>
      <c r="B358" s="3" t="str">
        <f>Raw_Production!C358</f>
        <v>Sewing</v>
      </c>
      <c r="C358" s="3" t="str">
        <f>Raw_Production!D358</f>
        <v>T02</v>
      </c>
      <c r="D358" s="3" t="str">
        <f>Raw_Production!P358</f>
        <v>ST-101</v>
      </c>
      <c r="E358" s="3" t="str">
        <f>Raw_Production!O358</f>
        <v>T-Shirt</v>
      </c>
      <c r="F358" s="6">
        <f>Raw_Production!G358</f>
        <v>0.82</v>
      </c>
      <c r="G358" s="6">
        <f>Raw_Production!N358</f>
        <v>0.64</v>
      </c>
      <c r="H358" s="6">
        <f t="shared" si="5"/>
        <v>-0.17999999999999994</v>
      </c>
      <c r="I358" s="3">
        <f>Raw_Production!I358</f>
        <v>368</v>
      </c>
      <c r="J358" s="3">
        <f>Raw_Production!J358</f>
        <v>48</v>
      </c>
      <c r="K358" s="3">
        <f>Raw_Production!L358</f>
        <v>83</v>
      </c>
      <c r="L358" s="3">
        <f>Raw_Production!M358</f>
        <v>5</v>
      </c>
      <c r="M358" s="3">
        <f>Raw_Production!F358</f>
        <v>0</v>
      </c>
      <c r="N358" s="3">
        <f>Raw_Production!K358</f>
        <v>3815</v>
      </c>
      <c r="O358" s="3">
        <f>Raw_Production!H358</f>
        <v>10.6</v>
      </c>
      <c r="P358" s="3">
        <f>Raw_Production!E358</f>
        <v>26</v>
      </c>
    </row>
    <row r="359" spans="1:16" x14ac:dyDescent="0.3">
      <c r="A359" s="4">
        <f>Raw_Production!A359</f>
        <v>46086</v>
      </c>
      <c r="B359" s="3" t="str">
        <f>Raw_Production!C359</f>
        <v>Sewing</v>
      </c>
      <c r="C359" s="3" t="str">
        <f>Raw_Production!D359</f>
        <v>T03</v>
      </c>
      <c r="D359" s="3" t="str">
        <f>Raw_Production!P359</f>
        <v>ST-101</v>
      </c>
      <c r="E359" s="3" t="str">
        <f>Raw_Production!O359</f>
        <v>T-Shirt</v>
      </c>
      <c r="F359" s="6">
        <f>Raw_Production!G359</f>
        <v>0.84</v>
      </c>
      <c r="G359" s="6">
        <f>Raw_Production!N359</f>
        <v>0.7</v>
      </c>
      <c r="H359" s="6">
        <f t="shared" si="5"/>
        <v>-0.14000000000000001</v>
      </c>
      <c r="I359" s="3">
        <f>Raw_Production!I359</f>
        <v>301</v>
      </c>
      <c r="J359" s="3">
        <f>Raw_Production!J359</f>
        <v>126</v>
      </c>
      <c r="K359" s="3">
        <f>Raw_Production!L359</f>
        <v>79</v>
      </c>
      <c r="L359" s="3">
        <f>Raw_Production!M359</f>
        <v>4</v>
      </c>
      <c r="M359" s="3">
        <f>Raw_Production!F359</f>
        <v>3</v>
      </c>
      <c r="N359" s="3">
        <f>Raw_Production!K359</f>
        <v>680</v>
      </c>
      <c r="O359" s="3">
        <f>Raw_Production!H359</f>
        <v>12.4</v>
      </c>
      <c r="P359" s="3">
        <f>Raw_Production!E359</f>
        <v>27</v>
      </c>
    </row>
    <row r="360" spans="1:16" x14ac:dyDescent="0.3">
      <c r="A360" s="4">
        <f>Raw_Production!A360</f>
        <v>46086</v>
      </c>
      <c r="B360" s="3" t="str">
        <f>Raw_Production!C360</f>
        <v>Finishing</v>
      </c>
      <c r="C360" s="3" t="str">
        <f>Raw_Production!D360</f>
        <v>T04</v>
      </c>
      <c r="D360" s="3" t="str">
        <f>Raw_Production!P360</f>
        <v>ST-105</v>
      </c>
      <c r="E360" s="3" t="str">
        <f>Raw_Production!O360</f>
        <v>Jacket</v>
      </c>
      <c r="F360" s="6">
        <f>Raw_Production!G360</f>
        <v>0.74</v>
      </c>
      <c r="G360" s="6">
        <f>Raw_Production!N360</f>
        <v>0.7</v>
      </c>
      <c r="H360" s="6">
        <f t="shared" si="5"/>
        <v>-4.0000000000000036E-2</v>
      </c>
      <c r="I360" s="3">
        <f>Raw_Production!I360</f>
        <v>210</v>
      </c>
      <c r="J360" s="3">
        <f>Raw_Production!J360</f>
        <v>78</v>
      </c>
      <c r="K360" s="3">
        <f>Raw_Production!L360</f>
        <v>72</v>
      </c>
      <c r="L360" s="3">
        <f>Raw_Production!M360</f>
        <v>0</v>
      </c>
      <c r="M360" s="3">
        <f>Raw_Production!F360</f>
        <v>2</v>
      </c>
      <c r="N360" s="3">
        <f>Raw_Production!K360</f>
        <v>355</v>
      </c>
      <c r="O360" s="3">
        <f>Raw_Production!H360</f>
        <v>14.8</v>
      </c>
      <c r="P360" s="3">
        <f>Raw_Production!E360</f>
        <v>20</v>
      </c>
    </row>
    <row r="361" spans="1:16" x14ac:dyDescent="0.3">
      <c r="A361" s="4">
        <f>Raw_Production!A361</f>
        <v>46086</v>
      </c>
      <c r="B361" s="3" t="str">
        <f>Raw_Production!C361</f>
        <v>Finishing</v>
      </c>
      <c r="C361" s="3" t="str">
        <f>Raw_Production!D361</f>
        <v>T05</v>
      </c>
      <c r="D361" s="3" t="str">
        <f>Raw_Production!P361</f>
        <v>ST-106</v>
      </c>
      <c r="E361" s="3" t="str">
        <f>Raw_Production!O361</f>
        <v>T-Shirt</v>
      </c>
      <c r="F361" s="6">
        <f>Raw_Production!G361</f>
        <v>0.82</v>
      </c>
      <c r="G361" s="6">
        <f>Raw_Production!N361</f>
        <v>0.83</v>
      </c>
      <c r="H361" s="6">
        <f t="shared" si="5"/>
        <v>1.0000000000000009E-2</v>
      </c>
      <c r="I361" s="3">
        <f>Raw_Production!I361</f>
        <v>372</v>
      </c>
      <c r="J361" s="3">
        <f>Raw_Production!J361</f>
        <v>10</v>
      </c>
      <c r="K361" s="3">
        <f>Raw_Production!L361</f>
        <v>78</v>
      </c>
      <c r="L361" s="3">
        <f>Raw_Production!M361</f>
        <v>6</v>
      </c>
      <c r="M361" s="3">
        <f>Raw_Production!F361</f>
        <v>0</v>
      </c>
      <c r="N361" s="3">
        <f>Raw_Production!K361</f>
        <v>1230</v>
      </c>
      <c r="O361" s="3">
        <f>Raw_Production!H361</f>
        <v>9</v>
      </c>
      <c r="P361" s="3">
        <f>Raw_Production!E361</f>
        <v>32</v>
      </c>
    </row>
    <row r="362" spans="1:16" x14ac:dyDescent="0.3">
      <c r="A362" s="4">
        <f>Raw_Production!A362</f>
        <v>46087</v>
      </c>
      <c r="B362" s="3" t="str">
        <f>Raw_Production!C362</f>
        <v>Cutting</v>
      </c>
      <c r="C362" s="3" t="str">
        <f>Raw_Production!D362</f>
        <v>T01</v>
      </c>
      <c r="D362" s="3" t="str">
        <f>Raw_Production!P362</f>
        <v>ST-104</v>
      </c>
      <c r="E362" s="3" t="str">
        <f>Raw_Production!O362</f>
        <v>Shirt</v>
      </c>
      <c r="F362" s="6">
        <f>Raw_Production!G362</f>
        <v>0.75</v>
      </c>
      <c r="G362" s="6">
        <f>Raw_Production!N362</f>
        <v>0.63</v>
      </c>
      <c r="H362" s="6">
        <f t="shared" si="5"/>
        <v>-0.12</v>
      </c>
      <c r="I362" s="3">
        <f>Raw_Production!I362</f>
        <v>130</v>
      </c>
      <c r="J362" s="3">
        <f>Raw_Production!J362</f>
        <v>36</v>
      </c>
      <c r="K362" s="3">
        <f>Raw_Production!L362</f>
        <v>19</v>
      </c>
      <c r="L362" s="3">
        <f>Raw_Production!M362</f>
        <v>5</v>
      </c>
      <c r="M362" s="3">
        <f>Raw_Production!F362</f>
        <v>0</v>
      </c>
      <c r="N362" s="3">
        <f>Raw_Production!K362</f>
        <v>3717</v>
      </c>
      <c r="O362" s="3">
        <f>Raw_Production!H362</f>
        <v>10.5</v>
      </c>
      <c r="P362" s="3">
        <f>Raw_Production!E362</f>
        <v>35</v>
      </c>
    </row>
    <row r="363" spans="1:16" x14ac:dyDescent="0.3">
      <c r="A363" s="4">
        <f>Raw_Production!A363</f>
        <v>46087</v>
      </c>
      <c r="B363" s="3" t="str">
        <f>Raw_Production!C363</f>
        <v>Cutting</v>
      </c>
      <c r="C363" s="3" t="str">
        <f>Raw_Production!D363</f>
        <v>T06</v>
      </c>
      <c r="D363" s="3" t="str">
        <f>Raw_Production!P363</f>
        <v>ST-105</v>
      </c>
      <c r="E363" s="3" t="str">
        <f>Raw_Production!O363</f>
        <v>Jacket</v>
      </c>
      <c r="F363" s="6">
        <f>Raw_Production!G363</f>
        <v>0.85</v>
      </c>
      <c r="G363" s="6">
        <f>Raw_Production!N363</f>
        <v>0.84</v>
      </c>
      <c r="H363" s="6">
        <f t="shared" si="5"/>
        <v>-1.0000000000000009E-2</v>
      </c>
      <c r="I363" s="3">
        <f>Raw_Production!I363</f>
        <v>430</v>
      </c>
      <c r="J363" s="3">
        <f>Raw_Production!J363</f>
        <v>68</v>
      </c>
      <c r="K363" s="3">
        <f>Raw_Production!L363</f>
        <v>50</v>
      </c>
      <c r="L363" s="3">
        <f>Raw_Production!M363</f>
        <v>6</v>
      </c>
      <c r="M363" s="3">
        <f>Raw_Production!F363</f>
        <v>1</v>
      </c>
      <c r="N363" s="3">
        <f>Raw_Production!K363</f>
        <v>3684</v>
      </c>
      <c r="O363" s="3">
        <f>Raw_Production!H363</f>
        <v>16.3</v>
      </c>
      <c r="P363" s="3">
        <f>Raw_Production!E363</f>
        <v>31</v>
      </c>
    </row>
    <row r="364" spans="1:16" x14ac:dyDescent="0.3">
      <c r="A364" s="4">
        <f>Raw_Production!A364</f>
        <v>46087</v>
      </c>
      <c r="B364" s="3" t="str">
        <f>Raw_Production!C364</f>
        <v>Sewing</v>
      </c>
      <c r="C364" s="3" t="str">
        <f>Raw_Production!D364</f>
        <v>T02</v>
      </c>
      <c r="D364" s="3" t="str">
        <f>Raw_Production!P364</f>
        <v>ST-110</v>
      </c>
      <c r="E364" s="3" t="str">
        <f>Raw_Production!O364</f>
        <v>Jacket</v>
      </c>
      <c r="F364" s="6">
        <f>Raw_Production!G364</f>
        <v>0.88</v>
      </c>
      <c r="G364" s="6">
        <f>Raw_Production!N364</f>
        <v>0.8</v>
      </c>
      <c r="H364" s="6">
        <f t="shared" si="5"/>
        <v>-7.999999999999996E-2</v>
      </c>
      <c r="I364" s="3">
        <f>Raw_Production!I364</f>
        <v>421</v>
      </c>
      <c r="J364" s="3">
        <f>Raw_Production!J364</f>
        <v>129</v>
      </c>
      <c r="K364" s="3">
        <f>Raw_Production!L364</f>
        <v>14</v>
      </c>
      <c r="L364" s="3">
        <f>Raw_Production!M364</f>
        <v>1</v>
      </c>
      <c r="M364" s="3">
        <f>Raw_Production!F364</f>
        <v>0</v>
      </c>
      <c r="N364" s="3">
        <f>Raw_Production!K364</f>
        <v>1419</v>
      </c>
      <c r="O364" s="3">
        <f>Raw_Production!H364</f>
        <v>14.4</v>
      </c>
      <c r="P364" s="3">
        <f>Raw_Production!E364</f>
        <v>37</v>
      </c>
    </row>
    <row r="365" spans="1:16" x14ac:dyDescent="0.3">
      <c r="A365" s="4">
        <f>Raw_Production!A365</f>
        <v>46087</v>
      </c>
      <c r="B365" s="3" t="str">
        <f>Raw_Production!C365</f>
        <v>Sewing</v>
      </c>
      <c r="C365" s="3" t="str">
        <f>Raw_Production!D365</f>
        <v>T03</v>
      </c>
      <c r="D365" s="3" t="str">
        <f>Raw_Production!P365</f>
        <v>ST-104</v>
      </c>
      <c r="E365" s="3" t="str">
        <f>Raw_Production!O365</f>
        <v>Shirt</v>
      </c>
      <c r="F365" s="6">
        <f>Raw_Production!G365</f>
        <v>0.79</v>
      </c>
      <c r="G365" s="6">
        <f>Raw_Production!N365</f>
        <v>0.79</v>
      </c>
      <c r="H365" s="6">
        <f t="shared" si="5"/>
        <v>0</v>
      </c>
      <c r="I365" s="3">
        <f>Raw_Production!I365</f>
        <v>152</v>
      </c>
      <c r="J365" s="3">
        <f>Raw_Production!J365</f>
        <v>7</v>
      </c>
      <c r="K365" s="3">
        <f>Raw_Production!L365</f>
        <v>82</v>
      </c>
      <c r="L365" s="3">
        <f>Raw_Production!M365</f>
        <v>3</v>
      </c>
      <c r="M365" s="3">
        <f>Raw_Production!F365</f>
        <v>3</v>
      </c>
      <c r="N365" s="3">
        <f>Raw_Production!K365</f>
        <v>3864</v>
      </c>
      <c r="O365" s="3">
        <f>Raw_Production!H365</f>
        <v>13.4</v>
      </c>
      <c r="P365" s="3">
        <f>Raw_Production!E365</f>
        <v>23</v>
      </c>
    </row>
    <row r="366" spans="1:16" x14ac:dyDescent="0.3">
      <c r="A366" s="4">
        <f>Raw_Production!A366</f>
        <v>46087</v>
      </c>
      <c r="B366" s="3" t="str">
        <f>Raw_Production!C366</f>
        <v>Finishing</v>
      </c>
      <c r="C366" s="3" t="str">
        <f>Raw_Production!D366</f>
        <v>T04</v>
      </c>
      <c r="D366" s="3" t="str">
        <f>Raw_Production!P366</f>
        <v>ST-103</v>
      </c>
      <c r="E366" s="3" t="str">
        <f>Raw_Production!O366</f>
        <v>Hoodie</v>
      </c>
      <c r="F366" s="6">
        <f>Raw_Production!G366</f>
        <v>0.81</v>
      </c>
      <c r="G366" s="6">
        <f>Raw_Production!N366</f>
        <v>0.69</v>
      </c>
      <c r="H366" s="6">
        <f t="shared" si="5"/>
        <v>-0.12000000000000011</v>
      </c>
      <c r="I366" s="3">
        <f>Raw_Production!I366</f>
        <v>190</v>
      </c>
      <c r="J366" s="3">
        <f>Raw_Production!J366</f>
        <v>56</v>
      </c>
      <c r="K366" s="3">
        <f>Raw_Production!L366</f>
        <v>51</v>
      </c>
      <c r="L366" s="3">
        <f>Raw_Production!M366</f>
        <v>0</v>
      </c>
      <c r="M366" s="3">
        <f>Raw_Production!F366</f>
        <v>1</v>
      </c>
      <c r="N366" s="3">
        <f>Raw_Production!K366</f>
        <v>2226</v>
      </c>
      <c r="O366" s="3">
        <f>Raw_Production!H366</f>
        <v>17.100000000000001</v>
      </c>
      <c r="P366" s="3">
        <f>Raw_Production!E366</f>
        <v>33</v>
      </c>
    </row>
    <row r="367" spans="1:16" x14ac:dyDescent="0.3">
      <c r="A367" s="4">
        <f>Raw_Production!A367</f>
        <v>46087</v>
      </c>
      <c r="B367" s="3" t="str">
        <f>Raw_Production!C367</f>
        <v>Finishing</v>
      </c>
      <c r="C367" s="3" t="str">
        <f>Raw_Production!D367</f>
        <v>T05</v>
      </c>
      <c r="D367" s="3" t="str">
        <f>Raw_Production!P367</f>
        <v>ST-110</v>
      </c>
      <c r="E367" s="3" t="str">
        <f>Raw_Production!O367</f>
        <v>Jacket</v>
      </c>
      <c r="F367" s="6">
        <f>Raw_Production!G367</f>
        <v>0.84</v>
      </c>
      <c r="G367" s="6">
        <f>Raw_Production!N367</f>
        <v>0.85</v>
      </c>
      <c r="H367" s="6">
        <f t="shared" si="5"/>
        <v>1.0000000000000009E-2</v>
      </c>
      <c r="I367" s="3">
        <f>Raw_Production!I367</f>
        <v>432</v>
      </c>
      <c r="J367" s="3">
        <f>Raw_Production!J367</f>
        <v>134</v>
      </c>
      <c r="K367" s="3">
        <f>Raw_Production!L367</f>
        <v>7</v>
      </c>
      <c r="L367" s="3">
        <f>Raw_Production!M367</f>
        <v>3</v>
      </c>
      <c r="M367" s="3">
        <f>Raw_Production!F367</f>
        <v>0</v>
      </c>
      <c r="N367" s="3">
        <f>Raw_Production!K367</f>
        <v>3151</v>
      </c>
      <c r="O367" s="3">
        <f>Raw_Production!H367</f>
        <v>16.100000000000001</v>
      </c>
      <c r="P367" s="3">
        <f>Raw_Production!E367</f>
        <v>38</v>
      </c>
    </row>
    <row r="368" spans="1:16" x14ac:dyDescent="0.3">
      <c r="A368" s="4">
        <f>Raw_Production!A368</f>
        <v>46088</v>
      </c>
      <c r="B368" s="3" t="str">
        <f>Raw_Production!C368</f>
        <v>Cutting</v>
      </c>
      <c r="C368" s="3" t="str">
        <f>Raw_Production!D368</f>
        <v>T01</v>
      </c>
      <c r="D368" s="3" t="str">
        <f>Raw_Production!P368</f>
        <v>ST-101</v>
      </c>
      <c r="E368" s="3" t="str">
        <f>Raw_Production!O368</f>
        <v>T-Shirt</v>
      </c>
      <c r="F368" s="6">
        <f>Raw_Production!G368</f>
        <v>0.72</v>
      </c>
      <c r="G368" s="6">
        <f>Raw_Production!N368</f>
        <v>0.7</v>
      </c>
      <c r="H368" s="6">
        <f t="shared" si="5"/>
        <v>-2.0000000000000018E-2</v>
      </c>
      <c r="I368" s="3">
        <f>Raw_Production!I368</f>
        <v>318</v>
      </c>
      <c r="J368" s="3">
        <f>Raw_Production!J368</f>
        <v>26</v>
      </c>
      <c r="K368" s="3">
        <f>Raw_Production!L368</f>
        <v>120</v>
      </c>
      <c r="L368" s="3">
        <f>Raw_Production!M368</f>
        <v>0</v>
      </c>
      <c r="M368" s="3">
        <f>Raw_Production!F368</f>
        <v>0</v>
      </c>
      <c r="N368" s="3">
        <f>Raw_Production!K368</f>
        <v>385</v>
      </c>
      <c r="O368" s="3">
        <f>Raw_Production!H368</f>
        <v>17.3</v>
      </c>
      <c r="P368" s="3">
        <f>Raw_Production!E368</f>
        <v>22</v>
      </c>
    </row>
    <row r="369" spans="1:16" x14ac:dyDescent="0.3">
      <c r="A369" s="4">
        <f>Raw_Production!A369</f>
        <v>46088</v>
      </c>
      <c r="B369" s="3" t="str">
        <f>Raw_Production!C369</f>
        <v>Cutting</v>
      </c>
      <c r="C369" s="3" t="str">
        <f>Raw_Production!D369</f>
        <v>T06</v>
      </c>
      <c r="D369" s="3" t="str">
        <f>Raw_Production!P369</f>
        <v>ST-107</v>
      </c>
      <c r="E369" s="3" t="str">
        <f>Raw_Production!O369</f>
        <v>Polo</v>
      </c>
      <c r="F369" s="6">
        <f>Raw_Production!G369</f>
        <v>0.81</v>
      </c>
      <c r="G369" s="6">
        <f>Raw_Production!N369</f>
        <v>0.72</v>
      </c>
      <c r="H369" s="6">
        <f t="shared" si="5"/>
        <v>-9.000000000000008E-2</v>
      </c>
      <c r="I369" s="3">
        <f>Raw_Production!I369</f>
        <v>188</v>
      </c>
      <c r="J369" s="3">
        <f>Raw_Production!J369</f>
        <v>116</v>
      </c>
      <c r="K369" s="3">
        <f>Raw_Production!L369</f>
        <v>114</v>
      </c>
      <c r="L369" s="3">
        <f>Raw_Production!M369</f>
        <v>1</v>
      </c>
      <c r="M369" s="3">
        <f>Raw_Production!F369</f>
        <v>1</v>
      </c>
      <c r="N369" s="3">
        <f>Raw_Production!K369</f>
        <v>141</v>
      </c>
      <c r="O369" s="3">
        <f>Raw_Production!H369</f>
        <v>12.5</v>
      </c>
      <c r="P369" s="3">
        <f>Raw_Production!E369</f>
        <v>30</v>
      </c>
    </row>
    <row r="370" spans="1:16" x14ac:dyDescent="0.3">
      <c r="A370" s="4">
        <f>Raw_Production!A370</f>
        <v>46088</v>
      </c>
      <c r="B370" s="3" t="str">
        <f>Raw_Production!C370</f>
        <v>Sewing</v>
      </c>
      <c r="C370" s="3" t="str">
        <f>Raw_Production!D370</f>
        <v>T02</v>
      </c>
      <c r="D370" s="3" t="str">
        <f>Raw_Production!P370</f>
        <v>ST-106</v>
      </c>
      <c r="E370" s="3" t="str">
        <f>Raw_Production!O370</f>
        <v>T-Shirt</v>
      </c>
      <c r="F370" s="6">
        <f>Raw_Production!G370</f>
        <v>0.82</v>
      </c>
      <c r="G370" s="6">
        <f>Raw_Production!N370</f>
        <v>0.87</v>
      </c>
      <c r="H370" s="6">
        <f t="shared" si="5"/>
        <v>5.0000000000000044E-2</v>
      </c>
      <c r="I370" s="3">
        <f>Raw_Production!I370</f>
        <v>67</v>
      </c>
      <c r="J370" s="3">
        <f>Raw_Production!J370</f>
        <v>128</v>
      </c>
      <c r="K370" s="3">
        <f>Raw_Production!L370</f>
        <v>33</v>
      </c>
      <c r="L370" s="3">
        <f>Raw_Production!M370</f>
        <v>4</v>
      </c>
      <c r="M370" s="3">
        <f>Raw_Production!F370</f>
        <v>0</v>
      </c>
      <c r="N370" s="3">
        <f>Raw_Production!K370</f>
        <v>1806</v>
      </c>
      <c r="O370" s="3">
        <f>Raw_Production!H370</f>
        <v>10.5</v>
      </c>
      <c r="P370" s="3">
        <f>Raw_Production!E370</f>
        <v>36</v>
      </c>
    </row>
    <row r="371" spans="1:16" x14ac:dyDescent="0.3">
      <c r="A371" s="4">
        <f>Raw_Production!A371</f>
        <v>46088</v>
      </c>
      <c r="B371" s="3" t="str">
        <f>Raw_Production!C371</f>
        <v>Sewing</v>
      </c>
      <c r="C371" s="3" t="str">
        <f>Raw_Production!D371</f>
        <v>T03</v>
      </c>
      <c r="D371" s="3" t="str">
        <f>Raw_Production!P371</f>
        <v>ST-104</v>
      </c>
      <c r="E371" s="3" t="str">
        <f>Raw_Production!O371</f>
        <v>Shirt</v>
      </c>
      <c r="F371" s="6">
        <f>Raw_Production!G371</f>
        <v>0.85</v>
      </c>
      <c r="G371" s="6">
        <f>Raw_Production!N371</f>
        <v>0.66</v>
      </c>
      <c r="H371" s="6">
        <f t="shared" si="5"/>
        <v>-0.18999999999999995</v>
      </c>
      <c r="I371" s="3">
        <f>Raw_Production!I371</f>
        <v>412</v>
      </c>
      <c r="J371" s="3">
        <f>Raw_Production!J371</f>
        <v>121</v>
      </c>
      <c r="K371" s="3">
        <f>Raw_Production!L371</f>
        <v>120</v>
      </c>
      <c r="L371" s="3">
        <f>Raw_Production!M371</f>
        <v>6</v>
      </c>
      <c r="M371" s="3">
        <f>Raw_Production!F371</f>
        <v>1</v>
      </c>
      <c r="N371" s="3">
        <f>Raw_Production!K371</f>
        <v>4417</v>
      </c>
      <c r="O371" s="3">
        <f>Raw_Production!H371</f>
        <v>15.4</v>
      </c>
      <c r="P371" s="3">
        <f>Raw_Production!E371</f>
        <v>30</v>
      </c>
    </row>
    <row r="372" spans="1:16" x14ac:dyDescent="0.3">
      <c r="A372" s="4">
        <f>Raw_Production!A372</f>
        <v>46088</v>
      </c>
      <c r="B372" s="3" t="str">
        <f>Raw_Production!C372</f>
        <v>Finishing</v>
      </c>
      <c r="C372" s="3" t="str">
        <f>Raw_Production!D372</f>
        <v>T04</v>
      </c>
      <c r="D372" s="3" t="str">
        <f>Raw_Production!P372</f>
        <v>ST-109</v>
      </c>
      <c r="E372" s="3" t="str">
        <f>Raw_Production!O372</f>
        <v>Shirt</v>
      </c>
      <c r="F372" s="6">
        <f>Raw_Production!G372</f>
        <v>0.73</v>
      </c>
      <c r="G372" s="6">
        <f>Raw_Production!N372</f>
        <v>0.73</v>
      </c>
      <c r="H372" s="6">
        <f t="shared" si="5"/>
        <v>0</v>
      </c>
      <c r="I372" s="3">
        <f>Raw_Production!I372</f>
        <v>249</v>
      </c>
      <c r="J372" s="3">
        <f>Raw_Production!J372</f>
        <v>59</v>
      </c>
      <c r="K372" s="3">
        <f>Raw_Production!L372</f>
        <v>4</v>
      </c>
      <c r="L372" s="3">
        <f>Raw_Production!M372</f>
        <v>0</v>
      </c>
      <c r="M372" s="3">
        <f>Raw_Production!F372</f>
        <v>1</v>
      </c>
      <c r="N372" s="3">
        <f>Raw_Production!K372</f>
        <v>805</v>
      </c>
      <c r="O372" s="3">
        <f>Raw_Production!H372</f>
        <v>18</v>
      </c>
      <c r="P372" s="3">
        <f>Raw_Production!E372</f>
        <v>35</v>
      </c>
    </row>
    <row r="373" spans="1:16" x14ac:dyDescent="0.3">
      <c r="A373" s="4">
        <f>Raw_Production!A373</f>
        <v>46088</v>
      </c>
      <c r="B373" s="3" t="str">
        <f>Raw_Production!C373</f>
        <v>Finishing</v>
      </c>
      <c r="C373" s="3" t="str">
        <f>Raw_Production!D373</f>
        <v>T05</v>
      </c>
      <c r="D373" s="3" t="str">
        <f>Raw_Production!P373</f>
        <v>ST-110</v>
      </c>
      <c r="E373" s="3" t="str">
        <f>Raw_Production!O373</f>
        <v>Jacket</v>
      </c>
      <c r="F373" s="6">
        <f>Raw_Production!G373</f>
        <v>0.8</v>
      </c>
      <c r="G373" s="6">
        <f>Raw_Production!N373</f>
        <v>0.85</v>
      </c>
      <c r="H373" s="6">
        <f t="shared" si="5"/>
        <v>4.9999999999999933E-2</v>
      </c>
      <c r="I373" s="3">
        <f>Raw_Production!I373</f>
        <v>315</v>
      </c>
      <c r="J373" s="3">
        <f>Raw_Production!J373</f>
        <v>129</v>
      </c>
      <c r="K373" s="3">
        <f>Raw_Production!L373</f>
        <v>109</v>
      </c>
      <c r="L373" s="3">
        <f>Raw_Production!M373</f>
        <v>6</v>
      </c>
      <c r="M373" s="3">
        <f>Raw_Production!F373</f>
        <v>0</v>
      </c>
      <c r="N373" s="3">
        <f>Raw_Production!K373</f>
        <v>3501</v>
      </c>
      <c r="O373" s="3">
        <f>Raw_Production!H373</f>
        <v>10.6</v>
      </c>
      <c r="P373" s="3">
        <f>Raw_Production!E373</f>
        <v>25</v>
      </c>
    </row>
    <row r="374" spans="1:16" x14ac:dyDescent="0.3">
      <c r="A374" s="4">
        <f>Raw_Production!A374</f>
        <v>46089</v>
      </c>
      <c r="B374" s="3" t="str">
        <f>Raw_Production!C374</f>
        <v>Cutting</v>
      </c>
      <c r="C374" s="3" t="str">
        <f>Raw_Production!D374</f>
        <v>T01</v>
      </c>
      <c r="D374" s="3" t="str">
        <f>Raw_Production!P374</f>
        <v>ST-104</v>
      </c>
      <c r="E374" s="3" t="str">
        <f>Raw_Production!O374</f>
        <v>Shirt</v>
      </c>
      <c r="F374" s="6">
        <f>Raw_Production!G374</f>
        <v>0.87</v>
      </c>
      <c r="G374" s="6">
        <f>Raw_Production!N374</f>
        <v>0.78</v>
      </c>
      <c r="H374" s="6">
        <f t="shared" si="5"/>
        <v>-8.9999999999999969E-2</v>
      </c>
      <c r="I374" s="3">
        <f>Raw_Production!I374</f>
        <v>191</v>
      </c>
      <c r="J374" s="3">
        <f>Raw_Production!J374</f>
        <v>91</v>
      </c>
      <c r="K374" s="3">
        <f>Raw_Production!L374</f>
        <v>5</v>
      </c>
      <c r="L374" s="3">
        <f>Raw_Production!M374</f>
        <v>3</v>
      </c>
      <c r="M374" s="3">
        <f>Raw_Production!F374</f>
        <v>2</v>
      </c>
      <c r="N374" s="3">
        <f>Raw_Production!K374</f>
        <v>3751</v>
      </c>
      <c r="O374" s="3">
        <f>Raw_Production!H374</f>
        <v>14.1</v>
      </c>
      <c r="P374" s="3">
        <f>Raw_Production!E374</f>
        <v>22</v>
      </c>
    </row>
    <row r="375" spans="1:16" x14ac:dyDescent="0.3">
      <c r="A375" s="4">
        <f>Raw_Production!A375</f>
        <v>46089</v>
      </c>
      <c r="B375" s="3" t="str">
        <f>Raw_Production!C375</f>
        <v>Cutting</v>
      </c>
      <c r="C375" s="3" t="str">
        <f>Raw_Production!D375</f>
        <v>T06</v>
      </c>
      <c r="D375" s="3" t="str">
        <f>Raw_Production!P375</f>
        <v>ST-101</v>
      </c>
      <c r="E375" s="3" t="str">
        <f>Raw_Production!O375</f>
        <v>T-Shirt</v>
      </c>
      <c r="F375" s="6">
        <f>Raw_Production!G375</f>
        <v>0.82</v>
      </c>
      <c r="G375" s="6">
        <f>Raw_Production!N375</f>
        <v>0.7</v>
      </c>
      <c r="H375" s="6">
        <f t="shared" si="5"/>
        <v>-0.12</v>
      </c>
      <c r="I375" s="3">
        <f>Raw_Production!I375</f>
        <v>439</v>
      </c>
      <c r="J375" s="3">
        <f>Raw_Production!J375</f>
        <v>79</v>
      </c>
      <c r="K375" s="3">
        <f>Raw_Production!L375</f>
        <v>88</v>
      </c>
      <c r="L375" s="3">
        <f>Raw_Production!M375</f>
        <v>2</v>
      </c>
      <c r="M375" s="3">
        <f>Raw_Production!F375</f>
        <v>0</v>
      </c>
      <c r="N375" s="3">
        <f>Raw_Production!K375</f>
        <v>2920</v>
      </c>
      <c r="O375" s="3">
        <f>Raw_Production!H375</f>
        <v>14.8</v>
      </c>
      <c r="P375" s="3">
        <f>Raw_Production!E375</f>
        <v>20</v>
      </c>
    </row>
    <row r="376" spans="1:16" x14ac:dyDescent="0.3">
      <c r="A376" s="4">
        <f>Raw_Production!A376</f>
        <v>46089</v>
      </c>
      <c r="B376" s="3" t="str">
        <f>Raw_Production!C376</f>
        <v>Sewing</v>
      </c>
      <c r="C376" s="3" t="str">
        <f>Raw_Production!D376</f>
        <v>T02</v>
      </c>
      <c r="D376" s="3" t="str">
        <f>Raw_Production!P376</f>
        <v>ST-107</v>
      </c>
      <c r="E376" s="3" t="str">
        <f>Raw_Production!O376</f>
        <v>Polo</v>
      </c>
      <c r="F376" s="6">
        <f>Raw_Production!G376</f>
        <v>0.73</v>
      </c>
      <c r="G376" s="6">
        <f>Raw_Production!N376</f>
        <v>0.64</v>
      </c>
      <c r="H376" s="6">
        <f t="shared" si="5"/>
        <v>-8.9999999999999969E-2</v>
      </c>
      <c r="I376" s="3">
        <f>Raw_Production!I376</f>
        <v>415</v>
      </c>
      <c r="J376" s="3">
        <f>Raw_Production!J376</f>
        <v>33</v>
      </c>
      <c r="K376" s="3">
        <f>Raw_Production!L376</f>
        <v>13</v>
      </c>
      <c r="L376" s="3">
        <f>Raw_Production!M376</f>
        <v>2</v>
      </c>
      <c r="M376" s="3">
        <f>Raw_Production!F376</f>
        <v>1</v>
      </c>
      <c r="N376" s="3">
        <f>Raw_Production!K376</f>
        <v>216</v>
      </c>
      <c r="O376" s="3">
        <f>Raw_Production!H376</f>
        <v>8.3000000000000007</v>
      </c>
      <c r="P376" s="3">
        <f>Raw_Production!E376</f>
        <v>36</v>
      </c>
    </row>
    <row r="377" spans="1:16" x14ac:dyDescent="0.3">
      <c r="A377" s="4">
        <f>Raw_Production!A377</f>
        <v>46089</v>
      </c>
      <c r="B377" s="3" t="str">
        <f>Raw_Production!C377</f>
        <v>Sewing</v>
      </c>
      <c r="C377" s="3" t="str">
        <f>Raw_Production!D377</f>
        <v>T03</v>
      </c>
      <c r="D377" s="3" t="str">
        <f>Raw_Production!P377</f>
        <v>ST-104</v>
      </c>
      <c r="E377" s="3" t="str">
        <f>Raw_Production!O377</f>
        <v>Shirt</v>
      </c>
      <c r="F377" s="6">
        <f>Raw_Production!G377</f>
        <v>0.77</v>
      </c>
      <c r="G377" s="6">
        <f>Raw_Production!N377</f>
        <v>0.61</v>
      </c>
      <c r="H377" s="6">
        <f t="shared" si="5"/>
        <v>-0.16000000000000003</v>
      </c>
      <c r="I377" s="3">
        <f>Raw_Production!I377</f>
        <v>217</v>
      </c>
      <c r="J377" s="3">
        <f>Raw_Production!J377</f>
        <v>48</v>
      </c>
      <c r="K377" s="3">
        <f>Raw_Production!L377</f>
        <v>13</v>
      </c>
      <c r="L377" s="3">
        <f>Raw_Production!M377</f>
        <v>0</v>
      </c>
      <c r="M377" s="3">
        <f>Raw_Production!F377</f>
        <v>3</v>
      </c>
      <c r="N377" s="3">
        <f>Raw_Production!K377</f>
        <v>1260</v>
      </c>
      <c r="O377" s="3">
        <f>Raw_Production!H377</f>
        <v>11.1</v>
      </c>
      <c r="P377" s="3">
        <f>Raw_Production!E377</f>
        <v>36</v>
      </c>
    </row>
    <row r="378" spans="1:16" x14ac:dyDescent="0.3">
      <c r="A378" s="4">
        <f>Raw_Production!A378</f>
        <v>46089</v>
      </c>
      <c r="B378" s="3" t="str">
        <f>Raw_Production!C378</f>
        <v>Finishing</v>
      </c>
      <c r="C378" s="3" t="str">
        <f>Raw_Production!D378</f>
        <v>T04</v>
      </c>
      <c r="D378" s="3" t="str">
        <f>Raw_Production!P378</f>
        <v>ST-103</v>
      </c>
      <c r="E378" s="3" t="str">
        <f>Raw_Production!O378</f>
        <v>Hoodie</v>
      </c>
      <c r="F378" s="6">
        <f>Raw_Production!G378</f>
        <v>0.85</v>
      </c>
      <c r="G378" s="6">
        <f>Raw_Production!N378</f>
        <v>0.74</v>
      </c>
      <c r="H378" s="6">
        <f t="shared" si="5"/>
        <v>-0.10999999999999999</v>
      </c>
      <c r="I378" s="3">
        <f>Raw_Production!I378</f>
        <v>425</v>
      </c>
      <c r="J378" s="3">
        <f>Raw_Production!J378</f>
        <v>56</v>
      </c>
      <c r="K378" s="3">
        <f>Raw_Production!L378</f>
        <v>92</v>
      </c>
      <c r="L378" s="3">
        <f>Raw_Production!M378</f>
        <v>5</v>
      </c>
      <c r="M378" s="3">
        <f>Raw_Production!F378</f>
        <v>1</v>
      </c>
      <c r="N378" s="3">
        <f>Raw_Production!K378</f>
        <v>3662</v>
      </c>
      <c r="O378" s="3">
        <f>Raw_Production!H378</f>
        <v>12.3</v>
      </c>
      <c r="P378" s="3">
        <f>Raw_Production!E378</f>
        <v>31</v>
      </c>
    </row>
    <row r="379" spans="1:16" x14ac:dyDescent="0.3">
      <c r="A379" s="4">
        <f>Raw_Production!A379</f>
        <v>46089</v>
      </c>
      <c r="B379" s="3" t="str">
        <f>Raw_Production!C379</f>
        <v>Finishing</v>
      </c>
      <c r="C379" s="3" t="str">
        <f>Raw_Production!D379</f>
        <v>T05</v>
      </c>
      <c r="D379" s="3" t="str">
        <f>Raw_Production!P379</f>
        <v>ST-109</v>
      </c>
      <c r="E379" s="3" t="str">
        <f>Raw_Production!O379</f>
        <v>Shirt</v>
      </c>
      <c r="F379" s="6">
        <f>Raw_Production!G379</f>
        <v>0.8</v>
      </c>
      <c r="G379" s="6">
        <f>Raw_Production!N379</f>
        <v>0.72</v>
      </c>
      <c r="H379" s="6">
        <f t="shared" si="5"/>
        <v>-8.0000000000000071E-2</v>
      </c>
      <c r="I379" s="3">
        <f>Raw_Production!I379</f>
        <v>136</v>
      </c>
      <c r="J379" s="3">
        <f>Raw_Production!J379</f>
        <v>123</v>
      </c>
      <c r="K379" s="3">
        <f>Raw_Production!L379</f>
        <v>33</v>
      </c>
      <c r="L379" s="3">
        <f>Raw_Production!M379</f>
        <v>0</v>
      </c>
      <c r="M379" s="3">
        <f>Raw_Production!F379</f>
        <v>0</v>
      </c>
      <c r="N379" s="3">
        <f>Raw_Production!K379</f>
        <v>1934</v>
      </c>
      <c r="O379" s="3">
        <f>Raw_Production!H379</f>
        <v>13</v>
      </c>
      <c r="P379" s="3">
        <f>Raw_Production!E379</f>
        <v>33</v>
      </c>
    </row>
    <row r="380" spans="1:16" x14ac:dyDescent="0.3">
      <c r="A380" s="4">
        <f>Raw_Production!A380</f>
        <v>46090</v>
      </c>
      <c r="B380" s="3" t="str">
        <f>Raw_Production!C380</f>
        <v>Cutting</v>
      </c>
      <c r="C380" s="3" t="str">
        <f>Raw_Production!D380</f>
        <v>T01</v>
      </c>
      <c r="D380" s="3" t="str">
        <f>Raw_Production!P380</f>
        <v>ST-109</v>
      </c>
      <c r="E380" s="3" t="str">
        <f>Raw_Production!O380</f>
        <v>Shirt</v>
      </c>
      <c r="F380" s="6">
        <f>Raw_Production!G380</f>
        <v>0.73</v>
      </c>
      <c r="G380" s="6">
        <f>Raw_Production!N380</f>
        <v>0.81</v>
      </c>
      <c r="H380" s="6">
        <f t="shared" si="5"/>
        <v>8.0000000000000071E-2</v>
      </c>
      <c r="I380" s="3">
        <f>Raw_Production!I380</f>
        <v>116</v>
      </c>
      <c r="J380" s="3">
        <f>Raw_Production!J380</f>
        <v>67</v>
      </c>
      <c r="K380" s="3">
        <f>Raw_Production!L380</f>
        <v>15</v>
      </c>
      <c r="L380" s="3">
        <f>Raw_Production!M380</f>
        <v>4</v>
      </c>
      <c r="M380" s="3">
        <f>Raw_Production!F380</f>
        <v>1</v>
      </c>
      <c r="N380" s="3">
        <f>Raw_Production!K380</f>
        <v>3886</v>
      </c>
      <c r="O380" s="3">
        <f>Raw_Production!H380</f>
        <v>17.399999999999999</v>
      </c>
      <c r="P380" s="3">
        <f>Raw_Production!E380</f>
        <v>30</v>
      </c>
    </row>
    <row r="381" spans="1:16" x14ac:dyDescent="0.3">
      <c r="A381" s="4">
        <f>Raw_Production!A381</f>
        <v>46090</v>
      </c>
      <c r="B381" s="3" t="str">
        <f>Raw_Production!C381</f>
        <v>Cutting</v>
      </c>
      <c r="C381" s="3" t="str">
        <f>Raw_Production!D381</f>
        <v>T06</v>
      </c>
      <c r="D381" s="3" t="str">
        <f>Raw_Production!P381</f>
        <v>ST-105</v>
      </c>
      <c r="E381" s="3" t="str">
        <f>Raw_Production!O381</f>
        <v>Jacket</v>
      </c>
      <c r="F381" s="6">
        <f>Raw_Production!G381</f>
        <v>0.75</v>
      </c>
      <c r="G381" s="6">
        <f>Raw_Production!N381</f>
        <v>0.64</v>
      </c>
      <c r="H381" s="6">
        <f t="shared" si="5"/>
        <v>-0.10999999999999999</v>
      </c>
      <c r="I381" s="3">
        <f>Raw_Production!I381</f>
        <v>392</v>
      </c>
      <c r="J381" s="3">
        <f>Raw_Production!J381</f>
        <v>72</v>
      </c>
      <c r="K381" s="3">
        <f>Raw_Production!L381</f>
        <v>0</v>
      </c>
      <c r="L381" s="3">
        <f>Raw_Production!M381</f>
        <v>7</v>
      </c>
      <c r="M381" s="3">
        <f>Raw_Production!F381</f>
        <v>0</v>
      </c>
      <c r="N381" s="3">
        <f>Raw_Production!K381</f>
        <v>3995</v>
      </c>
      <c r="O381" s="3">
        <f>Raw_Production!H381</f>
        <v>18.100000000000001</v>
      </c>
      <c r="P381" s="3">
        <f>Raw_Production!E381</f>
        <v>33</v>
      </c>
    </row>
    <row r="382" spans="1:16" x14ac:dyDescent="0.3">
      <c r="A382" s="4">
        <f>Raw_Production!A382</f>
        <v>46090</v>
      </c>
      <c r="B382" s="3" t="str">
        <f>Raw_Production!C382</f>
        <v>Sewing</v>
      </c>
      <c r="C382" s="3" t="str">
        <f>Raw_Production!D382</f>
        <v>T02</v>
      </c>
      <c r="D382" s="3" t="str">
        <f>Raw_Production!P382</f>
        <v>ST-110</v>
      </c>
      <c r="E382" s="3" t="str">
        <f>Raw_Production!O382</f>
        <v>Jacket</v>
      </c>
      <c r="F382" s="6">
        <f>Raw_Production!G382</f>
        <v>0.86</v>
      </c>
      <c r="G382" s="6">
        <f>Raw_Production!N382</f>
        <v>0.93</v>
      </c>
      <c r="H382" s="6">
        <f t="shared" si="5"/>
        <v>7.0000000000000062E-2</v>
      </c>
      <c r="I382" s="3">
        <f>Raw_Production!I382</f>
        <v>98</v>
      </c>
      <c r="J382" s="3">
        <f>Raw_Production!J382</f>
        <v>0</v>
      </c>
      <c r="K382" s="3">
        <f>Raw_Production!L382</f>
        <v>24</v>
      </c>
      <c r="L382" s="3">
        <f>Raw_Production!M382</f>
        <v>5</v>
      </c>
      <c r="M382" s="3">
        <f>Raw_Production!F382</f>
        <v>1</v>
      </c>
      <c r="N382" s="3">
        <f>Raw_Production!K382</f>
        <v>622</v>
      </c>
      <c r="O382" s="3">
        <f>Raw_Production!H382</f>
        <v>15</v>
      </c>
      <c r="P382" s="3">
        <f>Raw_Production!E382</f>
        <v>31</v>
      </c>
    </row>
    <row r="383" spans="1:16" x14ac:dyDescent="0.3">
      <c r="A383" s="4">
        <f>Raw_Production!A383</f>
        <v>46090</v>
      </c>
      <c r="B383" s="3" t="str">
        <f>Raw_Production!C383</f>
        <v>Sewing</v>
      </c>
      <c r="C383" s="3" t="str">
        <f>Raw_Production!D383</f>
        <v>T03</v>
      </c>
      <c r="D383" s="3" t="str">
        <f>Raw_Production!P383</f>
        <v>ST-106</v>
      </c>
      <c r="E383" s="3" t="str">
        <f>Raw_Production!O383</f>
        <v>T-Shirt</v>
      </c>
      <c r="F383" s="6">
        <f>Raw_Production!G383</f>
        <v>0.78</v>
      </c>
      <c r="G383" s="6">
        <f>Raw_Production!N383</f>
        <v>0.73</v>
      </c>
      <c r="H383" s="6">
        <f t="shared" si="5"/>
        <v>-5.0000000000000044E-2</v>
      </c>
      <c r="I383" s="3">
        <f>Raw_Production!I383</f>
        <v>317</v>
      </c>
      <c r="J383" s="3">
        <f>Raw_Production!J383</f>
        <v>40</v>
      </c>
      <c r="K383" s="3">
        <f>Raw_Production!L383</f>
        <v>26</v>
      </c>
      <c r="L383" s="3">
        <f>Raw_Production!M383</f>
        <v>1</v>
      </c>
      <c r="M383" s="3">
        <f>Raw_Production!F383</f>
        <v>3</v>
      </c>
      <c r="N383" s="3">
        <f>Raw_Production!K383</f>
        <v>1692</v>
      </c>
      <c r="O383" s="3">
        <f>Raw_Production!H383</f>
        <v>13.5</v>
      </c>
      <c r="P383" s="3">
        <f>Raw_Production!E383</f>
        <v>23</v>
      </c>
    </row>
    <row r="384" spans="1:16" x14ac:dyDescent="0.3">
      <c r="A384" s="4">
        <f>Raw_Production!A384</f>
        <v>46090</v>
      </c>
      <c r="B384" s="3" t="str">
        <f>Raw_Production!C384</f>
        <v>Finishing</v>
      </c>
      <c r="C384" s="3" t="str">
        <f>Raw_Production!D384</f>
        <v>T04</v>
      </c>
      <c r="D384" s="3" t="str">
        <f>Raw_Production!P384</f>
        <v>ST-108</v>
      </c>
      <c r="E384" s="3" t="str">
        <f>Raw_Production!O384</f>
        <v>Hoodie</v>
      </c>
      <c r="F384" s="6">
        <f>Raw_Production!G384</f>
        <v>0.8</v>
      </c>
      <c r="G384" s="6">
        <f>Raw_Production!N384</f>
        <v>0.85</v>
      </c>
      <c r="H384" s="6">
        <f t="shared" si="5"/>
        <v>4.9999999999999933E-2</v>
      </c>
      <c r="I384" s="3">
        <f>Raw_Production!I384</f>
        <v>226</v>
      </c>
      <c r="J384" s="3">
        <f>Raw_Production!J384</f>
        <v>107</v>
      </c>
      <c r="K384" s="3">
        <f>Raw_Production!L384</f>
        <v>82</v>
      </c>
      <c r="L384" s="3">
        <f>Raw_Production!M384</f>
        <v>3</v>
      </c>
      <c r="M384" s="3">
        <f>Raw_Production!F384</f>
        <v>0</v>
      </c>
      <c r="N384" s="3">
        <f>Raw_Production!K384</f>
        <v>3915</v>
      </c>
      <c r="O384" s="3">
        <f>Raw_Production!H384</f>
        <v>9.6</v>
      </c>
      <c r="P384" s="3">
        <f>Raw_Production!E384</f>
        <v>23</v>
      </c>
    </row>
    <row r="385" spans="1:16" x14ac:dyDescent="0.3">
      <c r="A385" s="4">
        <f>Raw_Production!A385</f>
        <v>46090</v>
      </c>
      <c r="B385" s="3" t="str">
        <f>Raw_Production!C385</f>
        <v>Finishing</v>
      </c>
      <c r="C385" s="3" t="str">
        <f>Raw_Production!D385</f>
        <v>T05</v>
      </c>
      <c r="D385" s="3" t="str">
        <f>Raw_Production!P385</f>
        <v>ST-109</v>
      </c>
      <c r="E385" s="3" t="str">
        <f>Raw_Production!O385</f>
        <v>Shirt</v>
      </c>
      <c r="F385" s="6">
        <f>Raw_Production!G385</f>
        <v>0.79</v>
      </c>
      <c r="G385" s="6">
        <f>Raw_Production!N385</f>
        <v>0.66</v>
      </c>
      <c r="H385" s="6">
        <f t="shared" si="5"/>
        <v>-0.13</v>
      </c>
      <c r="I385" s="3">
        <f>Raw_Production!I385</f>
        <v>317</v>
      </c>
      <c r="J385" s="3">
        <f>Raw_Production!J385</f>
        <v>124</v>
      </c>
      <c r="K385" s="3">
        <f>Raw_Production!L385</f>
        <v>65</v>
      </c>
      <c r="L385" s="3">
        <f>Raw_Production!M385</f>
        <v>2</v>
      </c>
      <c r="M385" s="3">
        <f>Raw_Production!F385</f>
        <v>1</v>
      </c>
      <c r="N385" s="3">
        <f>Raw_Production!K385</f>
        <v>279</v>
      </c>
      <c r="O385" s="3">
        <f>Raw_Production!H385</f>
        <v>14.2</v>
      </c>
      <c r="P385" s="3">
        <f>Raw_Production!E385</f>
        <v>23</v>
      </c>
    </row>
    <row r="386" spans="1:16" x14ac:dyDescent="0.3">
      <c r="A386" s="4">
        <f>Raw_Production!A386</f>
        <v>46091</v>
      </c>
      <c r="B386" s="3" t="str">
        <f>Raw_Production!C386</f>
        <v>Cutting</v>
      </c>
      <c r="C386" s="3" t="str">
        <f>Raw_Production!D386</f>
        <v>T01</v>
      </c>
      <c r="D386" s="3" t="str">
        <f>Raw_Production!P386</f>
        <v>ST-102</v>
      </c>
      <c r="E386" s="3" t="str">
        <f>Raw_Production!O386</f>
        <v>Polo</v>
      </c>
      <c r="F386" s="6">
        <f>Raw_Production!G386</f>
        <v>0.79</v>
      </c>
      <c r="G386" s="6">
        <f>Raw_Production!N386</f>
        <v>0.63</v>
      </c>
      <c r="H386" s="6">
        <f t="shared" ref="H386:H449" si="6">G386-F386</f>
        <v>-0.16000000000000003</v>
      </c>
      <c r="I386" s="3">
        <f>Raw_Production!I386</f>
        <v>76</v>
      </c>
      <c r="J386" s="3">
        <f>Raw_Production!J386</f>
        <v>12</v>
      </c>
      <c r="K386" s="3">
        <f>Raw_Production!L386</f>
        <v>47</v>
      </c>
      <c r="L386" s="3">
        <f>Raw_Production!M386</f>
        <v>6</v>
      </c>
      <c r="M386" s="3">
        <f>Raw_Production!F386</f>
        <v>1</v>
      </c>
      <c r="N386" s="3">
        <f>Raw_Production!K386</f>
        <v>4103</v>
      </c>
      <c r="O386" s="3">
        <f>Raw_Production!H386</f>
        <v>13.5</v>
      </c>
      <c r="P386" s="3">
        <f>Raw_Production!E386</f>
        <v>30</v>
      </c>
    </row>
    <row r="387" spans="1:16" x14ac:dyDescent="0.3">
      <c r="A387" s="4">
        <f>Raw_Production!A387</f>
        <v>46091</v>
      </c>
      <c r="B387" s="3" t="str">
        <f>Raw_Production!C387</f>
        <v>Cutting</v>
      </c>
      <c r="C387" s="3" t="str">
        <f>Raw_Production!D387</f>
        <v>T06</v>
      </c>
      <c r="D387" s="3" t="str">
        <f>Raw_Production!P387</f>
        <v>ST-106</v>
      </c>
      <c r="E387" s="3" t="str">
        <f>Raw_Production!O387</f>
        <v>T-Shirt</v>
      </c>
      <c r="F387" s="6">
        <f>Raw_Production!G387</f>
        <v>0.82</v>
      </c>
      <c r="G387" s="6">
        <f>Raw_Production!N387</f>
        <v>0.73</v>
      </c>
      <c r="H387" s="6">
        <f t="shared" si="6"/>
        <v>-8.9999999999999969E-2</v>
      </c>
      <c r="I387" s="3">
        <f>Raw_Production!I387</f>
        <v>417</v>
      </c>
      <c r="J387" s="3">
        <f>Raw_Production!J387</f>
        <v>95</v>
      </c>
      <c r="K387" s="3">
        <f>Raw_Production!L387</f>
        <v>68</v>
      </c>
      <c r="L387" s="3">
        <f>Raw_Production!M387</f>
        <v>3</v>
      </c>
      <c r="M387" s="3">
        <f>Raw_Production!F387</f>
        <v>0</v>
      </c>
      <c r="N387" s="3">
        <f>Raw_Production!K387</f>
        <v>1282</v>
      </c>
      <c r="O387" s="3">
        <f>Raw_Production!H387</f>
        <v>13.3</v>
      </c>
      <c r="P387" s="3">
        <f>Raw_Production!E387</f>
        <v>26</v>
      </c>
    </row>
    <row r="388" spans="1:16" x14ac:dyDescent="0.3">
      <c r="A388" s="4">
        <f>Raw_Production!A388</f>
        <v>46091</v>
      </c>
      <c r="B388" s="3" t="str">
        <f>Raw_Production!C388</f>
        <v>Sewing</v>
      </c>
      <c r="C388" s="3" t="str">
        <f>Raw_Production!D388</f>
        <v>T02</v>
      </c>
      <c r="D388" s="3" t="str">
        <f>Raw_Production!P388</f>
        <v>ST-105</v>
      </c>
      <c r="E388" s="3" t="str">
        <f>Raw_Production!O388</f>
        <v>Jacket</v>
      </c>
      <c r="F388" s="6">
        <f>Raw_Production!G388</f>
        <v>0.77</v>
      </c>
      <c r="G388" s="6">
        <f>Raw_Production!N388</f>
        <v>0.56999999999999995</v>
      </c>
      <c r="H388" s="6">
        <f t="shared" si="6"/>
        <v>-0.20000000000000007</v>
      </c>
      <c r="I388" s="3">
        <f>Raw_Production!I388</f>
        <v>320</v>
      </c>
      <c r="J388" s="3">
        <f>Raw_Production!J388</f>
        <v>146</v>
      </c>
      <c r="K388" s="3">
        <f>Raw_Production!L388</f>
        <v>78</v>
      </c>
      <c r="L388" s="3">
        <f>Raw_Production!M388</f>
        <v>0</v>
      </c>
      <c r="M388" s="3">
        <f>Raw_Production!F388</f>
        <v>1</v>
      </c>
      <c r="N388" s="3">
        <f>Raw_Production!K388</f>
        <v>4212</v>
      </c>
      <c r="O388" s="3">
        <f>Raw_Production!H388</f>
        <v>13.2</v>
      </c>
      <c r="P388" s="3">
        <f>Raw_Production!E388</f>
        <v>34</v>
      </c>
    </row>
    <row r="389" spans="1:16" x14ac:dyDescent="0.3">
      <c r="A389" s="4">
        <f>Raw_Production!A389</f>
        <v>46091</v>
      </c>
      <c r="B389" s="3" t="str">
        <f>Raw_Production!C389</f>
        <v>Sewing</v>
      </c>
      <c r="C389" s="3" t="str">
        <f>Raw_Production!D389</f>
        <v>T03</v>
      </c>
      <c r="D389" s="3" t="str">
        <f>Raw_Production!P389</f>
        <v>ST-102</v>
      </c>
      <c r="E389" s="3" t="str">
        <f>Raw_Production!O389</f>
        <v>Polo</v>
      </c>
      <c r="F389" s="6">
        <f>Raw_Production!G389</f>
        <v>0.73</v>
      </c>
      <c r="G389" s="6">
        <f>Raw_Production!N389</f>
        <v>0.69</v>
      </c>
      <c r="H389" s="6">
        <f t="shared" si="6"/>
        <v>-4.0000000000000036E-2</v>
      </c>
      <c r="I389" s="3">
        <f>Raw_Production!I389</f>
        <v>315</v>
      </c>
      <c r="J389" s="3">
        <f>Raw_Production!J389</f>
        <v>72</v>
      </c>
      <c r="K389" s="3">
        <f>Raw_Production!L389</f>
        <v>39</v>
      </c>
      <c r="L389" s="3">
        <f>Raw_Production!M389</f>
        <v>3</v>
      </c>
      <c r="M389" s="3">
        <f>Raw_Production!F389</f>
        <v>0</v>
      </c>
      <c r="N389" s="3">
        <f>Raw_Production!K389</f>
        <v>2484</v>
      </c>
      <c r="O389" s="3">
        <f>Raw_Production!H389</f>
        <v>10.1</v>
      </c>
      <c r="P389" s="3">
        <f>Raw_Production!E389</f>
        <v>37</v>
      </c>
    </row>
    <row r="390" spans="1:16" x14ac:dyDescent="0.3">
      <c r="A390" s="4">
        <f>Raw_Production!A390</f>
        <v>46091</v>
      </c>
      <c r="B390" s="3" t="str">
        <f>Raw_Production!C390</f>
        <v>Finishing</v>
      </c>
      <c r="C390" s="3" t="str">
        <f>Raw_Production!D390</f>
        <v>T04</v>
      </c>
      <c r="D390" s="3" t="str">
        <f>Raw_Production!P390</f>
        <v>ST-109</v>
      </c>
      <c r="E390" s="3" t="str">
        <f>Raw_Production!O390</f>
        <v>Shirt</v>
      </c>
      <c r="F390" s="6">
        <f>Raw_Production!G390</f>
        <v>0.79</v>
      </c>
      <c r="G390" s="6">
        <f>Raw_Production!N390</f>
        <v>0.62</v>
      </c>
      <c r="H390" s="6">
        <f t="shared" si="6"/>
        <v>-0.17000000000000004</v>
      </c>
      <c r="I390" s="3">
        <f>Raw_Production!I390</f>
        <v>116</v>
      </c>
      <c r="J390" s="3">
        <f>Raw_Production!J390</f>
        <v>145</v>
      </c>
      <c r="K390" s="3">
        <f>Raw_Production!L390</f>
        <v>111</v>
      </c>
      <c r="L390" s="3">
        <f>Raw_Production!M390</f>
        <v>5</v>
      </c>
      <c r="M390" s="3">
        <f>Raw_Production!F390</f>
        <v>3</v>
      </c>
      <c r="N390" s="3">
        <f>Raw_Production!K390</f>
        <v>1023</v>
      </c>
      <c r="O390" s="3">
        <f>Raw_Production!H390</f>
        <v>7.5</v>
      </c>
      <c r="P390" s="3">
        <f>Raw_Production!E390</f>
        <v>29</v>
      </c>
    </row>
    <row r="391" spans="1:16" x14ac:dyDescent="0.3">
      <c r="A391" s="4">
        <f>Raw_Production!A391</f>
        <v>46091</v>
      </c>
      <c r="B391" s="3" t="str">
        <f>Raw_Production!C391</f>
        <v>Finishing</v>
      </c>
      <c r="C391" s="3" t="str">
        <f>Raw_Production!D391</f>
        <v>T05</v>
      </c>
      <c r="D391" s="3" t="str">
        <f>Raw_Production!P391</f>
        <v>ST-101</v>
      </c>
      <c r="E391" s="3" t="str">
        <f>Raw_Production!O391</f>
        <v>T-Shirt</v>
      </c>
      <c r="F391" s="6">
        <f>Raw_Production!G391</f>
        <v>0.78</v>
      </c>
      <c r="G391" s="6">
        <f>Raw_Production!N391</f>
        <v>0.62</v>
      </c>
      <c r="H391" s="6">
        <f t="shared" si="6"/>
        <v>-0.16000000000000003</v>
      </c>
      <c r="I391" s="3">
        <f>Raw_Production!I391</f>
        <v>402</v>
      </c>
      <c r="J391" s="3">
        <f>Raw_Production!J391</f>
        <v>98</v>
      </c>
      <c r="K391" s="3">
        <f>Raw_Production!L391</f>
        <v>34</v>
      </c>
      <c r="L391" s="3">
        <f>Raw_Production!M391</f>
        <v>3</v>
      </c>
      <c r="M391" s="3">
        <f>Raw_Production!F391</f>
        <v>2</v>
      </c>
      <c r="N391" s="3">
        <f>Raw_Production!K391</f>
        <v>4400</v>
      </c>
      <c r="O391" s="3">
        <f>Raw_Production!H391</f>
        <v>7.8</v>
      </c>
      <c r="P391" s="3">
        <f>Raw_Production!E391</f>
        <v>35</v>
      </c>
    </row>
    <row r="392" spans="1:16" x14ac:dyDescent="0.3">
      <c r="A392" s="4">
        <f>Raw_Production!A392</f>
        <v>46092</v>
      </c>
      <c r="B392" s="3" t="str">
        <f>Raw_Production!C392</f>
        <v>Cutting</v>
      </c>
      <c r="C392" s="3" t="str">
        <f>Raw_Production!D392</f>
        <v>T01</v>
      </c>
      <c r="D392" s="3" t="str">
        <f>Raw_Production!P392</f>
        <v>ST-101</v>
      </c>
      <c r="E392" s="3" t="str">
        <f>Raw_Production!O392</f>
        <v>T-Shirt</v>
      </c>
      <c r="F392" s="6">
        <f>Raw_Production!G392</f>
        <v>0.85</v>
      </c>
      <c r="G392" s="6">
        <f>Raw_Production!N392</f>
        <v>0.81</v>
      </c>
      <c r="H392" s="6">
        <f t="shared" si="6"/>
        <v>-3.9999999999999925E-2</v>
      </c>
      <c r="I392" s="3">
        <f>Raw_Production!I392</f>
        <v>289</v>
      </c>
      <c r="J392" s="3">
        <f>Raw_Production!J392</f>
        <v>5</v>
      </c>
      <c r="K392" s="3">
        <f>Raw_Production!L392</f>
        <v>52</v>
      </c>
      <c r="L392" s="3">
        <f>Raw_Production!M392</f>
        <v>1</v>
      </c>
      <c r="M392" s="3">
        <f>Raw_Production!F392</f>
        <v>2</v>
      </c>
      <c r="N392" s="3">
        <f>Raw_Production!K392</f>
        <v>1058</v>
      </c>
      <c r="O392" s="3">
        <f>Raw_Production!H392</f>
        <v>16.3</v>
      </c>
      <c r="P392" s="3">
        <f>Raw_Production!E392</f>
        <v>34</v>
      </c>
    </row>
    <row r="393" spans="1:16" x14ac:dyDescent="0.3">
      <c r="A393" s="4">
        <f>Raw_Production!A393</f>
        <v>46092</v>
      </c>
      <c r="B393" s="3" t="str">
        <f>Raw_Production!C393</f>
        <v>Cutting</v>
      </c>
      <c r="C393" s="3" t="str">
        <f>Raw_Production!D393</f>
        <v>T06</v>
      </c>
      <c r="D393" s="3" t="str">
        <f>Raw_Production!P393</f>
        <v>ST-102</v>
      </c>
      <c r="E393" s="3" t="str">
        <f>Raw_Production!O393</f>
        <v>Polo</v>
      </c>
      <c r="F393" s="6">
        <f>Raw_Production!G393</f>
        <v>0.78</v>
      </c>
      <c r="G393" s="6">
        <f>Raw_Production!N393</f>
        <v>0.69</v>
      </c>
      <c r="H393" s="6">
        <f t="shared" si="6"/>
        <v>-9.000000000000008E-2</v>
      </c>
      <c r="I393" s="3">
        <f>Raw_Production!I393</f>
        <v>297</v>
      </c>
      <c r="J393" s="3">
        <f>Raw_Production!J393</f>
        <v>29</v>
      </c>
      <c r="K393" s="3">
        <f>Raw_Production!L393</f>
        <v>22</v>
      </c>
      <c r="L393" s="3">
        <f>Raw_Production!M393</f>
        <v>4</v>
      </c>
      <c r="M393" s="3">
        <f>Raw_Production!F393</f>
        <v>3</v>
      </c>
      <c r="N393" s="3">
        <f>Raw_Production!K393</f>
        <v>2317</v>
      </c>
      <c r="O393" s="3">
        <f>Raw_Production!H393</f>
        <v>18.2</v>
      </c>
      <c r="P393" s="3">
        <f>Raw_Production!E393</f>
        <v>24</v>
      </c>
    </row>
    <row r="394" spans="1:16" x14ac:dyDescent="0.3">
      <c r="A394" s="4">
        <f>Raw_Production!A394</f>
        <v>46092</v>
      </c>
      <c r="B394" s="3" t="str">
        <f>Raw_Production!C394</f>
        <v>Sewing</v>
      </c>
      <c r="C394" s="3" t="str">
        <f>Raw_Production!D394</f>
        <v>T02</v>
      </c>
      <c r="D394" s="3" t="str">
        <f>Raw_Production!P394</f>
        <v>ST-109</v>
      </c>
      <c r="E394" s="3" t="str">
        <f>Raw_Production!O394</f>
        <v>Shirt</v>
      </c>
      <c r="F394" s="6">
        <f>Raw_Production!G394</f>
        <v>0.85</v>
      </c>
      <c r="G394" s="6">
        <f>Raw_Production!N394</f>
        <v>0.86</v>
      </c>
      <c r="H394" s="6">
        <f t="shared" si="6"/>
        <v>1.0000000000000009E-2</v>
      </c>
      <c r="I394" s="3">
        <f>Raw_Production!I394</f>
        <v>136</v>
      </c>
      <c r="J394" s="3">
        <f>Raw_Production!J394</f>
        <v>115</v>
      </c>
      <c r="K394" s="3">
        <f>Raw_Production!L394</f>
        <v>68</v>
      </c>
      <c r="L394" s="3">
        <f>Raw_Production!M394</f>
        <v>6</v>
      </c>
      <c r="M394" s="3">
        <f>Raw_Production!F394</f>
        <v>0</v>
      </c>
      <c r="N394" s="3">
        <f>Raw_Production!K394</f>
        <v>700</v>
      </c>
      <c r="O394" s="3">
        <f>Raw_Production!H394</f>
        <v>13</v>
      </c>
      <c r="P394" s="3">
        <f>Raw_Production!E394</f>
        <v>25</v>
      </c>
    </row>
    <row r="395" spans="1:16" x14ac:dyDescent="0.3">
      <c r="A395" s="4">
        <f>Raw_Production!A395</f>
        <v>46092</v>
      </c>
      <c r="B395" s="3" t="str">
        <f>Raw_Production!C395</f>
        <v>Sewing</v>
      </c>
      <c r="C395" s="3" t="str">
        <f>Raw_Production!D395</f>
        <v>T03</v>
      </c>
      <c r="D395" s="3" t="str">
        <f>Raw_Production!P395</f>
        <v>ST-107</v>
      </c>
      <c r="E395" s="3" t="str">
        <f>Raw_Production!O395</f>
        <v>Polo</v>
      </c>
      <c r="F395" s="6">
        <f>Raw_Production!G395</f>
        <v>0.79</v>
      </c>
      <c r="G395" s="6">
        <f>Raw_Production!N395</f>
        <v>0.65</v>
      </c>
      <c r="H395" s="6">
        <f t="shared" si="6"/>
        <v>-0.14000000000000001</v>
      </c>
      <c r="I395" s="3">
        <f>Raw_Production!I395</f>
        <v>120</v>
      </c>
      <c r="J395" s="3">
        <f>Raw_Production!J395</f>
        <v>56</v>
      </c>
      <c r="K395" s="3">
        <f>Raw_Production!L395</f>
        <v>22</v>
      </c>
      <c r="L395" s="3">
        <f>Raw_Production!M395</f>
        <v>0</v>
      </c>
      <c r="M395" s="3">
        <f>Raw_Production!F395</f>
        <v>0</v>
      </c>
      <c r="N395" s="3">
        <f>Raw_Production!K395</f>
        <v>679</v>
      </c>
      <c r="O395" s="3">
        <f>Raw_Production!H395</f>
        <v>15.1</v>
      </c>
      <c r="P395" s="3">
        <f>Raw_Production!E395</f>
        <v>24</v>
      </c>
    </row>
    <row r="396" spans="1:16" x14ac:dyDescent="0.3">
      <c r="A396" s="4">
        <f>Raw_Production!A396</f>
        <v>46092</v>
      </c>
      <c r="B396" s="3" t="str">
        <f>Raw_Production!C396</f>
        <v>Finishing</v>
      </c>
      <c r="C396" s="3" t="str">
        <f>Raw_Production!D396</f>
        <v>T04</v>
      </c>
      <c r="D396" s="3" t="str">
        <f>Raw_Production!P396</f>
        <v>ST-106</v>
      </c>
      <c r="E396" s="3" t="str">
        <f>Raw_Production!O396</f>
        <v>T-Shirt</v>
      </c>
      <c r="F396" s="6">
        <f>Raw_Production!G396</f>
        <v>0.85</v>
      </c>
      <c r="G396" s="6">
        <f>Raw_Production!N396</f>
        <v>0.68</v>
      </c>
      <c r="H396" s="6">
        <f t="shared" si="6"/>
        <v>-0.16999999999999993</v>
      </c>
      <c r="I396" s="3">
        <f>Raw_Production!I396</f>
        <v>370</v>
      </c>
      <c r="J396" s="3">
        <f>Raw_Production!J396</f>
        <v>122</v>
      </c>
      <c r="K396" s="3">
        <f>Raw_Production!L396</f>
        <v>27</v>
      </c>
      <c r="L396" s="3">
        <f>Raw_Production!M396</f>
        <v>4</v>
      </c>
      <c r="M396" s="3">
        <f>Raw_Production!F396</f>
        <v>4</v>
      </c>
      <c r="N396" s="3">
        <f>Raw_Production!K396</f>
        <v>250</v>
      </c>
      <c r="O396" s="3">
        <f>Raw_Production!H396</f>
        <v>15.9</v>
      </c>
      <c r="P396" s="3">
        <f>Raw_Production!E396</f>
        <v>20</v>
      </c>
    </row>
    <row r="397" spans="1:16" x14ac:dyDescent="0.3">
      <c r="A397" s="4">
        <f>Raw_Production!A397</f>
        <v>46092</v>
      </c>
      <c r="B397" s="3" t="str">
        <f>Raw_Production!C397</f>
        <v>Finishing</v>
      </c>
      <c r="C397" s="3" t="str">
        <f>Raw_Production!D397</f>
        <v>T05</v>
      </c>
      <c r="D397" s="3" t="str">
        <f>Raw_Production!P397</f>
        <v>ST-109</v>
      </c>
      <c r="E397" s="3" t="str">
        <f>Raw_Production!O397</f>
        <v>Shirt</v>
      </c>
      <c r="F397" s="6">
        <f>Raw_Production!G397</f>
        <v>0.86</v>
      </c>
      <c r="G397" s="6">
        <f>Raw_Production!N397</f>
        <v>0.81</v>
      </c>
      <c r="H397" s="6">
        <f t="shared" si="6"/>
        <v>-4.9999999999999933E-2</v>
      </c>
      <c r="I397" s="3">
        <f>Raw_Production!I397</f>
        <v>192</v>
      </c>
      <c r="J397" s="3">
        <f>Raw_Production!J397</f>
        <v>129</v>
      </c>
      <c r="K397" s="3">
        <f>Raw_Production!L397</f>
        <v>76</v>
      </c>
      <c r="L397" s="3">
        <f>Raw_Production!M397</f>
        <v>6</v>
      </c>
      <c r="M397" s="3">
        <f>Raw_Production!F397</f>
        <v>0</v>
      </c>
      <c r="N397" s="3">
        <f>Raw_Production!K397</f>
        <v>1862</v>
      </c>
      <c r="O397" s="3">
        <f>Raw_Production!H397</f>
        <v>10.8</v>
      </c>
      <c r="P397" s="3">
        <f>Raw_Production!E397</f>
        <v>24</v>
      </c>
    </row>
    <row r="398" spans="1:16" x14ac:dyDescent="0.3">
      <c r="A398" s="4">
        <f>Raw_Production!A398</f>
        <v>46093</v>
      </c>
      <c r="B398" s="3" t="str">
        <f>Raw_Production!C398</f>
        <v>Cutting</v>
      </c>
      <c r="C398" s="3" t="str">
        <f>Raw_Production!D398</f>
        <v>T01</v>
      </c>
      <c r="D398" s="3" t="str">
        <f>Raw_Production!P398</f>
        <v>ST-109</v>
      </c>
      <c r="E398" s="3" t="str">
        <f>Raw_Production!O398</f>
        <v>Shirt</v>
      </c>
      <c r="F398" s="6">
        <f>Raw_Production!G398</f>
        <v>0.82</v>
      </c>
      <c r="G398" s="6">
        <f>Raw_Production!N398</f>
        <v>0.72</v>
      </c>
      <c r="H398" s="6">
        <f t="shared" si="6"/>
        <v>-9.9999999999999978E-2</v>
      </c>
      <c r="I398" s="3">
        <f>Raw_Production!I398</f>
        <v>288</v>
      </c>
      <c r="J398" s="3">
        <f>Raw_Production!J398</f>
        <v>130</v>
      </c>
      <c r="K398" s="3">
        <f>Raw_Production!L398</f>
        <v>45</v>
      </c>
      <c r="L398" s="3">
        <f>Raw_Production!M398</f>
        <v>2</v>
      </c>
      <c r="M398" s="3">
        <f>Raw_Production!F398</f>
        <v>0</v>
      </c>
      <c r="N398" s="3">
        <f>Raw_Production!K398</f>
        <v>1704</v>
      </c>
      <c r="O398" s="3">
        <f>Raw_Production!H398</f>
        <v>15</v>
      </c>
      <c r="P398" s="3">
        <f>Raw_Production!E398</f>
        <v>29</v>
      </c>
    </row>
    <row r="399" spans="1:16" x14ac:dyDescent="0.3">
      <c r="A399" s="4">
        <f>Raw_Production!A399</f>
        <v>46093</v>
      </c>
      <c r="B399" s="3" t="str">
        <f>Raw_Production!C399</f>
        <v>Cutting</v>
      </c>
      <c r="C399" s="3" t="str">
        <f>Raw_Production!D399</f>
        <v>T06</v>
      </c>
      <c r="D399" s="3" t="str">
        <f>Raw_Production!P399</f>
        <v>ST-103</v>
      </c>
      <c r="E399" s="3" t="str">
        <f>Raw_Production!O399</f>
        <v>Hoodie</v>
      </c>
      <c r="F399" s="6">
        <f>Raw_Production!G399</f>
        <v>0.83</v>
      </c>
      <c r="G399" s="6">
        <f>Raw_Production!N399</f>
        <v>0.78</v>
      </c>
      <c r="H399" s="6">
        <f t="shared" si="6"/>
        <v>-4.9999999999999933E-2</v>
      </c>
      <c r="I399" s="3">
        <f>Raw_Production!I399</f>
        <v>53</v>
      </c>
      <c r="J399" s="3">
        <f>Raw_Production!J399</f>
        <v>135</v>
      </c>
      <c r="K399" s="3">
        <f>Raw_Production!L399</f>
        <v>14</v>
      </c>
      <c r="L399" s="3">
        <f>Raw_Production!M399</f>
        <v>5</v>
      </c>
      <c r="M399" s="3">
        <f>Raw_Production!F399</f>
        <v>1</v>
      </c>
      <c r="N399" s="3">
        <f>Raw_Production!K399</f>
        <v>2660</v>
      </c>
      <c r="O399" s="3">
        <f>Raw_Production!H399</f>
        <v>17.899999999999999</v>
      </c>
      <c r="P399" s="3">
        <f>Raw_Production!E399</f>
        <v>36</v>
      </c>
    </row>
    <row r="400" spans="1:16" x14ac:dyDescent="0.3">
      <c r="A400" s="4">
        <f>Raw_Production!A400</f>
        <v>46093</v>
      </c>
      <c r="B400" s="3" t="str">
        <f>Raw_Production!C400</f>
        <v>Sewing</v>
      </c>
      <c r="C400" s="3" t="str">
        <f>Raw_Production!D400</f>
        <v>T02</v>
      </c>
      <c r="D400" s="3" t="str">
        <f>Raw_Production!P400</f>
        <v>ST-103</v>
      </c>
      <c r="E400" s="3" t="str">
        <f>Raw_Production!O400</f>
        <v>Hoodie</v>
      </c>
      <c r="F400" s="6">
        <f>Raw_Production!G400</f>
        <v>0.75</v>
      </c>
      <c r="G400" s="6">
        <f>Raw_Production!N400</f>
        <v>0.7</v>
      </c>
      <c r="H400" s="6">
        <f t="shared" si="6"/>
        <v>-5.0000000000000044E-2</v>
      </c>
      <c r="I400" s="3">
        <f>Raw_Production!I400</f>
        <v>201</v>
      </c>
      <c r="J400" s="3">
        <f>Raw_Production!J400</f>
        <v>148</v>
      </c>
      <c r="K400" s="3">
        <f>Raw_Production!L400</f>
        <v>94</v>
      </c>
      <c r="L400" s="3">
        <f>Raw_Production!M400</f>
        <v>3</v>
      </c>
      <c r="M400" s="3">
        <f>Raw_Production!F400</f>
        <v>1</v>
      </c>
      <c r="N400" s="3">
        <f>Raw_Production!K400</f>
        <v>4241</v>
      </c>
      <c r="O400" s="3">
        <f>Raw_Production!H400</f>
        <v>14.1</v>
      </c>
      <c r="P400" s="3">
        <f>Raw_Production!E400</f>
        <v>22</v>
      </c>
    </row>
    <row r="401" spans="1:16" x14ac:dyDescent="0.3">
      <c r="A401" s="4">
        <f>Raw_Production!A401</f>
        <v>46093</v>
      </c>
      <c r="B401" s="3" t="str">
        <f>Raw_Production!C401</f>
        <v>Sewing</v>
      </c>
      <c r="C401" s="3" t="str">
        <f>Raw_Production!D401</f>
        <v>T03</v>
      </c>
      <c r="D401" s="3" t="str">
        <f>Raw_Production!P401</f>
        <v>ST-103</v>
      </c>
      <c r="E401" s="3" t="str">
        <f>Raw_Production!O401</f>
        <v>Hoodie</v>
      </c>
      <c r="F401" s="6">
        <f>Raw_Production!G401</f>
        <v>0.86</v>
      </c>
      <c r="G401" s="6">
        <f>Raw_Production!N401</f>
        <v>0.84</v>
      </c>
      <c r="H401" s="6">
        <f t="shared" si="6"/>
        <v>-2.0000000000000018E-2</v>
      </c>
      <c r="I401" s="3">
        <f>Raw_Production!I401</f>
        <v>326</v>
      </c>
      <c r="J401" s="3">
        <f>Raw_Production!J401</f>
        <v>44</v>
      </c>
      <c r="K401" s="3">
        <f>Raw_Production!L401</f>
        <v>100</v>
      </c>
      <c r="L401" s="3">
        <f>Raw_Production!M401</f>
        <v>6</v>
      </c>
      <c r="M401" s="3">
        <f>Raw_Production!F401</f>
        <v>3</v>
      </c>
      <c r="N401" s="3">
        <f>Raw_Production!K401</f>
        <v>2981</v>
      </c>
      <c r="O401" s="3">
        <f>Raw_Production!H401</f>
        <v>17.399999999999999</v>
      </c>
      <c r="P401" s="3">
        <f>Raw_Production!E401</f>
        <v>29</v>
      </c>
    </row>
    <row r="402" spans="1:16" x14ac:dyDescent="0.3">
      <c r="A402" s="4">
        <f>Raw_Production!A402</f>
        <v>46093</v>
      </c>
      <c r="B402" s="3" t="str">
        <f>Raw_Production!C402</f>
        <v>Finishing</v>
      </c>
      <c r="C402" s="3" t="str">
        <f>Raw_Production!D402</f>
        <v>T04</v>
      </c>
      <c r="D402" s="3" t="str">
        <f>Raw_Production!P402</f>
        <v>ST-107</v>
      </c>
      <c r="E402" s="3" t="str">
        <f>Raw_Production!O402</f>
        <v>Polo</v>
      </c>
      <c r="F402" s="6">
        <f>Raw_Production!G402</f>
        <v>0.74</v>
      </c>
      <c r="G402" s="6">
        <f>Raw_Production!N402</f>
        <v>0.76</v>
      </c>
      <c r="H402" s="6">
        <f t="shared" si="6"/>
        <v>2.0000000000000018E-2</v>
      </c>
      <c r="I402" s="3">
        <f>Raw_Production!I402</f>
        <v>56</v>
      </c>
      <c r="J402" s="3">
        <f>Raw_Production!J402</f>
        <v>41</v>
      </c>
      <c r="K402" s="3">
        <f>Raw_Production!L402</f>
        <v>7</v>
      </c>
      <c r="L402" s="3">
        <f>Raw_Production!M402</f>
        <v>4</v>
      </c>
      <c r="M402" s="3">
        <f>Raw_Production!F402</f>
        <v>0</v>
      </c>
      <c r="N402" s="3">
        <f>Raw_Production!K402</f>
        <v>603</v>
      </c>
      <c r="O402" s="3">
        <f>Raw_Production!H402</f>
        <v>13</v>
      </c>
      <c r="P402" s="3">
        <f>Raw_Production!E402</f>
        <v>27</v>
      </c>
    </row>
    <row r="403" spans="1:16" x14ac:dyDescent="0.3">
      <c r="A403" s="4">
        <f>Raw_Production!A403</f>
        <v>46093</v>
      </c>
      <c r="B403" s="3" t="str">
        <f>Raw_Production!C403</f>
        <v>Finishing</v>
      </c>
      <c r="C403" s="3" t="str">
        <f>Raw_Production!D403</f>
        <v>T05</v>
      </c>
      <c r="D403" s="3" t="str">
        <f>Raw_Production!P403</f>
        <v>ST-102</v>
      </c>
      <c r="E403" s="3" t="str">
        <f>Raw_Production!O403</f>
        <v>Polo</v>
      </c>
      <c r="F403" s="6">
        <f>Raw_Production!G403</f>
        <v>0.85</v>
      </c>
      <c r="G403" s="6">
        <f>Raw_Production!N403</f>
        <v>0.68</v>
      </c>
      <c r="H403" s="6">
        <f t="shared" si="6"/>
        <v>-0.16999999999999993</v>
      </c>
      <c r="I403" s="3">
        <f>Raw_Production!I403</f>
        <v>59</v>
      </c>
      <c r="J403" s="3">
        <f>Raw_Production!J403</f>
        <v>71</v>
      </c>
      <c r="K403" s="3">
        <f>Raw_Production!L403</f>
        <v>58</v>
      </c>
      <c r="L403" s="3">
        <f>Raw_Production!M403</f>
        <v>0</v>
      </c>
      <c r="M403" s="3">
        <f>Raw_Production!F403</f>
        <v>1</v>
      </c>
      <c r="N403" s="3">
        <f>Raw_Production!K403</f>
        <v>4288</v>
      </c>
      <c r="O403" s="3">
        <f>Raw_Production!H403</f>
        <v>13.2</v>
      </c>
      <c r="P403" s="3">
        <f>Raw_Production!E403</f>
        <v>30</v>
      </c>
    </row>
    <row r="404" spans="1:16" x14ac:dyDescent="0.3">
      <c r="A404" s="4">
        <f>Raw_Production!A404</f>
        <v>46094</v>
      </c>
      <c r="B404" s="3" t="str">
        <f>Raw_Production!C404</f>
        <v>Cutting</v>
      </c>
      <c r="C404" s="3" t="str">
        <f>Raw_Production!D404</f>
        <v>T01</v>
      </c>
      <c r="D404" s="3" t="str">
        <f>Raw_Production!P404</f>
        <v>ST-102</v>
      </c>
      <c r="E404" s="3" t="str">
        <f>Raw_Production!O404</f>
        <v>Polo</v>
      </c>
      <c r="F404" s="6">
        <f>Raw_Production!G404</f>
        <v>0.86</v>
      </c>
      <c r="G404" s="6">
        <f>Raw_Production!N404</f>
        <v>0.88</v>
      </c>
      <c r="H404" s="6">
        <f t="shared" si="6"/>
        <v>2.0000000000000018E-2</v>
      </c>
      <c r="I404" s="3">
        <f>Raw_Production!I404</f>
        <v>326</v>
      </c>
      <c r="J404" s="3">
        <f>Raw_Production!J404</f>
        <v>39</v>
      </c>
      <c r="K404" s="3">
        <f>Raw_Production!L404</f>
        <v>19</v>
      </c>
      <c r="L404" s="3">
        <f>Raw_Production!M404</f>
        <v>3</v>
      </c>
      <c r="M404" s="3">
        <f>Raw_Production!F404</f>
        <v>2</v>
      </c>
      <c r="N404" s="3">
        <f>Raw_Production!K404</f>
        <v>2905</v>
      </c>
      <c r="O404" s="3">
        <f>Raw_Production!H404</f>
        <v>18.399999999999999</v>
      </c>
      <c r="P404" s="3">
        <f>Raw_Production!E404</f>
        <v>32</v>
      </c>
    </row>
    <row r="405" spans="1:16" x14ac:dyDescent="0.3">
      <c r="A405" s="4">
        <f>Raw_Production!A405</f>
        <v>46094</v>
      </c>
      <c r="B405" s="3" t="str">
        <f>Raw_Production!C405</f>
        <v>Cutting</v>
      </c>
      <c r="C405" s="3" t="str">
        <f>Raw_Production!D405</f>
        <v>T06</v>
      </c>
      <c r="D405" s="3" t="str">
        <f>Raw_Production!P405</f>
        <v>ST-109</v>
      </c>
      <c r="E405" s="3" t="str">
        <f>Raw_Production!O405</f>
        <v>Shirt</v>
      </c>
      <c r="F405" s="6">
        <f>Raw_Production!G405</f>
        <v>0.87</v>
      </c>
      <c r="G405" s="6">
        <f>Raw_Production!N405</f>
        <v>0.82</v>
      </c>
      <c r="H405" s="6">
        <f t="shared" si="6"/>
        <v>-5.0000000000000044E-2</v>
      </c>
      <c r="I405" s="3">
        <f>Raw_Production!I405</f>
        <v>33</v>
      </c>
      <c r="J405" s="3">
        <f>Raw_Production!J405</f>
        <v>0</v>
      </c>
      <c r="K405" s="3">
        <f>Raw_Production!L405</f>
        <v>22</v>
      </c>
      <c r="L405" s="3">
        <f>Raw_Production!M405</f>
        <v>4</v>
      </c>
      <c r="M405" s="3">
        <f>Raw_Production!F405</f>
        <v>0</v>
      </c>
      <c r="N405" s="3">
        <f>Raw_Production!K405</f>
        <v>894</v>
      </c>
      <c r="O405" s="3">
        <f>Raw_Production!H405</f>
        <v>8.6999999999999993</v>
      </c>
      <c r="P405" s="3">
        <f>Raw_Production!E405</f>
        <v>22</v>
      </c>
    </row>
    <row r="406" spans="1:16" x14ac:dyDescent="0.3">
      <c r="A406" s="4">
        <f>Raw_Production!A406</f>
        <v>46094</v>
      </c>
      <c r="B406" s="3" t="str">
        <f>Raw_Production!C406</f>
        <v>Sewing</v>
      </c>
      <c r="C406" s="3" t="str">
        <f>Raw_Production!D406</f>
        <v>T02</v>
      </c>
      <c r="D406" s="3" t="str">
        <f>Raw_Production!P406</f>
        <v>ST-105</v>
      </c>
      <c r="E406" s="3" t="str">
        <f>Raw_Production!O406</f>
        <v>Jacket</v>
      </c>
      <c r="F406" s="6">
        <f>Raw_Production!G406</f>
        <v>0.73</v>
      </c>
      <c r="G406" s="6">
        <f>Raw_Production!N406</f>
        <v>0.53</v>
      </c>
      <c r="H406" s="6">
        <f t="shared" si="6"/>
        <v>-0.19999999999999996</v>
      </c>
      <c r="I406" s="3">
        <f>Raw_Production!I406</f>
        <v>410</v>
      </c>
      <c r="J406" s="3">
        <f>Raw_Production!J406</f>
        <v>3</v>
      </c>
      <c r="K406" s="3">
        <f>Raw_Production!L406</f>
        <v>112</v>
      </c>
      <c r="L406" s="3">
        <f>Raw_Production!M406</f>
        <v>4</v>
      </c>
      <c r="M406" s="3">
        <f>Raw_Production!F406</f>
        <v>1</v>
      </c>
      <c r="N406" s="3">
        <f>Raw_Production!K406</f>
        <v>1651</v>
      </c>
      <c r="O406" s="3">
        <f>Raw_Production!H406</f>
        <v>18.100000000000001</v>
      </c>
      <c r="P406" s="3">
        <f>Raw_Production!E406</f>
        <v>36</v>
      </c>
    </row>
    <row r="407" spans="1:16" x14ac:dyDescent="0.3">
      <c r="A407" s="4">
        <f>Raw_Production!A407</f>
        <v>46094</v>
      </c>
      <c r="B407" s="3" t="str">
        <f>Raw_Production!C407</f>
        <v>Sewing</v>
      </c>
      <c r="C407" s="3" t="str">
        <f>Raw_Production!D407</f>
        <v>T03</v>
      </c>
      <c r="D407" s="3" t="str">
        <f>Raw_Production!P407</f>
        <v>ST-110</v>
      </c>
      <c r="E407" s="3" t="str">
        <f>Raw_Production!O407</f>
        <v>Jacket</v>
      </c>
      <c r="F407" s="6">
        <f>Raw_Production!G407</f>
        <v>0.9</v>
      </c>
      <c r="G407" s="6">
        <f>Raw_Production!N407</f>
        <v>0.92</v>
      </c>
      <c r="H407" s="6">
        <f t="shared" si="6"/>
        <v>2.0000000000000018E-2</v>
      </c>
      <c r="I407" s="3">
        <f>Raw_Production!I407</f>
        <v>43</v>
      </c>
      <c r="J407" s="3">
        <f>Raw_Production!J407</f>
        <v>133</v>
      </c>
      <c r="K407" s="3">
        <f>Raw_Production!L407</f>
        <v>12</v>
      </c>
      <c r="L407" s="3">
        <f>Raw_Production!M407</f>
        <v>3</v>
      </c>
      <c r="M407" s="3">
        <f>Raw_Production!F407</f>
        <v>0</v>
      </c>
      <c r="N407" s="3">
        <f>Raw_Production!K407</f>
        <v>3623</v>
      </c>
      <c r="O407" s="3">
        <f>Raw_Production!H407</f>
        <v>11.7</v>
      </c>
      <c r="P407" s="3">
        <f>Raw_Production!E407</f>
        <v>27</v>
      </c>
    </row>
    <row r="408" spans="1:16" x14ac:dyDescent="0.3">
      <c r="A408" s="4">
        <f>Raw_Production!A408</f>
        <v>46094</v>
      </c>
      <c r="B408" s="3" t="str">
        <f>Raw_Production!C408</f>
        <v>Finishing</v>
      </c>
      <c r="C408" s="3" t="str">
        <f>Raw_Production!D408</f>
        <v>T04</v>
      </c>
      <c r="D408" s="3" t="str">
        <f>Raw_Production!P408</f>
        <v>ST-105</v>
      </c>
      <c r="E408" s="3" t="str">
        <f>Raw_Production!O408</f>
        <v>Jacket</v>
      </c>
      <c r="F408" s="6">
        <f>Raw_Production!G408</f>
        <v>0.74</v>
      </c>
      <c r="G408" s="6">
        <f>Raw_Production!N408</f>
        <v>0.66</v>
      </c>
      <c r="H408" s="6">
        <f t="shared" si="6"/>
        <v>-7.999999999999996E-2</v>
      </c>
      <c r="I408" s="3">
        <f>Raw_Production!I408</f>
        <v>59</v>
      </c>
      <c r="J408" s="3">
        <f>Raw_Production!J408</f>
        <v>44</v>
      </c>
      <c r="K408" s="3">
        <f>Raw_Production!L408</f>
        <v>51</v>
      </c>
      <c r="L408" s="3">
        <f>Raw_Production!M408</f>
        <v>4</v>
      </c>
      <c r="M408" s="3">
        <f>Raw_Production!F408</f>
        <v>2</v>
      </c>
      <c r="N408" s="3">
        <f>Raw_Production!K408</f>
        <v>3575</v>
      </c>
      <c r="O408" s="3">
        <f>Raw_Production!H408</f>
        <v>13.1</v>
      </c>
      <c r="P408" s="3">
        <f>Raw_Production!E408</f>
        <v>31</v>
      </c>
    </row>
    <row r="409" spans="1:16" x14ac:dyDescent="0.3">
      <c r="A409" s="4">
        <f>Raw_Production!A409</f>
        <v>46094</v>
      </c>
      <c r="B409" s="3" t="str">
        <f>Raw_Production!C409</f>
        <v>Finishing</v>
      </c>
      <c r="C409" s="3" t="str">
        <f>Raw_Production!D409</f>
        <v>T05</v>
      </c>
      <c r="D409" s="3" t="str">
        <f>Raw_Production!P409</f>
        <v>ST-102</v>
      </c>
      <c r="E409" s="3" t="str">
        <f>Raw_Production!O409</f>
        <v>Polo</v>
      </c>
      <c r="F409" s="6">
        <f>Raw_Production!G409</f>
        <v>0.79</v>
      </c>
      <c r="G409" s="6">
        <f>Raw_Production!N409</f>
        <v>0.68</v>
      </c>
      <c r="H409" s="6">
        <f t="shared" si="6"/>
        <v>-0.10999999999999999</v>
      </c>
      <c r="I409" s="3">
        <f>Raw_Production!I409</f>
        <v>168</v>
      </c>
      <c r="J409" s="3">
        <f>Raw_Production!J409</f>
        <v>7</v>
      </c>
      <c r="K409" s="3">
        <f>Raw_Production!L409</f>
        <v>90</v>
      </c>
      <c r="L409" s="3">
        <f>Raw_Production!M409</f>
        <v>8</v>
      </c>
      <c r="M409" s="3">
        <f>Raw_Production!F409</f>
        <v>0</v>
      </c>
      <c r="N409" s="3">
        <f>Raw_Production!K409</f>
        <v>2792</v>
      </c>
      <c r="O409" s="3">
        <f>Raw_Production!H409</f>
        <v>12.8</v>
      </c>
      <c r="P409" s="3">
        <f>Raw_Production!E409</f>
        <v>33</v>
      </c>
    </row>
    <row r="410" spans="1:16" x14ac:dyDescent="0.3">
      <c r="A410" s="4">
        <f>Raw_Production!A410</f>
        <v>46095</v>
      </c>
      <c r="B410" s="3" t="str">
        <f>Raw_Production!C410</f>
        <v>Cutting</v>
      </c>
      <c r="C410" s="3" t="str">
        <f>Raw_Production!D410</f>
        <v>T01</v>
      </c>
      <c r="D410" s="3" t="str">
        <f>Raw_Production!P410</f>
        <v>ST-101</v>
      </c>
      <c r="E410" s="3" t="str">
        <f>Raw_Production!O410</f>
        <v>T-Shirt</v>
      </c>
      <c r="F410" s="6">
        <f>Raw_Production!G410</f>
        <v>0.8</v>
      </c>
      <c r="G410" s="6">
        <f>Raw_Production!N410</f>
        <v>0.64</v>
      </c>
      <c r="H410" s="6">
        <f t="shared" si="6"/>
        <v>-0.16000000000000003</v>
      </c>
      <c r="I410" s="3">
        <f>Raw_Production!I410</f>
        <v>192</v>
      </c>
      <c r="J410" s="3">
        <f>Raw_Production!J410</f>
        <v>104</v>
      </c>
      <c r="K410" s="3">
        <f>Raw_Production!L410</f>
        <v>52</v>
      </c>
      <c r="L410" s="3">
        <f>Raw_Production!M410</f>
        <v>2</v>
      </c>
      <c r="M410" s="3">
        <f>Raw_Production!F410</f>
        <v>1</v>
      </c>
      <c r="N410" s="3">
        <f>Raw_Production!K410</f>
        <v>450</v>
      </c>
      <c r="O410" s="3">
        <f>Raw_Production!H410</f>
        <v>9.6</v>
      </c>
      <c r="P410" s="3">
        <f>Raw_Production!E410</f>
        <v>38</v>
      </c>
    </row>
    <row r="411" spans="1:16" x14ac:dyDescent="0.3">
      <c r="A411" s="4">
        <f>Raw_Production!A411</f>
        <v>46095</v>
      </c>
      <c r="B411" s="3" t="str">
        <f>Raw_Production!C411</f>
        <v>Cutting</v>
      </c>
      <c r="C411" s="3" t="str">
        <f>Raw_Production!D411</f>
        <v>T06</v>
      </c>
      <c r="D411" s="3" t="str">
        <f>Raw_Production!P411</f>
        <v>ST-109</v>
      </c>
      <c r="E411" s="3" t="str">
        <f>Raw_Production!O411</f>
        <v>Shirt</v>
      </c>
      <c r="F411" s="6">
        <f>Raw_Production!G411</f>
        <v>0.74</v>
      </c>
      <c r="G411" s="6">
        <f>Raw_Production!N411</f>
        <v>0.62</v>
      </c>
      <c r="H411" s="6">
        <f t="shared" si="6"/>
        <v>-0.12</v>
      </c>
      <c r="I411" s="3">
        <f>Raw_Production!I411</f>
        <v>409</v>
      </c>
      <c r="J411" s="3">
        <f>Raw_Production!J411</f>
        <v>145</v>
      </c>
      <c r="K411" s="3">
        <f>Raw_Production!L411</f>
        <v>119</v>
      </c>
      <c r="L411" s="3">
        <f>Raw_Production!M411</f>
        <v>5</v>
      </c>
      <c r="M411" s="3">
        <f>Raw_Production!F411</f>
        <v>3</v>
      </c>
      <c r="N411" s="3">
        <f>Raw_Production!K411</f>
        <v>2239</v>
      </c>
      <c r="O411" s="3">
        <f>Raw_Production!H411</f>
        <v>17.5</v>
      </c>
      <c r="P411" s="3">
        <f>Raw_Production!E411</f>
        <v>22</v>
      </c>
    </row>
    <row r="412" spans="1:16" x14ac:dyDescent="0.3">
      <c r="A412" s="4">
        <f>Raw_Production!A412</f>
        <v>46095</v>
      </c>
      <c r="B412" s="3" t="str">
        <f>Raw_Production!C412</f>
        <v>Sewing</v>
      </c>
      <c r="C412" s="3" t="str">
        <f>Raw_Production!D412</f>
        <v>T02</v>
      </c>
      <c r="D412" s="3" t="str">
        <f>Raw_Production!P412</f>
        <v>ST-105</v>
      </c>
      <c r="E412" s="3" t="str">
        <f>Raw_Production!O412</f>
        <v>Jacket</v>
      </c>
      <c r="F412" s="6">
        <f>Raw_Production!G412</f>
        <v>0.83</v>
      </c>
      <c r="G412" s="6">
        <f>Raw_Production!N412</f>
        <v>0.87</v>
      </c>
      <c r="H412" s="6">
        <f t="shared" si="6"/>
        <v>4.0000000000000036E-2</v>
      </c>
      <c r="I412" s="3">
        <f>Raw_Production!I412</f>
        <v>56</v>
      </c>
      <c r="J412" s="3">
        <f>Raw_Production!J412</f>
        <v>141</v>
      </c>
      <c r="K412" s="3">
        <f>Raw_Production!L412</f>
        <v>32</v>
      </c>
      <c r="L412" s="3">
        <f>Raw_Production!M412</f>
        <v>2</v>
      </c>
      <c r="M412" s="3">
        <f>Raw_Production!F412</f>
        <v>0</v>
      </c>
      <c r="N412" s="3">
        <f>Raw_Production!K412</f>
        <v>4110</v>
      </c>
      <c r="O412" s="3">
        <f>Raw_Production!H412</f>
        <v>12.4</v>
      </c>
      <c r="P412" s="3">
        <f>Raw_Production!E412</f>
        <v>32</v>
      </c>
    </row>
    <row r="413" spans="1:16" x14ac:dyDescent="0.3">
      <c r="A413" s="4">
        <f>Raw_Production!A413</f>
        <v>46095</v>
      </c>
      <c r="B413" s="3" t="str">
        <f>Raw_Production!C413</f>
        <v>Sewing</v>
      </c>
      <c r="C413" s="3" t="str">
        <f>Raw_Production!D413</f>
        <v>T03</v>
      </c>
      <c r="D413" s="3" t="str">
        <f>Raw_Production!P413</f>
        <v>ST-101</v>
      </c>
      <c r="E413" s="3" t="str">
        <f>Raw_Production!O413</f>
        <v>T-Shirt</v>
      </c>
      <c r="F413" s="6">
        <f>Raw_Production!G413</f>
        <v>0.74</v>
      </c>
      <c r="G413" s="6">
        <f>Raw_Production!N413</f>
        <v>0.59</v>
      </c>
      <c r="H413" s="6">
        <f t="shared" si="6"/>
        <v>-0.15000000000000002</v>
      </c>
      <c r="I413" s="3">
        <f>Raw_Production!I413</f>
        <v>100</v>
      </c>
      <c r="J413" s="3">
        <f>Raw_Production!J413</f>
        <v>116</v>
      </c>
      <c r="K413" s="3">
        <f>Raw_Production!L413</f>
        <v>19</v>
      </c>
      <c r="L413" s="3">
        <f>Raw_Production!M413</f>
        <v>6</v>
      </c>
      <c r="M413" s="3">
        <f>Raw_Production!F413</f>
        <v>0</v>
      </c>
      <c r="N413" s="3">
        <f>Raw_Production!K413</f>
        <v>4064</v>
      </c>
      <c r="O413" s="3">
        <f>Raw_Production!H413</f>
        <v>15</v>
      </c>
      <c r="P413" s="3">
        <f>Raw_Production!E413</f>
        <v>29</v>
      </c>
    </row>
    <row r="414" spans="1:16" x14ac:dyDescent="0.3">
      <c r="A414" s="4">
        <f>Raw_Production!A414</f>
        <v>46095</v>
      </c>
      <c r="B414" s="3" t="str">
        <f>Raw_Production!C414</f>
        <v>Finishing</v>
      </c>
      <c r="C414" s="3" t="str">
        <f>Raw_Production!D414</f>
        <v>T04</v>
      </c>
      <c r="D414" s="3" t="str">
        <f>Raw_Production!P414</f>
        <v>ST-110</v>
      </c>
      <c r="E414" s="3" t="str">
        <f>Raw_Production!O414</f>
        <v>Jacket</v>
      </c>
      <c r="F414" s="6">
        <f>Raw_Production!G414</f>
        <v>0.84</v>
      </c>
      <c r="G414" s="6">
        <f>Raw_Production!N414</f>
        <v>0.72</v>
      </c>
      <c r="H414" s="6">
        <f t="shared" si="6"/>
        <v>-0.12</v>
      </c>
      <c r="I414" s="3">
        <f>Raw_Production!I414</f>
        <v>227</v>
      </c>
      <c r="J414" s="3">
        <f>Raw_Production!J414</f>
        <v>24</v>
      </c>
      <c r="K414" s="3">
        <f>Raw_Production!L414</f>
        <v>17</v>
      </c>
      <c r="L414" s="3">
        <f>Raw_Production!M414</f>
        <v>4</v>
      </c>
      <c r="M414" s="3">
        <f>Raw_Production!F414</f>
        <v>0</v>
      </c>
      <c r="N414" s="3">
        <f>Raw_Production!K414</f>
        <v>3782</v>
      </c>
      <c r="O414" s="3">
        <f>Raw_Production!H414</f>
        <v>11</v>
      </c>
      <c r="P414" s="3">
        <f>Raw_Production!E414</f>
        <v>37</v>
      </c>
    </row>
    <row r="415" spans="1:16" x14ac:dyDescent="0.3">
      <c r="A415" s="4">
        <f>Raw_Production!A415</f>
        <v>46095</v>
      </c>
      <c r="B415" s="3" t="str">
        <f>Raw_Production!C415</f>
        <v>Finishing</v>
      </c>
      <c r="C415" s="3" t="str">
        <f>Raw_Production!D415</f>
        <v>T05</v>
      </c>
      <c r="D415" s="3" t="str">
        <f>Raw_Production!P415</f>
        <v>ST-103</v>
      </c>
      <c r="E415" s="3" t="str">
        <f>Raw_Production!O415</f>
        <v>Hoodie</v>
      </c>
      <c r="F415" s="6">
        <f>Raw_Production!G415</f>
        <v>0.75</v>
      </c>
      <c r="G415" s="6">
        <f>Raw_Production!N415</f>
        <v>0.75</v>
      </c>
      <c r="H415" s="6">
        <f t="shared" si="6"/>
        <v>0</v>
      </c>
      <c r="I415" s="3">
        <f>Raw_Production!I415</f>
        <v>261</v>
      </c>
      <c r="J415" s="3">
        <f>Raw_Production!J415</f>
        <v>14</v>
      </c>
      <c r="K415" s="3">
        <f>Raw_Production!L415</f>
        <v>120</v>
      </c>
      <c r="L415" s="3">
        <f>Raw_Production!M415</f>
        <v>2</v>
      </c>
      <c r="M415" s="3">
        <f>Raw_Production!F415</f>
        <v>0</v>
      </c>
      <c r="N415" s="3">
        <f>Raw_Production!K415</f>
        <v>448</v>
      </c>
      <c r="O415" s="3">
        <f>Raw_Production!H415</f>
        <v>8.1999999999999993</v>
      </c>
      <c r="P415" s="3">
        <f>Raw_Production!E415</f>
        <v>26</v>
      </c>
    </row>
    <row r="416" spans="1:16" x14ac:dyDescent="0.3">
      <c r="A416" s="4">
        <f>Raw_Production!A416</f>
        <v>46096</v>
      </c>
      <c r="B416" s="3" t="str">
        <f>Raw_Production!C416</f>
        <v>Cutting</v>
      </c>
      <c r="C416" s="3" t="str">
        <f>Raw_Production!D416</f>
        <v>T01</v>
      </c>
      <c r="D416" s="3" t="str">
        <f>Raw_Production!P416</f>
        <v>ST-110</v>
      </c>
      <c r="E416" s="3" t="str">
        <f>Raw_Production!O416</f>
        <v>Jacket</v>
      </c>
      <c r="F416" s="6">
        <f>Raw_Production!G416</f>
        <v>0.74</v>
      </c>
      <c r="G416" s="6">
        <f>Raw_Production!N416</f>
        <v>0.61</v>
      </c>
      <c r="H416" s="6">
        <f t="shared" si="6"/>
        <v>-0.13</v>
      </c>
      <c r="I416" s="3">
        <f>Raw_Production!I416</f>
        <v>389</v>
      </c>
      <c r="J416" s="3">
        <f>Raw_Production!J416</f>
        <v>40</v>
      </c>
      <c r="K416" s="3">
        <f>Raw_Production!L416</f>
        <v>114</v>
      </c>
      <c r="L416" s="3">
        <f>Raw_Production!M416</f>
        <v>1</v>
      </c>
      <c r="M416" s="3">
        <f>Raw_Production!F416</f>
        <v>1</v>
      </c>
      <c r="N416" s="3">
        <f>Raw_Production!K416</f>
        <v>2412</v>
      </c>
      <c r="O416" s="3">
        <f>Raw_Production!H416</f>
        <v>16</v>
      </c>
      <c r="P416" s="3">
        <f>Raw_Production!E416</f>
        <v>35</v>
      </c>
    </row>
    <row r="417" spans="1:16" x14ac:dyDescent="0.3">
      <c r="A417" s="4">
        <f>Raw_Production!A417</f>
        <v>46096</v>
      </c>
      <c r="B417" s="3" t="str">
        <f>Raw_Production!C417</f>
        <v>Cutting</v>
      </c>
      <c r="C417" s="3" t="str">
        <f>Raw_Production!D417</f>
        <v>T06</v>
      </c>
      <c r="D417" s="3" t="str">
        <f>Raw_Production!P417</f>
        <v>ST-107</v>
      </c>
      <c r="E417" s="3" t="str">
        <f>Raw_Production!O417</f>
        <v>Polo</v>
      </c>
      <c r="F417" s="6">
        <f>Raw_Production!G417</f>
        <v>0.81</v>
      </c>
      <c r="G417" s="6">
        <f>Raw_Production!N417</f>
        <v>0.72</v>
      </c>
      <c r="H417" s="6">
        <f t="shared" si="6"/>
        <v>-9.000000000000008E-2</v>
      </c>
      <c r="I417" s="3">
        <f>Raw_Production!I417</f>
        <v>243</v>
      </c>
      <c r="J417" s="3">
        <f>Raw_Production!J417</f>
        <v>67</v>
      </c>
      <c r="K417" s="3">
        <f>Raw_Production!L417</f>
        <v>11</v>
      </c>
      <c r="L417" s="3">
        <f>Raw_Production!M417</f>
        <v>1</v>
      </c>
      <c r="M417" s="3">
        <f>Raw_Production!F417</f>
        <v>4</v>
      </c>
      <c r="N417" s="3">
        <f>Raw_Production!K417</f>
        <v>2782</v>
      </c>
      <c r="O417" s="3">
        <f>Raw_Production!H417</f>
        <v>15.8</v>
      </c>
      <c r="P417" s="3">
        <f>Raw_Production!E417</f>
        <v>21</v>
      </c>
    </row>
    <row r="418" spans="1:16" x14ac:dyDescent="0.3">
      <c r="A418" s="4">
        <f>Raw_Production!A418</f>
        <v>46096</v>
      </c>
      <c r="B418" s="3" t="str">
        <f>Raw_Production!C418</f>
        <v>Sewing</v>
      </c>
      <c r="C418" s="3" t="str">
        <f>Raw_Production!D418</f>
        <v>T02</v>
      </c>
      <c r="D418" s="3" t="str">
        <f>Raw_Production!P418</f>
        <v>ST-108</v>
      </c>
      <c r="E418" s="3" t="str">
        <f>Raw_Production!O418</f>
        <v>Hoodie</v>
      </c>
      <c r="F418" s="6">
        <f>Raw_Production!G418</f>
        <v>0.72</v>
      </c>
      <c r="G418" s="6">
        <f>Raw_Production!N418</f>
        <v>0.76</v>
      </c>
      <c r="H418" s="6">
        <f t="shared" si="6"/>
        <v>4.0000000000000036E-2</v>
      </c>
      <c r="I418" s="3">
        <f>Raw_Production!I418</f>
        <v>308</v>
      </c>
      <c r="J418" s="3">
        <f>Raw_Production!J418</f>
        <v>148</v>
      </c>
      <c r="K418" s="3">
        <f>Raw_Production!L418</f>
        <v>91</v>
      </c>
      <c r="L418" s="3">
        <f>Raw_Production!M418</f>
        <v>2</v>
      </c>
      <c r="M418" s="3">
        <f>Raw_Production!F418</f>
        <v>1</v>
      </c>
      <c r="N418" s="3">
        <f>Raw_Production!K418</f>
        <v>4292</v>
      </c>
      <c r="O418" s="3">
        <f>Raw_Production!H418</f>
        <v>16</v>
      </c>
      <c r="P418" s="3">
        <f>Raw_Production!E418</f>
        <v>31</v>
      </c>
    </row>
    <row r="419" spans="1:16" x14ac:dyDescent="0.3">
      <c r="A419" s="4">
        <f>Raw_Production!A419</f>
        <v>46096</v>
      </c>
      <c r="B419" s="3" t="str">
        <f>Raw_Production!C419</f>
        <v>Sewing</v>
      </c>
      <c r="C419" s="3" t="str">
        <f>Raw_Production!D419</f>
        <v>T03</v>
      </c>
      <c r="D419" s="3" t="str">
        <f>Raw_Production!P419</f>
        <v>ST-102</v>
      </c>
      <c r="E419" s="3" t="str">
        <f>Raw_Production!O419</f>
        <v>Polo</v>
      </c>
      <c r="F419" s="6">
        <f>Raw_Production!G419</f>
        <v>0.75</v>
      </c>
      <c r="G419" s="6">
        <f>Raw_Production!N419</f>
        <v>0.79</v>
      </c>
      <c r="H419" s="6">
        <f t="shared" si="6"/>
        <v>4.0000000000000036E-2</v>
      </c>
      <c r="I419" s="3">
        <f>Raw_Production!I419</f>
        <v>285</v>
      </c>
      <c r="J419" s="3">
        <f>Raw_Production!J419</f>
        <v>130</v>
      </c>
      <c r="K419" s="3">
        <f>Raw_Production!L419</f>
        <v>94</v>
      </c>
      <c r="L419" s="3">
        <f>Raw_Production!M419</f>
        <v>2</v>
      </c>
      <c r="M419" s="3">
        <f>Raw_Production!F419</f>
        <v>1</v>
      </c>
      <c r="N419" s="3">
        <f>Raw_Production!K419</f>
        <v>2030</v>
      </c>
      <c r="O419" s="3">
        <f>Raw_Production!H419</f>
        <v>15.9</v>
      </c>
      <c r="P419" s="3">
        <f>Raw_Production!E419</f>
        <v>38</v>
      </c>
    </row>
    <row r="420" spans="1:16" x14ac:dyDescent="0.3">
      <c r="A420" s="4">
        <f>Raw_Production!A420</f>
        <v>46096</v>
      </c>
      <c r="B420" s="3" t="str">
        <f>Raw_Production!C420</f>
        <v>Finishing</v>
      </c>
      <c r="C420" s="3" t="str">
        <f>Raw_Production!D420</f>
        <v>T04</v>
      </c>
      <c r="D420" s="3" t="str">
        <f>Raw_Production!P420</f>
        <v>ST-109</v>
      </c>
      <c r="E420" s="3" t="str">
        <f>Raw_Production!O420</f>
        <v>Shirt</v>
      </c>
      <c r="F420" s="6">
        <f>Raw_Production!G420</f>
        <v>0.83</v>
      </c>
      <c r="G420" s="6">
        <f>Raw_Production!N420</f>
        <v>0.66</v>
      </c>
      <c r="H420" s="6">
        <f t="shared" si="6"/>
        <v>-0.16999999999999993</v>
      </c>
      <c r="I420" s="3">
        <f>Raw_Production!I420</f>
        <v>99</v>
      </c>
      <c r="J420" s="3">
        <f>Raw_Production!J420</f>
        <v>97</v>
      </c>
      <c r="K420" s="3">
        <f>Raw_Production!L420</f>
        <v>93</v>
      </c>
      <c r="L420" s="3">
        <f>Raw_Production!M420</f>
        <v>4</v>
      </c>
      <c r="M420" s="3">
        <f>Raw_Production!F420</f>
        <v>1</v>
      </c>
      <c r="N420" s="3">
        <f>Raw_Production!K420</f>
        <v>3579</v>
      </c>
      <c r="O420" s="3">
        <f>Raw_Production!H420</f>
        <v>11.1</v>
      </c>
      <c r="P420" s="3">
        <f>Raw_Production!E420</f>
        <v>38</v>
      </c>
    </row>
    <row r="421" spans="1:16" x14ac:dyDescent="0.3">
      <c r="A421" s="4">
        <f>Raw_Production!A421</f>
        <v>46096</v>
      </c>
      <c r="B421" s="3" t="str">
        <f>Raw_Production!C421</f>
        <v>Finishing</v>
      </c>
      <c r="C421" s="3" t="str">
        <f>Raw_Production!D421</f>
        <v>T05</v>
      </c>
      <c r="D421" s="3" t="str">
        <f>Raw_Production!P421</f>
        <v>ST-109</v>
      </c>
      <c r="E421" s="3" t="str">
        <f>Raw_Production!O421</f>
        <v>Shirt</v>
      </c>
      <c r="F421" s="6">
        <f>Raw_Production!G421</f>
        <v>0.73</v>
      </c>
      <c r="G421" s="6">
        <f>Raw_Production!N421</f>
        <v>0.52</v>
      </c>
      <c r="H421" s="6">
        <f t="shared" si="6"/>
        <v>-0.20999999999999996</v>
      </c>
      <c r="I421" s="3">
        <f>Raw_Production!I421</f>
        <v>255</v>
      </c>
      <c r="J421" s="3">
        <f>Raw_Production!J421</f>
        <v>114</v>
      </c>
      <c r="K421" s="3">
        <f>Raw_Production!L421</f>
        <v>118</v>
      </c>
      <c r="L421" s="3">
        <f>Raw_Production!M421</f>
        <v>4</v>
      </c>
      <c r="M421" s="3">
        <f>Raw_Production!F421</f>
        <v>4</v>
      </c>
      <c r="N421" s="3">
        <f>Raw_Production!K421</f>
        <v>1755</v>
      </c>
      <c r="O421" s="3">
        <f>Raw_Production!H421</f>
        <v>8.1999999999999993</v>
      </c>
      <c r="P421" s="3">
        <f>Raw_Production!E421</f>
        <v>23</v>
      </c>
    </row>
    <row r="422" spans="1:16" x14ac:dyDescent="0.3">
      <c r="A422" s="4">
        <f>Raw_Production!A422</f>
        <v>46097</v>
      </c>
      <c r="B422" s="3" t="str">
        <f>Raw_Production!C422</f>
        <v>Cutting</v>
      </c>
      <c r="C422" s="3" t="str">
        <f>Raw_Production!D422</f>
        <v>T01</v>
      </c>
      <c r="D422" s="3" t="str">
        <f>Raw_Production!P422</f>
        <v>ST-103</v>
      </c>
      <c r="E422" s="3" t="str">
        <f>Raw_Production!O422</f>
        <v>Hoodie</v>
      </c>
      <c r="F422" s="6">
        <f>Raw_Production!G422</f>
        <v>0.81</v>
      </c>
      <c r="G422" s="6">
        <f>Raw_Production!N422</f>
        <v>0.77</v>
      </c>
      <c r="H422" s="6">
        <f t="shared" si="6"/>
        <v>-4.0000000000000036E-2</v>
      </c>
      <c r="I422" s="3">
        <f>Raw_Production!I422</f>
        <v>242</v>
      </c>
      <c r="J422" s="3">
        <f>Raw_Production!J422</f>
        <v>36</v>
      </c>
      <c r="K422" s="3">
        <f>Raw_Production!L422</f>
        <v>108</v>
      </c>
      <c r="L422" s="3">
        <f>Raw_Production!M422</f>
        <v>5</v>
      </c>
      <c r="M422" s="3">
        <f>Raw_Production!F422</f>
        <v>3</v>
      </c>
      <c r="N422" s="3">
        <f>Raw_Production!K422</f>
        <v>1610</v>
      </c>
      <c r="O422" s="3">
        <f>Raw_Production!H422</f>
        <v>14.7</v>
      </c>
      <c r="P422" s="3">
        <f>Raw_Production!E422</f>
        <v>27</v>
      </c>
    </row>
    <row r="423" spans="1:16" x14ac:dyDescent="0.3">
      <c r="A423" s="4">
        <f>Raw_Production!A423</f>
        <v>46097</v>
      </c>
      <c r="B423" s="3" t="str">
        <f>Raw_Production!C423</f>
        <v>Cutting</v>
      </c>
      <c r="C423" s="3" t="str">
        <f>Raw_Production!D423</f>
        <v>T06</v>
      </c>
      <c r="D423" s="3" t="str">
        <f>Raw_Production!P423</f>
        <v>ST-104</v>
      </c>
      <c r="E423" s="3" t="str">
        <f>Raw_Production!O423</f>
        <v>Shirt</v>
      </c>
      <c r="F423" s="6">
        <f>Raw_Production!G423</f>
        <v>0.85</v>
      </c>
      <c r="G423" s="6">
        <f>Raw_Production!N423</f>
        <v>0.68</v>
      </c>
      <c r="H423" s="6">
        <f t="shared" si="6"/>
        <v>-0.16999999999999993</v>
      </c>
      <c r="I423" s="3">
        <f>Raw_Production!I423</f>
        <v>301</v>
      </c>
      <c r="J423" s="3">
        <f>Raw_Production!J423</f>
        <v>140</v>
      </c>
      <c r="K423" s="3">
        <f>Raw_Production!L423</f>
        <v>68</v>
      </c>
      <c r="L423" s="3">
        <f>Raw_Production!M423</f>
        <v>5</v>
      </c>
      <c r="M423" s="3">
        <f>Raw_Production!F423</f>
        <v>1</v>
      </c>
      <c r="N423" s="3">
        <f>Raw_Production!K423</f>
        <v>600</v>
      </c>
      <c r="O423" s="3">
        <f>Raw_Production!H423</f>
        <v>17.8</v>
      </c>
      <c r="P423" s="3">
        <f>Raw_Production!E423</f>
        <v>29</v>
      </c>
    </row>
    <row r="424" spans="1:16" x14ac:dyDescent="0.3">
      <c r="A424" s="4">
        <f>Raw_Production!A424</f>
        <v>46097</v>
      </c>
      <c r="B424" s="3" t="str">
        <f>Raw_Production!C424</f>
        <v>Sewing</v>
      </c>
      <c r="C424" s="3" t="str">
        <f>Raw_Production!D424</f>
        <v>T02</v>
      </c>
      <c r="D424" s="3" t="str">
        <f>Raw_Production!P424</f>
        <v>ST-101</v>
      </c>
      <c r="E424" s="3" t="str">
        <f>Raw_Production!O424</f>
        <v>T-Shirt</v>
      </c>
      <c r="F424" s="6">
        <f>Raw_Production!G424</f>
        <v>0.85</v>
      </c>
      <c r="G424" s="6">
        <f>Raw_Production!N424</f>
        <v>0.7</v>
      </c>
      <c r="H424" s="6">
        <f t="shared" si="6"/>
        <v>-0.15000000000000002</v>
      </c>
      <c r="I424" s="3">
        <f>Raw_Production!I424</f>
        <v>306</v>
      </c>
      <c r="J424" s="3">
        <f>Raw_Production!J424</f>
        <v>39</v>
      </c>
      <c r="K424" s="3">
        <f>Raw_Production!L424</f>
        <v>9</v>
      </c>
      <c r="L424" s="3">
        <f>Raw_Production!M424</f>
        <v>1</v>
      </c>
      <c r="M424" s="3">
        <f>Raw_Production!F424</f>
        <v>0</v>
      </c>
      <c r="N424" s="3">
        <f>Raw_Production!K424</f>
        <v>1171</v>
      </c>
      <c r="O424" s="3">
        <f>Raw_Production!H424</f>
        <v>10.7</v>
      </c>
      <c r="P424" s="3">
        <f>Raw_Production!E424</f>
        <v>32</v>
      </c>
    </row>
    <row r="425" spans="1:16" x14ac:dyDescent="0.3">
      <c r="A425" s="4">
        <f>Raw_Production!A425</f>
        <v>46097</v>
      </c>
      <c r="B425" s="3" t="str">
        <f>Raw_Production!C425</f>
        <v>Sewing</v>
      </c>
      <c r="C425" s="3" t="str">
        <f>Raw_Production!D425</f>
        <v>T03</v>
      </c>
      <c r="D425" s="3" t="str">
        <f>Raw_Production!P425</f>
        <v>ST-107</v>
      </c>
      <c r="E425" s="3" t="str">
        <f>Raw_Production!O425</f>
        <v>Polo</v>
      </c>
      <c r="F425" s="6">
        <f>Raw_Production!G425</f>
        <v>0.82</v>
      </c>
      <c r="G425" s="6">
        <f>Raw_Production!N425</f>
        <v>0.84</v>
      </c>
      <c r="H425" s="6">
        <f t="shared" si="6"/>
        <v>2.0000000000000018E-2</v>
      </c>
      <c r="I425" s="3">
        <f>Raw_Production!I425</f>
        <v>208</v>
      </c>
      <c r="J425" s="3">
        <f>Raw_Production!J425</f>
        <v>93</v>
      </c>
      <c r="K425" s="3">
        <f>Raw_Production!L425</f>
        <v>4</v>
      </c>
      <c r="L425" s="3">
        <f>Raw_Production!M425</f>
        <v>3</v>
      </c>
      <c r="M425" s="3">
        <f>Raw_Production!F425</f>
        <v>0</v>
      </c>
      <c r="N425" s="3">
        <f>Raw_Production!K425</f>
        <v>2700</v>
      </c>
      <c r="O425" s="3">
        <f>Raw_Production!H425</f>
        <v>10.8</v>
      </c>
      <c r="P425" s="3">
        <f>Raw_Production!E425</f>
        <v>28</v>
      </c>
    </row>
    <row r="426" spans="1:16" x14ac:dyDescent="0.3">
      <c r="A426" s="4">
        <f>Raw_Production!A426</f>
        <v>46097</v>
      </c>
      <c r="B426" s="3" t="str">
        <f>Raw_Production!C426</f>
        <v>Finishing</v>
      </c>
      <c r="C426" s="3" t="str">
        <f>Raw_Production!D426</f>
        <v>T04</v>
      </c>
      <c r="D426" s="3" t="str">
        <f>Raw_Production!P426</f>
        <v>ST-107</v>
      </c>
      <c r="E426" s="3" t="str">
        <f>Raw_Production!O426</f>
        <v>Polo</v>
      </c>
      <c r="F426" s="6">
        <f>Raw_Production!G426</f>
        <v>0.81</v>
      </c>
      <c r="G426" s="6">
        <f>Raw_Production!N426</f>
        <v>0.72</v>
      </c>
      <c r="H426" s="6">
        <f t="shared" si="6"/>
        <v>-9.000000000000008E-2</v>
      </c>
      <c r="I426" s="3">
        <f>Raw_Production!I426</f>
        <v>368</v>
      </c>
      <c r="J426" s="3">
        <f>Raw_Production!J426</f>
        <v>117</v>
      </c>
      <c r="K426" s="3">
        <f>Raw_Production!L426</f>
        <v>65</v>
      </c>
      <c r="L426" s="3">
        <f>Raw_Production!M426</f>
        <v>4</v>
      </c>
      <c r="M426" s="3">
        <f>Raw_Production!F426</f>
        <v>0</v>
      </c>
      <c r="N426" s="3">
        <f>Raw_Production!K426</f>
        <v>1452</v>
      </c>
      <c r="O426" s="3">
        <f>Raw_Production!H426</f>
        <v>13.6</v>
      </c>
      <c r="P426" s="3">
        <f>Raw_Production!E426</f>
        <v>21</v>
      </c>
    </row>
    <row r="427" spans="1:16" x14ac:dyDescent="0.3">
      <c r="A427" s="4">
        <f>Raw_Production!A427</f>
        <v>46097</v>
      </c>
      <c r="B427" s="3" t="str">
        <f>Raw_Production!C427</f>
        <v>Finishing</v>
      </c>
      <c r="C427" s="3" t="str">
        <f>Raw_Production!D427</f>
        <v>T05</v>
      </c>
      <c r="D427" s="3" t="str">
        <f>Raw_Production!P427</f>
        <v>ST-107</v>
      </c>
      <c r="E427" s="3" t="str">
        <f>Raw_Production!O427</f>
        <v>Polo</v>
      </c>
      <c r="F427" s="6">
        <f>Raw_Production!G427</f>
        <v>0.86</v>
      </c>
      <c r="G427" s="6">
        <f>Raw_Production!N427</f>
        <v>0.78</v>
      </c>
      <c r="H427" s="6">
        <f t="shared" si="6"/>
        <v>-7.999999999999996E-2</v>
      </c>
      <c r="I427" s="3">
        <f>Raw_Production!I427</f>
        <v>266</v>
      </c>
      <c r="J427" s="3">
        <f>Raw_Production!J427</f>
        <v>54</v>
      </c>
      <c r="K427" s="3">
        <f>Raw_Production!L427</f>
        <v>95</v>
      </c>
      <c r="L427" s="3">
        <f>Raw_Production!M427</f>
        <v>5</v>
      </c>
      <c r="M427" s="3">
        <f>Raw_Production!F427</f>
        <v>2</v>
      </c>
      <c r="N427" s="3">
        <f>Raw_Production!K427</f>
        <v>1043</v>
      </c>
      <c r="O427" s="3">
        <f>Raw_Production!H427</f>
        <v>17.2</v>
      </c>
      <c r="P427" s="3">
        <f>Raw_Production!E427</f>
        <v>35</v>
      </c>
    </row>
    <row r="428" spans="1:16" x14ac:dyDescent="0.3">
      <c r="A428" s="4">
        <f>Raw_Production!A428</f>
        <v>46098</v>
      </c>
      <c r="B428" s="3" t="str">
        <f>Raw_Production!C428</f>
        <v>Cutting</v>
      </c>
      <c r="C428" s="3" t="str">
        <f>Raw_Production!D428</f>
        <v>T01</v>
      </c>
      <c r="D428" s="3" t="str">
        <f>Raw_Production!P428</f>
        <v>ST-104</v>
      </c>
      <c r="E428" s="3" t="str">
        <f>Raw_Production!O428</f>
        <v>Shirt</v>
      </c>
      <c r="F428" s="6">
        <f>Raw_Production!G428</f>
        <v>0.82</v>
      </c>
      <c r="G428" s="6">
        <f>Raw_Production!N428</f>
        <v>0.75</v>
      </c>
      <c r="H428" s="6">
        <f t="shared" si="6"/>
        <v>-6.9999999999999951E-2</v>
      </c>
      <c r="I428" s="3">
        <f>Raw_Production!I428</f>
        <v>100</v>
      </c>
      <c r="J428" s="3">
        <f>Raw_Production!J428</f>
        <v>144</v>
      </c>
      <c r="K428" s="3">
        <f>Raw_Production!L428</f>
        <v>16</v>
      </c>
      <c r="L428" s="3">
        <f>Raw_Production!M428</f>
        <v>4</v>
      </c>
      <c r="M428" s="3">
        <f>Raw_Production!F428</f>
        <v>2</v>
      </c>
      <c r="N428" s="3">
        <f>Raw_Production!K428</f>
        <v>3269</v>
      </c>
      <c r="O428" s="3">
        <f>Raw_Production!H428</f>
        <v>7.6</v>
      </c>
      <c r="P428" s="3">
        <f>Raw_Production!E428</f>
        <v>35</v>
      </c>
    </row>
    <row r="429" spans="1:16" x14ac:dyDescent="0.3">
      <c r="A429" s="4">
        <f>Raw_Production!A429</f>
        <v>46098</v>
      </c>
      <c r="B429" s="3" t="str">
        <f>Raw_Production!C429</f>
        <v>Cutting</v>
      </c>
      <c r="C429" s="3" t="str">
        <f>Raw_Production!D429</f>
        <v>T06</v>
      </c>
      <c r="D429" s="3" t="str">
        <f>Raw_Production!P429</f>
        <v>ST-101</v>
      </c>
      <c r="E429" s="3" t="str">
        <f>Raw_Production!O429</f>
        <v>T-Shirt</v>
      </c>
      <c r="F429" s="6">
        <f>Raw_Production!G429</f>
        <v>0.72</v>
      </c>
      <c r="G429" s="6">
        <f>Raw_Production!N429</f>
        <v>0.67</v>
      </c>
      <c r="H429" s="6">
        <f t="shared" si="6"/>
        <v>-4.9999999999999933E-2</v>
      </c>
      <c r="I429" s="3">
        <f>Raw_Production!I429</f>
        <v>177</v>
      </c>
      <c r="J429" s="3">
        <f>Raw_Production!J429</f>
        <v>29</v>
      </c>
      <c r="K429" s="3">
        <f>Raw_Production!L429</f>
        <v>66</v>
      </c>
      <c r="L429" s="3">
        <f>Raw_Production!M429</f>
        <v>7</v>
      </c>
      <c r="M429" s="3">
        <f>Raw_Production!F429</f>
        <v>1</v>
      </c>
      <c r="N429" s="3">
        <f>Raw_Production!K429</f>
        <v>3899</v>
      </c>
      <c r="O429" s="3">
        <f>Raw_Production!H429</f>
        <v>11.8</v>
      </c>
      <c r="P429" s="3">
        <f>Raw_Production!E429</f>
        <v>35</v>
      </c>
    </row>
    <row r="430" spans="1:16" x14ac:dyDescent="0.3">
      <c r="A430" s="4">
        <f>Raw_Production!A430</f>
        <v>46098</v>
      </c>
      <c r="B430" s="3" t="str">
        <f>Raw_Production!C430</f>
        <v>Sewing</v>
      </c>
      <c r="C430" s="3" t="str">
        <f>Raw_Production!D430</f>
        <v>T02</v>
      </c>
      <c r="D430" s="3" t="str">
        <f>Raw_Production!P430</f>
        <v>ST-103</v>
      </c>
      <c r="E430" s="3" t="str">
        <f>Raw_Production!O430</f>
        <v>Hoodie</v>
      </c>
      <c r="F430" s="6">
        <f>Raw_Production!G430</f>
        <v>0.73</v>
      </c>
      <c r="G430" s="6">
        <f>Raw_Production!N430</f>
        <v>0.57999999999999996</v>
      </c>
      <c r="H430" s="6">
        <f t="shared" si="6"/>
        <v>-0.15000000000000002</v>
      </c>
      <c r="I430" s="3">
        <f>Raw_Production!I430</f>
        <v>99</v>
      </c>
      <c r="J430" s="3">
        <f>Raw_Production!J430</f>
        <v>4</v>
      </c>
      <c r="K430" s="3">
        <f>Raw_Production!L430</f>
        <v>103</v>
      </c>
      <c r="L430" s="3">
        <f>Raw_Production!M430</f>
        <v>0</v>
      </c>
      <c r="M430" s="3">
        <f>Raw_Production!F430</f>
        <v>0</v>
      </c>
      <c r="N430" s="3">
        <f>Raw_Production!K430</f>
        <v>1600</v>
      </c>
      <c r="O430" s="3">
        <f>Raw_Production!H430</f>
        <v>11</v>
      </c>
      <c r="P430" s="3">
        <f>Raw_Production!E430</f>
        <v>33</v>
      </c>
    </row>
    <row r="431" spans="1:16" x14ac:dyDescent="0.3">
      <c r="A431" s="4">
        <f>Raw_Production!A431</f>
        <v>46098</v>
      </c>
      <c r="B431" s="3" t="str">
        <f>Raw_Production!C431</f>
        <v>Sewing</v>
      </c>
      <c r="C431" s="3" t="str">
        <f>Raw_Production!D431</f>
        <v>T03</v>
      </c>
      <c r="D431" s="3" t="str">
        <f>Raw_Production!P431</f>
        <v>ST-107</v>
      </c>
      <c r="E431" s="3" t="str">
        <f>Raw_Production!O431</f>
        <v>Polo</v>
      </c>
      <c r="F431" s="6">
        <f>Raw_Production!G431</f>
        <v>0.73</v>
      </c>
      <c r="G431" s="6">
        <f>Raw_Production!N431</f>
        <v>0.65</v>
      </c>
      <c r="H431" s="6">
        <f t="shared" si="6"/>
        <v>-7.999999999999996E-2</v>
      </c>
      <c r="I431" s="3">
        <f>Raw_Production!I431</f>
        <v>279</v>
      </c>
      <c r="J431" s="3">
        <f>Raw_Production!J431</f>
        <v>94</v>
      </c>
      <c r="K431" s="3">
        <f>Raw_Production!L431</f>
        <v>14</v>
      </c>
      <c r="L431" s="3">
        <f>Raw_Production!M431</f>
        <v>5</v>
      </c>
      <c r="M431" s="3">
        <f>Raw_Production!F431</f>
        <v>2</v>
      </c>
      <c r="N431" s="3">
        <f>Raw_Production!K431</f>
        <v>3960</v>
      </c>
      <c r="O431" s="3">
        <f>Raw_Production!H431</f>
        <v>7.6</v>
      </c>
      <c r="P431" s="3">
        <f>Raw_Production!E431</f>
        <v>27</v>
      </c>
    </row>
    <row r="432" spans="1:16" x14ac:dyDescent="0.3">
      <c r="A432" s="4">
        <f>Raw_Production!A432</f>
        <v>46098</v>
      </c>
      <c r="B432" s="3" t="str">
        <f>Raw_Production!C432</f>
        <v>Finishing</v>
      </c>
      <c r="C432" s="3" t="str">
        <f>Raw_Production!D432</f>
        <v>T04</v>
      </c>
      <c r="D432" s="3" t="str">
        <f>Raw_Production!P432</f>
        <v>ST-106</v>
      </c>
      <c r="E432" s="3" t="str">
        <f>Raw_Production!O432</f>
        <v>T-Shirt</v>
      </c>
      <c r="F432" s="6">
        <f>Raw_Production!G432</f>
        <v>0.75</v>
      </c>
      <c r="G432" s="6">
        <f>Raw_Production!N432</f>
        <v>0.74</v>
      </c>
      <c r="H432" s="6">
        <f t="shared" si="6"/>
        <v>-1.0000000000000009E-2</v>
      </c>
      <c r="I432" s="3">
        <f>Raw_Production!I432</f>
        <v>354</v>
      </c>
      <c r="J432" s="3">
        <f>Raw_Production!J432</f>
        <v>127</v>
      </c>
      <c r="K432" s="3">
        <f>Raw_Production!L432</f>
        <v>12</v>
      </c>
      <c r="L432" s="3">
        <f>Raw_Production!M432</f>
        <v>3</v>
      </c>
      <c r="M432" s="3">
        <f>Raw_Production!F432</f>
        <v>0</v>
      </c>
      <c r="N432" s="3">
        <f>Raw_Production!K432</f>
        <v>3137</v>
      </c>
      <c r="O432" s="3">
        <f>Raw_Production!H432</f>
        <v>17.3</v>
      </c>
      <c r="P432" s="3">
        <f>Raw_Production!E432</f>
        <v>22</v>
      </c>
    </row>
    <row r="433" spans="1:16" x14ac:dyDescent="0.3">
      <c r="A433" s="4">
        <f>Raw_Production!A433</f>
        <v>46098</v>
      </c>
      <c r="B433" s="3" t="str">
        <f>Raw_Production!C433</f>
        <v>Finishing</v>
      </c>
      <c r="C433" s="3" t="str">
        <f>Raw_Production!D433</f>
        <v>T05</v>
      </c>
      <c r="D433" s="3" t="str">
        <f>Raw_Production!P433</f>
        <v>ST-108</v>
      </c>
      <c r="E433" s="3" t="str">
        <f>Raw_Production!O433</f>
        <v>Hoodie</v>
      </c>
      <c r="F433" s="6">
        <f>Raw_Production!G433</f>
        <v>0.75</v>
      </c>
      <c r="G433" s="6">
        <f>Raw_Production!N433</f>
        <v>0.71</v>
      </c>
      <c r="H433" s="6">
        <f t="shared" si="6"/>
        <v>-4.0000000000000036E-2</v>
      </c>
      <c r="I433" s="3">
        <f>Raw_Production!I433</f>
        <v>120</v>
      </c>
      <c r="J433" s="3">
        <f>Raw_Production!J433</f>
        <v>73</v>
      </c>
      <c r="K433" s="3">
        <f>Raw_Production!L433</f>
        <v>114</v>
      </c>
      <c r="L433" s="3">
        <f>Raw_Production!M433</f>
        <v>4</v>
      </c>
      <c r="M433" s="3">
        <f>Raw_Production!F433</f>
        <v>3</v>
      </c>
      <c r="N433" s="3">
        <f>Raw_Production!K433</f>
        <v>2483</v>
      </c>
      <c r="O433" s="3">
        <f>Raw_Production!H433</f>
        <v>12.5</v>
      </c>
      <c r="P433" s="3">
        <f>Raw_Production!E433</f>
        <v>37</v>
      </c>
    </row>
    <row r="434" spans="1:16" x14ac:dyDescent="0.3">
      <c r="A434" s="4">
        <f>Raw_Production!A434</f>
        <v>46099</v>
      </c>
      <c r="B434" s="3" t="str">
        <f>Raw_Production!C434</f>
        <v>Cutting</v>
      </c>
      <c r="C434" s="3" t="str">
        <f>Raw_Production!D434</f>
        <v>T01</v>
      </c>
      <c r="D434" s="3" t="str">
        <f>Raw_Production!P434</f>
        <v>ST-102</v>
      </c>
      <c r="E434" s="3" t="str">
        <f>Raw_Production!O434</f>
        <v>Polo</v>
      </c>
      <c r="F434" s="6">
        <f>Raw_Production!G434</f>
        <v>0.78</v>
      </c>
      <c r="G434" s="6">
        <f>Raw_Production!N434</f>
        <v>0.74</v>
      </c>
      <c r="H434" s="6">
        <f t="shared" si="6"/>
        <v>-4.0000000000000036E-2</v>
      </c>
      <c r="I434" s="3">
        <f>Raw_Production!I434</f>
        <v>333</v>
      </c>
      <c r="J434" s="3">
        <f>Raw_Production!J434</f>
        <v>64</v>
      </c>
      <c r="K434" s="3">
        <f>Raw_Production!L434</f>
        <v>61</v>
      </c>
      <c r="L434" s="3">
        <f>Raw_Production!M434</f>
        <v>1</v>
      </c>
      <c r="M434" s="3">
        <f>Raw_Production!F434</f>
        <v>2</v>
      </c>
      <c r="N434" s="3">
        <f>Raw_Production!K434</f>
        <v>319</v>
      </c>
      <c r="O434" s="3">
        <f>Raw_Production!H434</f>
        <v>8.9</v>
      </c>
      <c r="P434" s="3">
        <f>Raw_Production!E434</f>
        <v>30</v>
      </c>
    </row>
    <row r="435" spans="1:16" x14ac:dyDescent="0.3">
      <c r="A435" s="4">
        <f>Raw_Production!A435</f>
        <v>46099</v>
      </c>
      <c r="B435" s="3" t="str">
        <f>Raw_Production!C435</f>
        <v>Cutting</v>
      </c>
      <c r="C435" s="3" t="str">
        <f>Raw_Production!D435</f>
        <v>T06</v>
      </c>
      <c r="D435" s="3" t="str">
        <f>Raw_Production!P435</f>
        <v>ST-101</v>
      </c>
      <c r="E435" s="3" t="str">
        <f>Raw_Production!O435</f>
        <v>T-Shirt</v>
      </c>
      <c r="F435" s="6">
        <f>Raw_Production!G435</f>
        <v>0.77</v>
      </c>
      <c r="G435" s="6">
        <f>Raw_Production!N435</f>
        <v>0.69</v>
      </c>
      <c r="H435" s="6">
        <f t="shared" si="6"/>
        <v>-8.0000000000000071E-2</v>
      </c>
      <c r="I435" s="3">
        <f>Raw_Production!I435</f>
        <v>347</v>
      </c>
      <c r="J435" s="3">
        <f>Raw_Production!J435</f>
        <v>49</v>
      </c>
      <c r="K435" s="3">
        <f>Raw_Production!L435</f>
        <v>77</v>
      </c>
      <c r="L435" s="3">
        <f>Raw_Production!M435</f>
        <v>6</v>
      </c>
      <c r="M435" s="3">
        <f>Raw_Production!F435</f>
        <v>1</v>
      </c>
      <c r="N435" s="3">
        <f>Raw_Production!K435</f>
        <v>4223</v>
      </c>
      <c r="O435" s="3">
        <f>Raw_Production!H435</f>
        <v>16.899999999999999</v>
      </c>
      <c r="P435" s="3">
        <f>Raw_Production!E435</f>
        <v>32</v>
      </c>
    </row>
    <row r="436" spans="1:16" x14ac:dyDescent="0.3">
      <c r="A436" s="4">
        <f>Raw_Production!A436</f>
        <v>46099</v>
      </c>
      <c r="B436" s="3" t="str">
        <f>Raw_Production!C436</f>
        <v>Sewing</v>
      </c>
      <c r="C436" s="3" t="str">
        <f>Raw_Production!D436</f>
        <v>T02</v>
      </c>
      <c r="D436" s="3" t="str">
        <f>Raw_Production!P436</f>
        <v>ST-110</v>
      </c>
      <c r="E436" s="3" t="str">
        <f>Raw_Production!O436</f>
        <v>Jacket</v>
      </c>
      <c r="F436" s="6">
        <f>Raw_Production!G436</f>
        <v>0.86</v>
      </c>
      <c r="G436" s="6">
        <f>Raw_Production!N436</f>
        <v>0.85</v>
      </c>
      <c r="H436" s="6">
        <f t="shared" si="6"/>
        <v>-1.0000000000000009E-2</v>
      </c>
      <c r="I436" s="3">
        <f>Raw_Production!I436</f>
        <v>49</v>
      </c>
      <c r="J436" s="3">
        <f>Raw_Production!J436</f>
        <v>66</v>
      </c>
      <c r="K436" s="3">
        <f>Raw_Production!L436</f>
        <v>31</v>
      </c>
      <c r="L436" s="3">
        <f>Raw_Production!M436</f>
        <v>4</v>
      </c>
      <c r="M436" s="3">
        <f>Raw_Production!F436</f>
        <v>1</v>
      </c>
      <c r="N436" s="3">
        <f>Raw_Production!K436</f>
        <v>1804</v>
      </c>
      <c r="O436" s="3">
        <f>Raw_Production!H436</f>
        <v>7.6</v>
      </c>
      <c r="P436" s="3">
        <f>Raw_Production!E436</f>
        <v>37</v>
      </c>
    </row>
    <row r="437" spans="1:16" x14ac:dyDescent="0.3">
      <c r="A437" s="4">
        <f>Raw_Production!A437</f>
        <v>46099</v>
      </c>
      <c r="B437" s="3" t="str">
        <f>Raw_Production!C437</f>
        <v>Sewing</v>
      </c>
      <c r="C437" s="3" t="str">
        <f>Raw_Production!D437</f>
        <v>T03</v>
      </c>
      <c r="D437" s="3" t="str">
        <f>Raw_Production!P437</f>
        <v>ST-110</v>
      </c>
      <c r="E437" s="3" t="str">
        <f>Raw_Production!O437</f>
        <v>Jacket</v>
      </c>
      <c r="F437" s="6">
        <f>Raw_Production!G437</f>
        <v>0.85</v>
      </c>
      <c r="G437" s="6">
        <f>Raw_Production!N437</f>
        <v>0.8</v>
      </c>
      <c r="H437" s="6">
        <f t="shared" si="6"/>
        <v>-4.9999999999999933E-2</v>
      </c>
      <c r="I437" s="3">
        <f>Raw_Production!I437</f>
        <v>95</v>
      </c>
      <c r="J437" s="3">
        <f>Raw_Production!J437</f>
        <v>10</v>
      </c>
      <c r="K437" s="3">
        <f>Raw_Production!L437</f>
        <v>71</v>
      </c>
      <c r="L437" s="3">
        <f>Raw_Production!M437</f>
        <v>5</v>
      </c>
      <c r="M437" s="3">
        <f>Raw_Production!F437</f>
        <v>0</v>
      </c>
      <c r="N437" s="3">
        <f>Raw_Production!K437</f>
        <v>190</v>
      </c>
      <c r="O437" s="3">
        <f>Raw_Production!H437</f>
        <v>9.1</v>
      </c>
      <c r="P437" s="3">
        <f>Raw_Production!E437</f>
        <v>20</v>
      </c>
    </row>
    <row r="438" spans="1:16" x14ac:dyDescent="0.3">
      <c r="A438" s="4">
        <f>Raw_Production!A438</f>
        <v>46099</v>
      </c>
      <c r="B438" s="3" t="str">
        <f>Raw_Production!C438</f>
        <v>Finishing</v>
      </c>
      <c r="C438" s="3" t="str">
        <f>Raw_Production!D438</f>
        <v>T04</v>
      </c>
      <c r="D438" s="3" t="str">
        <f>Raw_Production!P438</f>
        <v>ST-106</v>
      </c>
      <c r="E438" s="3" t="str">
        <f>Raw_Production!O438</f>
        <v>T-Shirt</v>
      </c>
      <c r="F438" s="6">
        <f>Raw_Production!G438</f>
        <v>0.74</v>
      </c>
      <c r="G438" s="6">
        <f>Raw_Production!N438</f>
        <v>0.57999999999999996</v>
      </c>
      <c r="H438" s="6">
        <f t="shared" si="6"/>
        <v>-0.16000000000000003</v>
      </c>
      <c r="I438" s="3">
        <f>Raw_Production!I438</f>
        <v>325</v>
      </c>
      <c r="J438" s="3">
        <f>Raw_Production!J438</f>
        <v>140</v>
      </c>
      <c r="K438" s="3">
        <f>Raw_Production!L438</f>
        <v>20</v>
      </c>
      <c r="L438" s="3">
        <f>Raw_Production!M438</f>
        <v>6</v>
      </c>
      <c r="M438" s="3">
        <f>Raw_Production!F438</f>
        <v>1</v>
      </c>
      <c r="N438" s="3">
        <f>Raw_Production!K438</f>
        <v>2963</v>
      </c>
      <c r="O438" s="3">
        <f>Raw_Production!H438</f>
        <v>17</v>
      </c>
      <c r="P438" s="3">
        <f>Raw_Production!E438</f>
        <v>27</v>
      </c>
    </row>
    <row r="439" spans="1:16" x14ac:dyDescent="0.3">
      <c r="A439" s="4">
        <f>Raw_Production!A439</f>
        <v>46099</v>
      </c>
      <c r="B439" s="3" t="str">
        <f>Raw_Production!C439</f>
        <v>Finishing</v>
      </c>
      <c r="C439" s="3" t="str">
        <f>Raw_Production!D439</f>
        <v>T05</v>
      </c>
      <c r="D439" s="3" t="str">
        <f>Raw_Production!P439</f>
        <v>ST-108</v>
      </c>
      <c r="E439" s="3" t="str">
        <f>Raw_Production!O439</f>
        <v>Hoodie</v>
      </c>
      <c r="F439" s="6">
        <f>Raw_Production!G439</f>
        <v>0.9</v>
      </c>
      <c r="G439" s="6">
        <f>Raw_Production!N439</f>
        <v>0.93</v>
      </c>
      <c r="H439" s="6">
        <f t="shared" si="6"/>
        <v>3.0000000000000027E-2</v>
      </c>
      <c r="I439" s="3">
        <f>Raw_Production!I439</f>
        <v>253</v>
      </c>
      <c r="J439" s="3">
        <f>Raw_Production!J439</f>
        <v>86</v>
      </c>
      <c r="K439" s="3">
        <f>Raw_Production!L439</f>
        <v>79</v>
      </c>
      <c r="L439" s="3">
        <f>Raw_Production!M439</f>
        <v>4</v>
      </c>
      <c r="M439" s="3">
        <f>Raw_Production!F439</f>
        <v>1</v>
      </c>
      <c r="N439" s="3">
        <f>Raw_Production!K439</f>
        <v>3446</v>
      </c>
      <c r="O439" s="3">
        <f>Raw_Production!H439</f>
        <v>7.7</v>
      </c>
      <c r="P439" s="3">
        <f>Raw_Production!E439</f>
        <v>23</v>
      </c>
    </row>
    <row r="440" spans="1:16" x14ac:dyDescent="0.3">
      <c r="A440" s="4">
        <f>Raw_Production!A440</f>
        <v>46100</v>
      </c>
      <c r="B440" s="3" t="str">
        <f>Raw_Production!C440</f>
        <v>Cutting</v>
      </c>
      <c r="C440" s="3" t="str">
        <f>Raw_Production!D440</f>
        <v>T01</v>
      </c>
      <c r="D440" s="3" t="str">
        <f>Raw_Production!P440</f>
        <v>ST-108</v>
      </c>
      <c r="E440" s="3" t="str">
        <f>Raw_Production!O440</f>
        <v>Hoodie</v>
      </c>
      <c r="F440" s="6">
        <f>Raw_Production!G440</f>
        <v>0.88</v>
      </c>
      <c r="G440" s="6">
        <f>Raw_Production!N440</f>
        <v>0.82</v>
      </c>
      <c r="H440" s="6">
        <f t="shared" si="6"/>
        <v>-6.0000000000000053E-2</v>
      </c>
      <c r="I440" s="3">
        <f>Raw_Production!I440</f>
        <v>202</v>
      </c>
      <c r="J440" s="3">
        <f>Raw_Production!J440</f>
        <v>4</v>
      </c>
      <c r="K440" s="3">
        <f>Raw_Production!L440</f>
        <v>114</v>
      </c>
      <c r="L440" s="3">
        <f>Raw_Production!M440</f>
        <v>4</v>
      </c>
      <c r="M440" s="3">
        <f>Raw_Production!F440</f>
        <v>0</v>
      </c>
      <c r="N440" s="3">
        <f>Raw_Production!K440</f>
        <v>3524</v>
      </c>
      <c r="O440" s="3">
        <f>Raw_Production!H440</f>
        <v>17.2</v>
      </c>
      <c r="P440" s="3">
        <f>Raw_Production!E440</f>
        <v>23</v>
      </c>
    </row>
    <row r="441" spans="1:16" x14ac:dyDescent="0.3">
      <c r="A441" s="4">
        <f>Raw_Production!A441</f>
        <v>46100</v>
      </c>
      <c r="B441" s="3" t="str">
        <f>Raw_Production!C441</f>
        <v>Cutting</v>
      </c>
      <c r="C441" s="3" t="str">
        <f>Raw_Production!D441</f>
        <v>T06</v>
      </c>
      <c r="D441" s="3" t="str">
        <f>Raw_Production!P441</f>
        <v>ST-104</v>
      </c>
      <c r="E441" s="3" t="str">
        <f>Raw_Production!O441</f>
        <v>Shirt</v>
      </c>
      <c r="F441" s="6">
        <f>Raw_Production!G441</f>
        <v>0.85</v>
      </c>
      <c r="G441" s="6">
        <f>Raw_Production!N441</f>
        <v>0.86</v>
      </c>
      <c r="H441" s="6">
        <f t="shared" si="6"/>
        <v>1.0000000000000009E-2</v>
      </c>
      <c r="I441" s="3">
        <f>Raw_Production!I441</f>
        <v>208</v>
      </c>
      <c r="J441" s="3">
        <f>Raw_Production!J441</f>
        <v>36</v>
      </c>
      <c r="K441" s="3">
        <f>Raw_Production!L441</f>
        <v>42</v>
      </c>
      <c r="L441" s="3">
        <f>Raw_Production!M441</f>
        <v>5</v>
      </c>
      <c r="M441" s="3">
        <f>Raw_Production!F441</f>
        <v>1</v>
      </c>
      <c r="N441" s="3">
        <f>Raw_Production!K441</f>
        <v>3447</v>
      </c>
      <c r="O441" s="3">
        <f>Raw_Production!H441</f>
        <v>17.899999999999999</v>
      </c>
      <c r="P441" s="3">
        <f>Raw_Production!E441</f>
        <v>23</v>
      </c>
    </row>
    <row r="442" spans="1:16" x14ac:dyDescent="0.3">
      <c r="A442" s="4">
        <f>Raw_Production!A442</f>
        <v>46100</v>
      </c>
      <c r="B442" s="3" t="str">
        <f>Raw_Production!C442</f>
        <v>Sewing</v>
      </c>
      <c r="C442" s="3" t="str">
        <f>Raw_Production!D442</f>
        <v>T02</v>
      </c>
      <c r="D442" s="3" t="str">
        <f>Raw_Production!P442</f>
        <v>ST-108</v>
      </c>
      <c r="E442" s="3" t="str">
        <f>Raw_Production!O442</f>
        <v>Hoodie</v>
      </c>
      <c r="F442" s="6">
        <f>Raw_Production!G442</f>
        <v>0.81</v>
      </c>
      <c r="G442" s="6">
        <f>Raw_Production!N442</f>
        <v>0.69</v>
      </c>
      <c r="H442" s="6">
        <f t="shared" si="6"/>
        <v>-0.12000000000000011</v>
      </c>
      <c r="I442" s="3">
        <f>Raw_Production!I442</f>
        <v>96</v>
      </c>
      <c r="J442" s="3">
        <f>Raw_Production!J442</f>
        <v>94</v>
      </c>
      <c r="K442" s="3">
        <f>Raw_Production!L442</f>
        <v>77</v>
      </c>
      <c r="L442" s="3">
        <f>Raw_Production!M442</f>
        <v>3</v>
      </c>
      <c r="M442" s="3">
        <f>Raw_Production!F442</f>
        <v>0</v>
      </c>
      <c r="N442" s="3">
        <f>Raw_Production!K442</f>
        <v>3996</v>
      </c>
      <c r="O442" s="3">
        <f>Raw_Production!H442</f>
        <v>13.1</v>
      </c>
      <c r="P442" s="3">
        <f>Raw_Production!E442</f>
        <v>22</v>
      </c>
    </row>
    <row r="443" spans="1:16" x14ac:dyDescent="0.3">
      <c r="A443" s="4">
        <f>Raw_Production!A443</f>
        <v>46100</v>
      </c>
      <c r="B443" s="3" t="str">
        <f>Raw_Production!C443</f>
        <v>Sewing</v>
      </c>
      <c r="C443" s="3" t="str">
        <f>Raw_Production!D443</f>
        <v>T03</v>
      </c>
      <c r="D443" s="3" t="str">
        <f>Raw_Production!P443</f>
        <v>ST-101</v>
      </c>
      <c r="E443" s="3" t="str">
        <f>Raw_Production!O443</f>
        <v>T-Shirt</v>
      </c>
      <c r="F443" s="6">
        <f>Raw_Production!G443</f>
        <v>0.85</v>
      </c>
      <c r="G443" s="6">
        <f>Raw_Production!N443</f>
        <v>0.83</v>
      </c>
      <c r="H443" s="6">
        <f t="shared" si="6"/>
        <v>-2.0000000000000018E-2</v>
      </c>
      <c r="I443" s="3">
        <f>Raw_Production!I443</f>
        <v>187</v>
      </c>
      <c r="J443" s="3">
        <f>Raw_Production!J443</f>
        <v>28</v>
      </c>
      <c r="K443" s="3">
        <f>Raw_Production!L443</f>
        <v>83</v>
      </c>
      <c r="L443" s="3">
        <f>Raw_Production!M443</f>
        <v>0</v>
      </c>
      <c r="M443" s="3">
        <f>Raw_Production!F443</f>
        <v>1</v>
      </c>
      <c r="N443" s="3">
        <f>Raw_Production!K443</f>
        <v>1938</v>
      </c>
      <c r="O443" s="3">
        <f>Raw_Production!H443</f>
        <v>17.3</v>
      </c>
      <c r="P443" s="3">
        <f>Raw_Production!E443</f>
        <v>25</v>
      </c>
    </row>
    <row r="444" spans="1:16" x14ac:dyDescent="0.3">
      <c r="A444" s="4">
        <f>Raw_Production!A444</f>
        <v>46100</v>
      </c>
      <c r="B444" s="3" t="str">
        <f>Raw_Production!C444</f>
        <v>Finishing</v>
      </c>
      <c r="C444" s="3" t="str">
        <f>Raw_Production!D444</f>
        <v>T04</v>
      </c>
      <c r="D444" s="3" t="str">
        <f>Raw_Production!P444</f>
        <v>ST-104</v>
      </c>
      <c r="E444" s="3" t="str">
        <f>Raw_Production!O444</f>
        <v>Shirt</v>
      </c>
      <c r="F444" s="6">
        <f>Raw_Production!G444</f>
        <v>0.73</v>
      </c>
      <c r="G444" s="6">
        <f>Raw_Production!N444</f>
        <v>0.76</v>
      </c>
      <c r="H444" s="6">
        <f t="shared" si="6"/>
        <v>3.0000000000000027E-2</v>
      </c>
      <c r="I444" s="3">
        <f>Raw_Production!I444</f>
        <v>381</v>
      </c>
      <c r="J444" s="3">
        <f>Raw_Production!J444</f>
        <v>112</v>
      </c>
      <c r="K444" s="3">
        <f>Raw_Production!L444</f>
        <v>70</v>
      </c>
      <c r="L444" s="3">
        <f>Raw_Production!M444</f>
        <v>9</v>
      </c>
      <c r="M444" s="3">
        <f>Raw_Production!F444</f>
        <v>1</v>
      </c>
      <c r="N444" s="3">
        <f>Raw_Production!K444</f>
        <v>2238</v>
      </c>
      <c r="O444" s="3">
        <f>Raw_Production!H444</f>
        <v>12.2</v>
      </c>
      <c r="P444" s="3">
        <f>Raw_Production!E444</f>
        <v>37</v>
      </c>
    </row>
    <row r="445" spans="1:16" x14ac:dyDescent="0.3">
      <c r="A445" s="4">
        <f>Raw_Production!A445</f>
        <v>46100</v>
      </c>
      <c r="B445" s="3" t="str">
        <f>Raw_Production!C445</f>
        <v>Finishing</v>
      </c>
      <c r="C445" s="3" t="str">
        <f>Raw_Production!D445</f>
        <v>T05</v>
      </c>
      <c r="D445" s="3" t="str">
        <f>Raw_Production!P445</f>
        <v>ST-104</v>
      </c>
      <c r="E445" s="3" t="str">
        <f>Raw_Production!O445</f>
        <v>Shirt</v>
      </c>
      <c r="F445" s="6">
        <f>Raw_Production!G445</f>
        <v>0.75</v>
      </c>
      <c r="G445" s="6">
        <f>Raw_Production!N445</f>
        <v>0.57999999999999996</v>
      </c>
      <c r="H445" s="6">
        <f t="shared" si="6"/>
        <v>-0.17000000000000004</v>
      </c>
      <c r="I445" s="3">
        <f>Raw_Production!I445</f>
        <v>83</v>
      </c>
      <c r="J445" s="3">
        <f>Raw_Production!J445</f>
        <v>124</v>
      </c>
      <c r="K445" s="3">
        <f>Raw_Production!L445</f>
        <v>114</v>
      </c>
      <c r="L445" s="3">
        <f>Raw_Production!M445</f>
        <v>9</v>
      </c>
      <c r="M445" s="3">
        <f>Raw_Production!F445</f>
        <v>0</v>
      </c>
      <c r="N445" s="3">
        <f>Raw_Production!K445</f>
        <v>4413</v>
      </c>
      <c r="O445" s="3">
        <f>Raw_Production!H445</f>
        <v>9.4</v>
      </c>
      <c r="P445" s="3">
        <f>Raw_Production!E445</f>
        <v>38</v>
      </c>
    </row>
    <row r="446" spans="1:16" x14ac:dyDescent="0.3">
      <c r="A446" s="4">
        <f>Raw_Production!A446</f>
        <v>46101</v>
      </c>
      <c r="B446" s="3" t="str">
        <f>Raw_Production!C446</f>
        <v>Cutting</v>
      </c>
      <c r="C446" s="3" t="str">
        <f>Raw_Production!D446</f>
        <v>T01</v>
      </c>
      <c r="D446" s="3" t="str">
        <f>Raw_Production!P446</f>
        <v>ST-103</v>
      </c>
      <c r="E446" s="3" t="str">
        <f>Raw_Production!O446</f>
        <v>Hoodie</v>
      </c>
      <c r="F446" s="6">
        <f>Raw_Production!G446</f>
        <v>0.75</v>
      </c>
      <c r="G446" s="6">
        <f>Raw_Production!N446</f>
        <v>0.76</v>
      </c>
      <c r="H446" s="6">
        <f t="shared" si="6"/>
        <v>1.0000000000000009E-2</v>
      </c>
      <c r="I446" s="3">
        <f>Raw_Production!I446</f>
        <v>190</v>
      </c>
      <c r="J446" s="3">
        <f>Raw_Production!J446</f>
        <v>16</v>
      </c>
      <c r="K446" s="3">
        <f>Raw_Production!L446</f>
        <v>74</v>
      </c>
      <c r="L446" s="3">
        <f>Raw_Production!M446</f>
        <v>4</v>
      </c>
      <c r="M446" s="3">
        <f>Raw_Production!F446</f>
        <v>3</v>
      </c>
      <c r="N446" s="3">
        <f>Raw_Production!K446</f>
        <v>4418</v>
      </c>
      <c r="O446" s="3">
        <f>Raw_Production!H446</f>
        <v>16.899999999999999</v>
      </c>
      <c r="P446" s="3">
        <f>Raw_Production!E446</f>
        <v>20</v>
      </c>
    </row>
    <row r="447" spans="1:16" x14ac:dyDescent="0.3">
      <c r="A447" s="4">
        <f>Raw_Production!A447</f>
        <v>46101</v>
      </c>
      <c r="B447" s="3" t="str">
        <f>Raw_Production!C447</f>
        <v>Cutting</v>
      </c>
      <c r="C447" s="3" t="str">
        <f>Raw_Production!D447</f>
        <v>T06</v>
      </c>
      <c r="D447" s="3" t="str">
        <f>Raw_Production!P447</f>
        <v>ST-107</v>
      </c>
      <c r="E447" s="3" t="str">
        <f>Raw_Production!O447</f>
        <v>Polo</v>
      </c>
      <c r="F447" s="6">
        <f>Raw_Production!G447</f>
        <v>0.82</v>
      </c>
      <c r="G447" s="6">
        <f>Raw_Production!N447</f>
        <v>0.77</v>
      </c>
      <c r="H447" s="6">
        <f t="shared" si="6"/>
        <v>-4.9999999999999933E-2</v>
      </c>
      <c r="I447" s="3">
        <f>Raw_Production!I447</f>
        <v>114</v>
      </c>
      <c r="J447" s="3">
        <f>Raw_Production!J447</f>
        <v>27</v>
      </c>
      <c r="K447" s="3">
        <f>Raw_Production!L447</f>
        <v>92</v>
      </c>
      <c r="L447" s="3">
        <f>Raw_Production!M447</f>
        <v>4</v>
      </c>
      <c r="M447" s="3">
        <f>Raw_Production!F447</f>
        <v>0</v>
      </c>
      <c r="N447" s="3">
        <f>Raw_Production!K447</f>
        <v>2565</v>
      </c>
      <c r="O447" s="3">
        <f>Raw_Production!H447</f>
        <v>8.4</v>
      </c>
      <c r="P447" s="3">
        <f>Raw_Production!E447</f>
        <v>23</v>
      </c>
    </row>
    <row r="448" spans="1:16" x14ac:dyDescent="0.3">
      <c r="A448" s="4">
        <f>Raw_Production!A448</f>
        <v>46101</v>
      </c>
      <c r="B448" s="3" t="str">
        <f>Raw_Production!C448</f>
        <v>Sewing</v>
      </c>
      <c r="C448" s="3" t="str">
        <f>Raw_Production!D448</f>
        <v>T02</v>
      </c>
      <c r="D448" s="3" t="str">
        <f>Raw_Production!P448</f>
        <v>ST-102</v>
      </c>
      <c r="E448" s="3" t="str">
        <f>Raw_Production!O448</f>
        <v>Polo</v>
      </c>
      <c r="F448" s="6">
        <f>Raw_Production!G448</f>
        <v>0.73</v>
      </c>
      <c r="G448" s="6">
        <f>Raw_Production!N448</f>
        <v>0.7</v>
      </c>
      <c r="H448" s="6">
        <f t="shared" si="6"/>
        <v>-3.0000000000000027E-2</v>
      </c>
      <c r="I448" s="3">
        <f>Raw_Production!I448</f>
        <v>258</v>
      </c>
      <c r="J448" s="3">
        <f>Raw_Production!J448</f>
        <v>70</v>
      </c>
      <c r="K448" s="3">
        <f>Raw_Production!L448</f>
        <v>64</v>
      </c>
      <c r="L448" s="3">
        <f>Raw_Production!M448</f>
        <v>1</v>
      </c>
      <c r="M448" s="3">
        <f>Raw_Production!F448</f>
        <v>2</v>
      </c>
      <c r="N448" s="3">
        <f>Raw_Production!K448</f>
        <v>1799</v>
      </c>
      <c r="O448" s="3">
        <f>Raw_Production!H448</f>
        <v>12.5</v>
      </c>
      <c r="P448" s="3">
        <f>Raw_Production!E448</f>
        <v>22</v>
      </c>
    </row>
    <row r="449" spans="1:16" x14ac:dyDescent="0.3">
      <c r="A449" s="4">
        <f>Raw_Production!A449</f>
        <v>46101</v>
      </c>
      <c r="B449" s="3" t="str">
        <f>Raw_Production!C449</f>
        <v>Sewing</v>
      </c>
      <c r="C449" s="3" t="str">
        <f>Raw_Production!D449</f>
        <v>T03</v>
      </c>
      <c r="D449" s="3" t="str">
        <f>Raw_Production!P449</f>
        <v>ST-102</v>
      </c>
      <c r="E449" s="3" t="str">
        <f>Raw_Production!O449</f>
        <v>Polo</v>
      </c>
      <c r="F449" s="6">
        <f>Raw_Production!G449</f>
        <v>0.8</v>
      </c>
      <c r="G449" s="6">
        <f>Raw_Production!N449</f>
        <v>0.79</v>
      </c>
      <c r="H449" s="6">
        <f t="shared" si="6"/>
        <v>-1.0000000000000009E-2</v>
      </c>
      <c r="I449" s="3">
        <f>Raw_Production!I449</f>
        <v>427</v>
      </c>
      <c r="J449" s="3">
        <f>Raw_Production!J449</f>
        <v>143</v>
      </c>
      <c r="K449" s="3">
        <f>Raw_Production!L449</f>
        <v>110</v>
      </c>
      <c r="L449" s="3">
        <f>Raw_Production!M449</f>
        <v>1</v>
      </c>
      <c r="M449" s="3">
        <f>Raw_Production!F449</f>
        <v>2</v>
      </c>
      <c r="N449" s="3">
        <f>Raw_Production!K449</f>
        <v>875</v>
      </c>
      <c r="O449" s="3">
        <f>Raw_Production!H449</f>
        <v>14.7</v>
      </c>
      <c r="P449" s="3">
        <f>Raw_Production!E449</f>
        <v>34</v>
      </c>
    </row>
    <row r="450" spans="1:16" x14ac:dyDescent="0.3">
      <c r="A450" s="4">
        <f>Raw_Production!A450</f>
        <v>46101</v>
      </c>
      <c r="B450" s="3" t="str">
        <f>Raw_Production!C450</f>
        <v>Finishing</v>
      </c>
      <c r="C450" s="3" t="str">
        <f>Raw_Production!D450</f>
        <v>T04</v>
      </c>
      <c r="D450" s="3" t="str">
        <f>Raw_Production!P450</f>
        <v>ST-103</v>
      </c>
      <c r="E450" s="3" t="str">
        <f>Raw_Production!O450</f>
        <v>Hoodie</v>
      </c>
      <c r="F450" s="6">
        <f>Raw_Production!G450</f>
        <v>0.8</v>
      </c>
      <c r="G450" s="6">
        <f>Raw_Production!N450</f>
        <v>0.64</v>
      </c>
      <c r="H450" s="6">
        <f t="shared" ref="H450:H513" si="7">G450-F450</f>
        <v>-0.16000000000000003</v>
      </c>
      <c r="I450" s="3">
        <f>Raw_Production!I450</f>
        <v>306</v>
      </c>
      <c r="J450" s="3">
        <f>Raw_Production!J450</f>
        <v>104</v>
      </c>
      <c r="K450" s="3">
        <f>Raw_Production!L450</f>
        <v>42</v>
      </c>
      <c r="L450" s="3">
        <f>Raw_Production!M450</f>
        <v>0</v>
      </c>
      <c r="M450" s="3">
        <f>Raw_Production!F450</f>
        <v>0</v>
      </c>
      <c r="N450" s="3">
        <f>Raw_Production!K450</f>
        <v>16</v>
      </c>
      <c r="O450" s="3">
        <f>Raw_Production!H450</f>
        <v>16.3</v>
      </c>
      <c r="P450" s="3">
        <f>Raw_Production!E450</f>
        <v>36</v>
      </c>
    </row>
    <row r="451" spans="1:16" x14ac:dyDescent="0.3">
      <c r="A451" s="4">
        <f>Raw_Production!A451</f>
        <v>46101</v>
      </c>
      <c r="B451" s="3" t="str">
        <f>Raw_Production!C451</f>
        <v>Finishing</v>
      </c>
      <c r="C451" s="3" t="str">
        <f>Raw_Production!D451</f>
        <v>T05</v>
      </c>
      <c r="D451" s="3" t="str">
        <f>Raw_Production!P451</f>
        <v>ST-104</v>
      </c>
      <c r="E451" s="3" t="str">
        <f>Raw_Production!O451</f>
        <v>Shirt</v>
      </c>
      <c r="F451" s="6">
        <f>Raw_Production!G451</f>
        <v>0.76</v>
      </c>
      <c r="G451" s="6">
        <f>Raw_Production!N451</f>
        <v>0.64</v>
      </c>
      <c r="H451" s="6">
        <f t="shared" si="7"/>
        <v>-0.12</v>
      </c>
      <c r="I451" s="3">
        <f>Raw_Production!I451</f>
        <v>263</v>
      </c>
      <c r="J451" s="3">
        <f>Raw_Production!J451</f>
        <v>144</v>
      </c>
      <c r="K451" s="3">
        <f>Raw_Production!L451</f>
        <v>115</v>
      </c>
      <c r="L451" s="3">
        <f>Raw_Production!M451</f>
        <v>4</v>
      </c>
      <c r="M451" s="3">
        <f>Raw_Production!F451</f>
        <v>0</v>
      </c>
      <c r="N451" s="3">
        <f>Raw_Production!K451</f>
        <v>3415</v>
      </c>
      <c r="O451" s="3">
        <f>Raw_Production!H451</f>
        <v>11.2</v>
      </c>
      <c r="P451" s="3">
        <f>Raw_Production!E451</f>
        <v>31</v>
      </c>
    </row>
    <row r="452" spans="1:16" x14ac:dyDescent="0.3">
      <c r="A452" s="4">
        <f>Raw_Production!A452</f>
        <v>46102</v>
      </c>
      <c r="B452" s="3" t="str">
        <f>Raw_Production!C452</f>
        <v>Cutting</v>
      </c>
      <c r="C452" s="3" t="str">
        <f>Raw_Production!D452</f>
        <v>T01</v>
      </c>
      <c r="D452" s="3" t="str">
        <f>Raw_Production!P452</f>
        <v>ST-108</v>
      </c>
      <c r="E452" s="3" t="str">
        <f>Raw_Production!O452</f>
        <v>Hoodie</v>
      </c>
      <c r="F452" s="6">
        <f>Raw_Production!G452</f>
        <v>0.74</v>
      </c>
      <c r="G452" s="6">
        <f>Raw_Production!N452</f>
        <v>0.6</v>
      </c>
      <c r="H452" s="6">
        <f t="shared" si="7"/>
        <v>-0.14000000000000001</v>
      </c>
      <c r="I452" s="3">
        <f>Raw_Production!I452</f>
        <v>387</v>
      </c>
      <c r="J452" s="3">
        <f>Raw_Production!J452</f>
        <v>115</v>
      </c>
      <c r="K452" s="3">
        <f>Raw_Production!L452</f>
        <v>65</v>
      </c>
      <c r="L452" s="3">
        <f>Raw_Production!M452</f>
        <v>4</v>
      </c>
      <c r="M452" s="3">
        <f>Raw_Production!F452</f>
        <v>0</v>
      </c>
      <c r="N452" s="3">
        <f>Raw_Production!K452</f>
        <v>3358</v>
      </c>
      <c r="O452" s="3">
        <f>Raw_Production!H452</f>
        <v>16.5</v>
      </c>
      <c r="P452" s="3">
        <f>Raw_Production!E452</f>
        <v>24</v>
      </c>
    </row>
    <row r="453" spans="1:16" x14ac:dyDescent="0.3">
      <c r="A453" s="4">
        <f>Raw_Production!A453</f>
        <v>46102</v>
      </c>
      <c r="B453" s="3" t="str">
        <f>Raw_Production!C453</f>
        <v>Cutting</v>
      </c>
      <c r="C453" s="3" t="str">
        <f>Raw_Production!D453</f>
        <v>T06</v>
      </c>
      <c r="D453" s="3" t="str">
        <f>Raw_Production!P453</f>
        <v>ST-106</v>
      </c>
      <c r="E453" s="3" t="str">
        <f>Raw_Production!O453</f>
        <v>T-Shirt</v>
      </c>
      <c r="F453" s="6">
        <f>Raw_Production!G453</f>
        <v>0.84</v>
      </c>
      <c r="G453" s="6">
        <f>Raw_Production!N453</f>
        <v>0.66</v>
      </c>
      <c r="H453" s="6">
        <f t="shared" si="7"/>
        <v>-0.17999999999999994</v>
      </c>
      <c r="I453" s="3">
        <f>Raw_Production!I453</f>
        <v>384</v>
      </c>
      <c r="J453" s="3">
        <f>Raw_Production!J453</f>
        <v>34</v>
      </c>
      <c r="K453" s="3">
        <f>Raw_Production!L453</f>
        <v>70</v>
      </c>
      <c r="L453" s="3">
        <f>Raw_Production!M453</f>
        <v>3</v>
      </c>
      <c r="M453" s="3">
        <f>Raw_Production!F453</f>
        <v>1</v>
      </c>
      <c r="N453" s="3">
        <f>Raw_Production!K453</f>
        <v>1039</v>
      </c>
      <c r="O453" s="3">
        <f>Raw_Production!H453</f>
        <v>16</v>
      </c>
      <c r="P453" s="3">
        <f>Raw_Production!E453</f>
        <v>22</v>
      </c>
    </row>
    <row r="454" spans="1:16" x14ac:dyDescent="0.3">
      <c r="A454" s="4">
        <f>Raw_Production!A454</f>
        <v>46102</v>
      </c>
      <c r="B454" s="3" t="str">
        <f>Raw_Production!C454</f>
        <v>Sewing</v>
      </c>
      <c r="C454" s="3" t="str">
        <f>Raw_Production!D454</f>
        <v>T02</v>
      </c>
      <c r="D454" s="3" t="str">
        <f>Raw_Production!P454</f>
        <v>ST-110</v>
      </c>
      <c r="E454" s="3" t="str">
        <f>Raw_Production!O454</f>
        <v>Jacket</v>
      </c>
      <c r="F454" s="6">
        <f>Raw_Production!G454</f>
        <v>0.77</v>
      </c>
      <c r="G454" s="6">
        <f>Raw_Production!N454</f>
        <v>0.56999999999999995</v>
      </c>
      <c r="H454" s="6">
        <f t="shared" si="7"/>
        <v>-0.20000000000000007</v>
      </c>
      <c r="I454" s="3">
        <f>Raw_Production!I454</f>
        <v>409</v>
      </c>
      <c r="J454" s="3">
        <f>Raw_Production!J454</f>
        <v>136</v>
      </c>
      <c r="K454" s="3">
        <f>Raw_Production!L454</f>
        <v>120</v>
      </c>
      <c r="L454" s="3">
        <f>Raw_Production!M454</f>
        <v>1</v>
      </c>
      <c r="M454" s="3">
        <f>Raw_Production!F454</f>
        <v>1</v>
      </c>
      <c r="N454" s="3">
        <f>Raw_Production!K454</f>
        <v>781</v>
      </c>
      <c r="O454" s="3">
        <f>Raw_Production!H454</f>
        <v>13.6</v>
      </c>
      <c r="P454" s="3">
        <f>Raw_Production!E454</f>
        <v>27</v>
      </c>
    </row>
    <row r="455" spans="1:16" x14ac:dyDescent="0.3">
      <c r="A455" s="4">
        <f>Raw_Production!A455</f>
        <v>46102</v>
      </c>
      <c r="B455" s="3" t="str">
        <f>Raw_Production!C455</f>
        <v>Sewing</v>
      </c>
      <c r="C455" s="3" t="str">
        <f>Raw_Production!D455</f>
        <v>T03</v>
      </c>
      <c r="D455" s="3" t="str">
        <f>Raw_Production!P455</f>
        <v>ST-105</v>
      </c>
      <c r="E455" s="3" t="str">
        <f>Raw_Production!O455</f>
        <v>Jacket</v>
      </c>
      <c r="F455" s="6">
        <f>Raw_Production!G455</f>
        <v>0.76</v>
      </c>
      <c r="G455" s="6">
        <f>Raw_Production!N455</f>
        <v>0.78</v>
      </c>
      <c r="H455" s="6">
        <f t="shared" si="7"/>
        <v>2.0000000000000018E-2</v>
      </c>
      <c r="I455" s="3">
        <f>Raw_Production!I455</f>
        <v>338</v>
      </c>
      <c r="J455" s="3">
        <f>Raw_Production!J455</f>
        <v>123</v>
      </c>
      <c r="K455" s="3">
        <f>Raw_Production!L455</f>
        <v>3</v>
      </c>
      <c r="L455" s="3">
        <f>Raw_Production!M455</f>
        <v>0</v>
      </c>
      <c r="M455" s="3">
        <f>Raw_Production!F455</f>
        <v>0</v>
      </c>
      <c r="N455" s="3">
        <f>Raw_Production!K455</f>
        <v>1909</v>
      </c>
      <c r="O455" s="3">
        <f>Raw_Production!H455</f>
        <v>13.6</v>
      </c>
      <c r="P455" s="3">
        <f>Raw_Production!E455</f>
        <v>31</v>
      </c>
    </row>
    <row r="456" spans="1:16" x14ac:dyDescent="0.3">
      <c r="A456" s="4">
        <f>Raw_Production!A456</f>
        <v>46102</v>
      </c>
      <c r="B456" s="3" t="str">
        <f>Raw_Production!C456</f>
        <v>Finishing</v>
      </c>
      <c r="C456" s="3" t="str">
        <f>Raw_Production!D456</f>
        <v>T04</v>
      </c>
      <c r="D456" s="3" t="str">
        <f>Raw_Production!P456</f>
        <v>ST-102</v>
      </c>
      <c r="E456" s="3" t="str">
        <f>Raw_Production!O456</f>
        <v>Polo</v>
      </c>
      <c r="F456" s="6">
        <f>Raw_Production!G456</f>
        <v>0.85</v>
      </c>
      <c r="G456" s="6">
        <f>Raw_Production!N456</f>
        <v>0.71</v>
      </c>
      <c r="H456" s="6">
        <f t="shared" si="7"/>
        <v>-0.14000000000000001</v>
      </c>
      <c r="I456" s="3">
        <f>Raw_Production!I456</f>
        <v>398</v>
      </c>
      <c r="J456" s="3">
        <f>Raw_Production!J456</f>
        <v>45</v>
      </c>
      <c r="K456" s="3">
        <f>Raw_Production!L456</f>
        <v>59</v>
      </c>
      <c r="L456" s="3">
        <f>Raw_Production!M456</f>
        <v>1</v>
      </c>
      <c r="M456" s="3">
        <f>Raw_Production!F456</f>
        <v>3</v>
      </c>
      <c r="N456" s="3">
        <f>Raw_Production!K456</f>
        <v>2582</v>
      </c>
      <c r="O456" s="3">
        <f>Raw_Production!H456</f>
        <v>10.1</v>
      </c>
      <c r="P456" s="3">
        <f>Raw_Production!E456</f>
        <v>33</v>
      </c>
    </row>
    <row r="457" spans="1:16" x14ac:dyDescent="0.3">
      <c r="A457" s="4">
        <f>Raw_Production!A457</f>
        <v>46102</v>
      </c>
      <c r="B457" s="3" t="str">
        <f>Raw_Production!C457</f>
        <v>Finishing</v>
      </c>
      <c r="C457" s="3" t="str">
        <f>Raw_Production!D457</f>
        <v>T05</v>
      </c>
      <c r="D457" s="3" t="str">
        <f>Raw_Production!P457</f>
        <v>ST-102</v>
      </c>
      <c r="E457" s="3" t="str">
        <f>Raw_Production!O457</f>
        <v>Polo</v>
      </c>
      <c r="F457" s="6">
        <f>Raw_Production!G457</f>
        <v>0.82</v>
      </c>
      <c r="G457" s="6">
        <f>Raw_Production!N457</f>
        <v>0.72</v>
      </c>
      <c r="H457" s="6">
        <f t="shared" si="7"/>
        <v>-9.9999999999999978E-2</v>
      </c>
      <c r="I457" s="3">
        <f>Raw_Production!I457</f>
        <v>229</v>
      </c>
      <c r="J457" s="3">
        <f>Raw_Production!J457</f>
        <v>50</v>
      </c>
      <c r="K457" s="3">
        <f>Raw_Production!L457</f>
        <v>42</v>
      </c>
      <c r="L457" s="3">
        <f>Raw_Production!M457</f>
        <v>4</v>
      </c>
      <c r="M457" s="3">
        <f>Raw_Production!F457</f>
        <v>0</v>
      </c>
      <c r="N457" s="3">
        <f>Raw_Production!K457</f>
        <v>3492</v>
      </c>
      <c r="O457" s="3">
        <f>Raw_Production!H457</f>
        <v>11.2</v>
      </c>
      <c r="P457" s="3">
        <f>Raw_Production!E457</f>
        <v>27</v>
      </c>
    </row>
    <row r="458" spans="1:16" x14ac:dyDescent="0.3">
      <c r="A458" s="4">
        <f>Raw_Production!A458</f>
        <v>46103</v>
      </c>
      <c r="B458" s="3" t="str">
        <f>Raw_Production!C458</f>
        <v>Cutting</v>
      </c>
      <c r="C458" s="3" t="str">
        <f>Raw_Production!D458</f>
        <v>T01</v>
      </c>
      <c r="D458" s="3" t="str">
        <f>Raw_Production!P458</f>
        <v>ST-101</v>
      </c>
      <c r="E458" s="3" t="str">
        <f>Raw_Production!O458</f>
        <v>T-Shirt</v>
      </c>
      <c r="F458" s="6">
        <f>Raw_Production!G458</f>
        <v>0.87</v>
      </c>
      <c r="G458" s="6">
        <f>Raw_Production!N458</f>
        <v>0.79</v>
      </c>
      <c r="H458" s="6">
        <f t="shared" si="7"/>
        <v>-7.999999999999996E-2</v>
      </c>
      <c r="I458" s="3">
        <f>Raw_Production!I458</f>
        <v>368</v>
      </c>
      <c r="J458" s="3">
        <f>Raw_Production!J458</f>
        <v>148</v>
      </c>
      <c r="K458" s="3">
        <f>Raw_Production!L458</f>
        <v>73</v>
      </c>
      <c r="L458" s="3">
        <f>Raw_Production!M458</f>
        <v>4</v>
      </c>
      <c r="M458" s="3">
        <f>Raw_Production!F458</f>
        <v>0</v>
      </c>
      <c r="N458" s="3">
        <f>Raw_Production!K458</f>
        <v>403</v>
      </c>
      <c r="O458" s="3">
        <f>Raw_Production!H458</f>
        <v>13.4</v>
      </c>
      <c r="P458" s="3">
        <f>Raw_Production!E458</f>
        <v>27</v>
      </c>
    </row>
    <row r="459" spans="1:16" x14ac:dyDescent="0.3">
      <c r="A459" s="4">
        <f>Raw_Production!A459</f>
        <v>46103</v>
      </c>
      <c r="B459" s="3" t="str">
        <f>Raw_Production!C459</f>
        <v>Cutting</v>
      </c>
      <c r="C459" s="3" t="str">
        <f>Raw_Production!D459</f>
        <v>T06</v>
      </c>
      <c r="D459" s="3" t="str">
        <f>Raw_Production!P459</f>
        <v>ST-108</v>
      </c>
      <c r="E459" s="3" t="str">
        <f>Raw_Production!O459</f>
        <v>Hoodie</v>
      </c>
      <c r="F459" s="6">
        <f>Raw_Production!G459</f>
        <v>0.83</v>
      </c>
      <c r="G459" s="6">
        <f>Raw_Production!N459</f>
        <v>0.69</v>
      </c>
      <c r="H459" s="6">
        <f t="shared" si="7"/>
        <v>-0.14000000000000001</v>
      </c>
      <c r="I459" s="3">
        <f>Raw_Production!I459</f>
        <v>338</v>
      </c>
      <c r="J459" s="3">
        <f>Raw_Production!J459</f>
        <v>4</v>
      </c>
      <c r="K459" s="3">
        <f>Raw_Production!L459</f>
        <v>23</v>
      </c>
      <c r="L459" s="3">
        <f>Raw_Production!M459</f>
        <v>4</v>
      </c>
      <c r="M459" s="3">
        <f>Raw_Production!F459</f>
        <v>1</v>
      </c>
      <c r="N459" s="3">
        <f>Raw_Production!K459</f>
        <v>2398</v>
      </c>
      <c r="O459" s="3">
        <f>Raw_Production!H459</f>
        <v>16.5</v>
      </c>
      <c r="P459" s="3">
        <f>Raw_Production!E459</f>
        <v>23</v>
      </c>
    </row>
    <row r="460" spans="1:16" x14ac:dyDescent="0.3">
      <c r="A460" s="4">
        <f>Raw_Production!A460</f>
        <v>46103</v>
      </c>
      <c r="B460" s="3" t="str">
        <f>Raw_Production!C460</f>
        <v>Sewing</v>
      </c>
      <c r="C460" s="3" t="str">
        <f>Raw_Production!D460</f>
        <v>T02</v>
      </c>
      <c r="D460" s="3" t="str">
        <f>Raw_Production!P460</f>
        <v>ST-104</v>
      </c>
      <c r="E460" s="3" t="str">
        <f>Raw_Production!O460</f>
        <v>Shirt</v>
      </c>
      <c r="F460" s="6">
        <f>Raw_Production!G460</f>
        <v>0.74</v>
      </c>
      <c r="G460" s="6">
        <f>Raw_Production!N460</f>
        <v>0.64</v>
      </c>
      <c r="H460" s="6">
        <f t="shared" si="7"/>
        <v>-9.9999999999999978E-2</v>
      </c>
      <c r="I460" s="3">
        <f>Raw_Production!I460</f>
        <v>59</v>
      </c>
      <c r="J460" s="3">
        <f>Raw_Production!J460</f>
        <v>86</v>
      </c>
      <c r="K460" s="3">
        <f>Raw_Production!L460</f>
        <v>105</v>
      </c>
      <c r="L460" s="3">
        <f>Raw_Production!M460</f>
        <v>4</v>
      </c>
      <c r="M460" s="3">
        <f>Raw_Production!F460</f>
        <v>0</v>
      </c>
      <c r="N460" s="3">
        <f>Raw_Production!K460</f>
        <v>3974</v>
      </c>
      <c r="O460" s="3">
        <f>Raw_Production!H460</f>
        <v>15.5</v>
      </c>
      <c r="P460" s="3">
        <f>Raw_Production!E460</f>
        <v>20</v>
      </c>
    </row>
    <row r="461" spans="1:16" x14ac:dyDescent="0.3">
      <c r="A461" s="4">
        <f>Raw_Production!A461</f>
        <v>46103</v>
      </c>
      <c r="B461" s="3" t="str">
        <f>Raw_Production!C461</f>
        <v>Sewing</v>
      </c>
      <c r="C461" s="3" t="str">
        <f>Raw_Production!D461</f>
        <v>T03</v>
      </c>
      <c r="D461" s="3" t="str">
        <f>Raw_Production!P461</f>
        <v>ST-107</v>
      </c>
      <c r="E461" s="3" t="str">
        <f>Raw_Production!O461</f>
        <v>Polo</v>
      </c>
      <c r="F461" s="6">
        <f>Raw_Production!G461</f>
        <v>0.85</v>
      </c>
      <c r="G461" s="6">
        <f>Raw_Production!N461</f>
        <v>0.8</v>
      </c>
      <c r="H461" s="6">
        <f t="shared" si="7"/>
        <v>-4.9999999999999933E-2</v>
      </c>
      <c r="I461" s="3">
        <f>Raw_Production!I461</f>
        <v>313</v>
      </c>
      <c r="J461" s="3">
        <f>Raw_Production!J461</f>
        <v>17</v>
      </c>
      <c r="K461" s="3">
        <f>Raw_Production!L461</f>
        <v>68</v>
      </c>
      <c r="L461" s="3">
        <f>Raw_Production!M461</f>
        <v>0</v>
      </c>
      <c r="M461" s="3">
        <f>Raw_Production!F461</f>
        <v>0</v>
      </c>
      <c r="N461" s="3">
        <f>Raw_Production!K461</f>
        <v>1999</v>
      </c>
      <c r="O461" s="3">
        <f>Raw_Production!H461</f>
        <v>12.2</v>
      </c>
      <c r="P461" s="3">
        <f>Raw_Production!E461</f>
        <v>33</v>
      </c>
    </row>
    <row r="462" spans="1:16" x14ac:dyDescent="0.3">
      <c r="A462" s="4">
        <f>Raw_Production!A462</f>
        <v>46103</v>
      </c>
      <c r="B462" s="3" t="str">
        <f>Raw_Production!C462</f>
        <v>Finishing</v>
      </c>
      <c r="C462" s="3" t="str">
        <f>Raw_Production!D462</f>
        <v>T04</v>
      </c>
      <c r="D462" s="3" t="str">
        <f>Raw_Production!P462</f>
        <v>ST-106</v>
      </c>
      <c r="E462" s="3" t="str">
        <f>Raw_Production!O462</f>
        <v>T-Shirt</v>
      </c>
      <c r="F462" s="6">
        <f>Raw_Production!G462</f>
        <v>0.74</v>
      </c>
      <c r="G462" s="6">
        <f>Raw_Production!N462</f>
        <v>0.6</v>
      </c>
      <c r="H462" s="6">
        <f t="shared" si="7"/>
        <v>-0.14000000000000001</v>
      </c>
      <c r="I462" s="3">
        <f>Raw_Production!I462</f>
        <v>320</v>
      </c>
      <c r="J462" s="3">
        <f>Raw_Production!J462</f>
        <v>116</v>
      </c>
      <c r="K462" s="3">
        <f>Raw_Production!L462</f>
        <v>47</v>
      </c>
      <c r="L462" s="3">
        <f>Raw_Production!M462</f>
        <v>0</v>
      </c>
      <c r="M462" s="3">
        <f>Raw_Production!F462</f>
        <v>1</v>
      </c>
      <c r="N462" s="3">
        <f>Raw_Production!K462</f>
        <v>740</v>
      </c>
      <c r="O462" s="3">
        <f>Raw_Production!H462</f>
        <v>14.4</v>
      </c>
      <c r="P462" s="3">
        <f>Raw_Production!E462</f>
        <v>21</v>
      </c>
    </row>
    <row r="463" spans="1:16" x14ac:dyDescent="0.3">
      <c r="A463" s="4">
        <f>Raw_Production!A463</f>
        <v>46103</v>
      </c>
      <c r="B463" s="3" t="str">
        <f>Raw_Production!C463</f>
        <v>Finishing</v>
      </c>
      <c r="C463" s="3" t="str">
        <f>Raw_Production!D463</f>
        <v>T05</v>
      </c>
      <c r="D463" s="3" t="str">
        <f>Raw_Production!P463</f>
        <v>ST-104</v>
      </c>
      <c r="E463" s="3" t="str">
        <f>Raw_Production!O463</f>
        <v>Shirt</v>
      </c>
      <c r="F463" s="6">
        <f>Raw_Production!G463</f>
        <v>0.79</v>
      </c>
      <c r="G463" s="6">
        <f>Raw_Production!N463</f>
        <v>0.81</v>
      </c>
      <c r="H463" s="6">
        <f t="shared" si="7"/>
        <v>2.0000000000000018E-2</v>
      </c>
      <c r="I463" s="3">
        <f>Raw_Production!I463</f>
        <v>126</v>
      </c>
      <c r="J463" s="3">
        <f>Raw_Production!J463</f>
        <v>131</v>
      </c>
      <c r="K463" s="3">
        <f>Raw_Production!L463</f>
        <v>80</v>
      </c>
      <c r="L463" s="3">
        <f>Raw_Production!M463</f>
        <v>5</v>
      </c>
      <c r="M463" s="3">
        <f>Raw_Production!F463</f>
        <v>1</v>
      </c>
      <c r="N463" s="3">
        <f>Raw_Production!K463</f>
        <v>292</v>
      </c>
      <c r="O463" s="3">
        <f>Raw_Production!H463</f>
        <v>12.1</v>
      </c>
      <c r="P463" s="3">
        <f>Raw_Production!E463</f>
        <v>28</v>
      </c>
    </row>
    <row r="464" spans="1:16" x14ac:dyDescent="0.3">
      <c r="A464" s="4">
        <f>Raw_Production!A464</f>
        <v>46104</v>
      </c>
      <c r="B464" s="3" t="str">
        <f>Raw_Production!C464</f>
        <v>Cutting</v>
      </c>
      <c r="C464" s="3" t="str">
        <f>Raw_Production!D464</f>
        <v>T01</v>
      </c>
      <c r="D464" s="3" t="str">
        <f>Raw_Production!P464</f>
        <v>ST-110</v>
      </c>
      <c r="E464" s="3" t="str">
        <f>Raw_Production!O464</f>
        <v>Jacket</v>
      </c>
      <c r="F464" s="6">
        <f>Raw_Production!G464</f>
        <v>0.89</v>
      </c>
      <c r="G464" s="6">
        <f>Raw_Production!N464</f>
        <v>0.92</v>
      </c>
      <c r="H464" s="6">
        <f t="shared" si="7"/>
        <v>3.0000000000000027E-2</v>
      </c>
      <c r="I464" s="3">
        <f>Raw_Production!I464</f>
        <v>312</v>
      </c>
      <c r="J464" s="3">
        <f>Raw_Production!J464</f>
        <v>8</v>
      </c>
      <c r="K464" s="3">
        <f>Raw_Production!L464</f>
        <v>34</v>
      </c>
      <c r="L464" s="3">
        <f>Raw_Production!M464</f>
        <v>3</v>
      </c>
      <c r="M464" s="3">
        <f>Raw_Production!F464</f>
        <v>1</v>
      </c>
      <c r="N464" s="3">
        <f>Raw_Production!K464</f>
        <v>3194</v>
      </c>
      <c r="O464" s="3">
        <f>Raw_Production!H464</f>
        <v>14.7</v>
      </c>
      <c r="P464" s="3">
        <f>Raw_Production!E464</f>
        <v>23</v>
      </c>
    </row>
    <row r="465" spans="1:16" x14ac:dyDescent="0.3">
      <c r="A465" s="4">
        <f>Raw_Production!A465</f>
        <v>46104</v>
      </c>
      <c r="B465" s="3" t="str">
        <f>Raw_Production!C465</f>
        <v>Cutting</v>
      </c>
      <c r="C465" s="3" t="str">
        <f>Raw_Production!D465</f>
        <v>T06</v>
      </c>
      <c r="D465" s="3" t="str">
        <f>Raw_Production!P465</f>
        <v>ST-107</v>
      </c>
      <c r="E465" s="3" t="str">
        <f>Raw_Production!O465</f>
        <v>Polo</v>
      </c>
      <c r="F465" s="6">
        <f>Raw_Production!G465</f>
        <v>0.81</v>
      </c>
      <c r="G465" s="6">
        <f>Raw_Production!N465</f>
        <v>0.66</v>
      </c>
      <c r="H465" s="6">
        <f t="shared" si="7"/>
        <v>-0.15000000000000002</v>
      </c>
      <c r="I465" s="3">
        <f>Raw_Production!I465</f>
        <v>255</v>
      </c>
      <c r="J465" s="3">
        <f>Raw_Production!J465</f>
        <v>72</v>
      </c>
      <c r="K465" s="3">
        <f>Raw_Production!L465</f>
        <v>14</v>
      </c>
      <c r="L465" s="3">
        <f>Raw_Production!M465</f>
        <v>4</v>
      </c>
      <c r="M465" s="3">
        <f>Raw_Production!F465</f>
        <v>2</v>
      </c>
      <c r="N465" s="3">
        <f>Raw_Production!K465</f>
        <v>160</v>
      </c>
      <c r="O465" s="3">
        <f>Raw_Production!H465</f>
        <v>16.7</v>
      </c>
      <c r="P465" s="3">
        <f>Raw_Production!E465</f>
        <v>20</v>
      </c>
    </row>
    <row r="466" spans="1:16" x14ac:dyDescent="0.3">
      <c r="A466" s="4">
        <f>Raw_Production!A466</f>
        <v>46104</v>
      </c>
      <c r="B466" s="3" t="str">
        <f>Raw_Production!C466</f>
        <v>Sewing</v>
      </c>
      <c r="C466" s="3" t="str">
        <f>Raw_Production!D466</f>
        <v>T02</v>
      </c>
      <c r="D466" s="3" t="str">
        <f>Raw_Production!P466</f>
        <v>ST-101</v>
      </c>
      <c r="E466" s="3" t="str">
        <f>Raw_Production!O466</f>
        <v>T-Shirt</v>
      </c>
      <c r="F466" s="6">
        <f>Raw_Production!G466</f>
        <v>0.88</v>
      </c>
      <c r="G466" s="6">
        <f>Raw_Production!N466</f>
        <v>0.94</v>
      </c>
      <c r="H466" s="6">
        <f t="shared" si="7"/>
        <v>5.9999999999999942E-2</v>
      </c>
      <c r="I466" s="3">
        <f>Raw_Production!I466</f>
        <v>386</v>
      </c>
      <c r="J466" s="3">
        <f>Raw_Production!J466</f>
        <v>120</v>
      </c>
      <c r="K466" s="3">
        <f>Raw_Production!L466</f>
        <v>19</v>
      </c>
      <c r="L466" s="3">
        <f>Raw_Production!M466</f>
        <v>8</v>
      </c>
      <c r="M466" s="3">
        <f>Raw_Production!F466</f>
        <v>0</v>
      </c>
      <c r="N466" s="3">
        <f>Raw_Production!K466</f>
        <v>1511</v>
      </c>
      <c r="O466" s="3">
        <f>Raw_Production!H466</f>
        <v>11</v>
      </c>
      <c r="P466" s="3">
        <f>Raw_Production!E466</f>
        <v>36</v>
      </c>
    </row>
    <row r="467" spans="1:16" x14ac:dyDescent="0.3">
      <c r="A467" s="4">
        <f>Raw_Production!A467</f>
        <v>46104</v>
      </c>
      <c r="B467" s="3" t="str">
        <f>Raw_Production!C467</f>
        <v>Sewing</v>
      </c>
      <c r="C467" s="3" t="str">
        <f>Raw_Production!D467</f>
        <v>T03</v>
      </c>
      <c r="D467" s="3" t="str">
        <f>Raw_Production!P467</f>
        <v>ST-109</v>
      </c>
      <c r="E467" s="3" t="str">
        <f>Raw_Production!O467</f>
        <v>Shirt</v>
      </c>
      <c r="F467" s="6">
        <f>Raw_Production!G467</f>
        <v>0.78</v>
      </c>
      <c r="G467" s="6">
        <f>Raw_Production!N467</f>
        <v>0.77</v>
      </c>
      <c r="H467" s="6">
        <f t="shared" si="7"/>
        <v>-1.0000000000000009E-2</v>
      </c>
      <c r="I467" s="3">
        <f>Raw_Production!I467</f>
        <v>185</v>
      </c>
      <c r="J467" s="3">
        <f>Raw_Production!J467</f>
        <v>15</v>
      </c>
      <c r="K467" s="3">
        <f>Raw_Production!L467</f>
        <v>97</v>
      </c>
      <c r="L467" s="3">
        <f>Raw_Production!M467</f>
        <v>5</v>
      </c>
      <c r="M467" s="3">
        <f>Raw_Production!F467</f>
        <v>1</v>
      </c>
      <c r="N467" s="3">
        <f>Raw_Production!K467</f>
        <v>59</v>
      </c>
      <c r="O467" s="3">
        <f>Raw_Production!H467</f>
        <v>14.5</v>
      </c>
      <c r="P467" s="3">
        <f>Raw_Production!E467</f>
        <v>21</v>
      </c>
    </row>
    <row r="468" spans="1:16" x14ac:dyDescent="0.3">
      <c r="A468" s="4">
        <f>Raw_Production!A468</f>
        <v>46104</v>
      </c>
      <c r="B468" s="3" t="str">
        <f>Raw_Production!C468</f>
        <v>Finishing</v>
      </c>
      <c r="C468" s="3" t="str">
        <f>Raw_Production!D468</f>
        <v>T04</v>
      </c>
      <c r="D468" s="3" t="str">
        <f>Raw_Production!P468</f>
        <v>ST-103</v>
      </c>
      <c r="E468" s="3" t="str">
        <f>Raw_Production!O468</f>
        <v>Hoodie</v>
      </c>
      <c r="F468" s="6">
        <f>Raw_Production!G468</f>
        <v>0.77</v>
      </c>
      <c r="G468" s="6">
        <f>Raw_Production!N468</f>
        <v>0.75</v>
      </c>
      <c r="H468" s="6">
        <f t="shared" si="7"/>
        <v>-2.0000000000000018E-2</v>
      </c>
      <c r="I468" s="3">
        <f>Raw_Production!I468</f>
        <v>445</v>
      </c>
      <c r="J468" s="3">
        <f>Raw_Production!J468</f>
        <v>103</v>
      </c>
      <c r="K468" s="3">
        <f>Raw_Production!L468</f>
        <v>99</v>
      </c>
      <c r="L468" s="3">
        <f>Raw_Production!M468</f>
        <v>6</v>
      </c>
      <c r="M468" s="3">
        <f>Raw_Production!F468</f>
        <v>0</v>
      </c>
      <c r="N468" s="3">
        <f>Raw_Production!K468</f>
        <v>4073</v>
      </c>
      <c r="O468" s="3">
        <f>Raw_Production!H468</f>
        <v>10.4</v>
      </c>
      <c r="P468" s="3">
        <f>Raw_Production!E468</f>
        <v>34</v>
      </c>
    </row>
    <row r="469" spans="1:16" x14ac:dyDescent="0.3">
      <c r="A469" s="4">
        <f>Raw_Production!A469</f>
        <v>46104</v>
      </c>
      <c r="B469" s="3" t="str">
        <f>Raw_Production!C469</f>
        <v>Finishing</v>
      </c>
      <c r="C469" s="3" t="str">
        <f>Raw_Production!D469</f>
        <v>T05</v>
      </c>
      <c r="D469" s="3" t="str">
        <f>Raw_Production!P469</f>
        <v>ST-103</v>
      </c>
      <c r="E469" s="3" t="str">
        <f>Raw_Production!O469</f>
        <v>Hoodie</v>
      </c>
      <c r="F469" s="6">
        <f>Raw_Production!G469</f>
        <v>0.79</v>
      </c>
      <c r="G469" s="6">
        <f>Raw_Production!N469</f>
        <v>0.66</v>
      </c>
      <c r="H469" s="6">
        <f t="shared" si="7"/>
        <v>-0.13</v>
      </c>
      <c r="I469" s="3">
        <f>Raw_Production!I469</f>
        <v>89</v>
      </c>
      <c r="J469" s="3">
        <f>Raw_Production!J469</f>
        <v>26</v>
      </c>
      <c r="K469" s="3">
        <f>Raw_Production!L469</f>
        <v>108</v>
      </c>
      <c r="L469" s="3">
        <f>Raw_Production!M469</f>
        <v>5</v>
      </c>
      <c r="M469" s="3">
        <f>Raw_Production!F469</f>
        <v>0</v>
      </c>
      <c r="N469" s="3">
        <f>Raw_Production!K469</f>
        <v>632</v>
      </c>
      <c r="O469" s="3">
        <f>Raw_Production!H469</f>
        <v>8</v>
      </c>
      <c r="P469" s="3">
        <f>Raw_Production!E469</f>
        <v>21</v>
      </c>
    </row>
    <row r="470" spans="1:16" x14ac:dyDescent="0.3">
      <c r="A470" s="4">
        <f>Raw_Production!A470</f>
        <v>46105</v>
      </c>
      <c r="B470" s="3" t="str">
        <f>Raw_Production!C470</f>
        <v>Cutting</v>
      </c>
      <c r="C470" s="3" t="str">
        <f>Raw_Production!D470</f>
        <v>T01</v>
      </c>
      <c r="D470" s="3" t="str">
        <f>Raw_Production!P470</f>
        <v>ST-108</v>
      </c>
      <c r="E470" s="3" t="str">
        <f>Raw_Production!O470</f>
        <v>Hoodie</v>
      </c>
      <c r="F470" s="6">
        <f>Raw_Production!G470</f>
        <v>0.85</v>
      </c>
      <c r="G470" s="6">
        <f>Raw_Production!N470</f>
        <v>0.94</v>
      </c>
      <c r="H470" s="6">
        <f t="shared" si="7"/>
        <v>8.9999999999999969E-2</v>
      </c>
      <c r="I470" s="3">
        <f>Raw_Production!I470</f>
        <v>364</v>
      </c>
      <c r="J470" s="3">
        <f>Raw_Production!J470</f>
        <v>46</v>
      </c>
      <c r="K470" s="3">
        <f>Raw_Production!L470</f>
        <v>5</v>
      </c>
      <c r="L470" s="3">
        <f>Raw_Production!M470</f>
        <v>1</v>
      </c>
      <c r="M470" s="3">
        <f>Raw_Production!F470</f>
        <v>0</v>
      </c>
      <c r="N470" s="3">
        <f>Raw_Production!K470</f>
        <v>485</v>
      </c>
      <c r="O470" s="3">
        <f>Raw_Production!H470</f>
        <v>10.7</v>
      </c>
      <c r="P470" s="3">
        <f>Raw_Production!E470</f>
        <v>23</v>
      </c>
    </row>
    <row r="471" spans="1:16" x14ac:dyDescent="0.3">
      <c r="A471" s="4">
        <f>Raw_Production!A471</f>
        <v>46105</v>
      </c>
      <c r="B471" s="3" t="str">
        <f>Raw_Production!C471</f>
        <v>Cutting</v>
      </c>
      <c r="C471" s="3" t="str">
        <f>Raw_Production!D471</f>
        <v>T06</v>
      </c>
      <c r="D471" s="3" t="str">
        <f>Raw_Production!P471</f>
        <v>ST-105</v>
      </c>
      <c r="E471" s="3" t="str">
        <f>Raw_Production!O471</f>
        <v>Jacket</v>
      </c>
      <c r="F471" s="6">
        <f>Raw_Production!G471</f>
        <v>0.85</v>
      </c>
      <c r="G471" s="6">
        <f>Raw_Production!N471</f>
        <v>0.76</v>
      </c>
      <c r="H471" s="6">
        <f t="shared" si="7"/>
        <v>-8.9999999999999969E-2</v>
      </c>
      <c r="I471" s="3">
        <f>Raw_Production!I471</f>
        <v>218</v>
      </c>
      <c r="J471" s="3">
        <f>Raw_Production!J471</f>
        <v>118</v>
      </c>
      <c r="K471" s="3">
        <f>Raw_Production!L471</f>
        <v>25</v>
      </c>
      <c r="L471" s="3">
        <f>Raw_Production!M471</f>
        <v>6</v>
      </c>
      <c r="M471" s="3">
        <f>Raw_Production!F471</f>
        <v>0</v>
      </c>
      <c r="N471" s="3">
        <f>Raw_Production!K471</f>
        <v>1654</v>
      </c>
      <c r="O471" s="3">
        <f>Raw_Production!H471</f>
        <v>11.3</v>
      </c>
      <c r="P471" s="3">
        <f>Raw_Production!E471</f>
        <v>38</v>
      </c>
    </row>
    <row r="472" spans="1:16" x14ac:dyDescent="0.3">
      <c r="A472" s="4">
        <f>Raw_Production!A472</f>
        <v>46105</v>
      </c>
      <c r="B472" s="3" t="str">
        <f>Raw_Production!C472</f>
        <v>Sewing</v>
      </c>
      <c r="C472" s="3" t="str">
        <f>Raw_Production!D472</f>
        <v>T02</v>
      </c>
      <c r="D472" s="3" t="str">
        <f>Raw_Production!P472</f>
        <v>ST-108</v>
      </c>
      <c r="E472" s="3" t="str">
        <f>Raw_Production!O472</f>
        <v>Hoodie</v>
      </c>
      <c r="F472" s="6">
        <f>Raw_Production!G472</f>
        <v>0.85</v>
      </c>
      <c r="G472" s="6">
        <f>Raw_Production!N472</f>
        <v>0.79</v>
      </c>
      <c r="H472" s="6">
        <f t="shared" si="7"/>
        <v>-5.9999999999999942E-2</v>
      </c>
      <c r="I472" s="3">
        <f>Raw_Production!I472</f>
        <v>234</v>
      </c>
      <c r="J472" s="3">
        <f>Raw_Production!J472</f>
        <v>68</v>
      </c>
      <c r="K472" s="3">
        <f>Raw_Production!L472</f>
        <v>44</v>
      </c>
      <c r="L472" s="3">
        <f>Raw_Production!M472</f>
        <v>0</v>
      </c>
      <c r="M472" s="3">
        <f>Raw_Production!F472</f>
        <v>0</v>
      </c>
      <c r="N472" s="3">
        <f>Raw_Production!K472</f>
        <v>4075</v>
      </c>
      <c r="O472" s="3">
        <f>Raw_Production!H472</f>
        <v>17.899999999999999</v>
      </c>
      <c r="P472" s="3">
        <f>Raw_Production!E472</f>
        <v>26</v>
      </c>
    </row>
    <row r="473" spans="1:16" x14ac:dyDescent="0.3">
      <c r="A473" s="4">
        <f>Raw_Production!A473</f>
        <v>46105</v>
      </c>
      <c r="B473" s="3" t="str">
        <f>Raw_Production!C473</f>
        <v>Sewing</v>
      </c>
      <c r="C473" s="3" t="str">
        <f>Raw_Production!D473</f>
        <v>T03</v>
      </c>
      <c r="D473" s="3" t="str">
        <f>Raw_Production!P473</f>
        <v>ST-109</v>
      </c>
      <c r="E473" s="3" t="str">
        <f>Raw_Production!O473</f>
        <v>Shirt</v>
      </c>
      <c r="F473" s="6">
        <f>Raw_Production!G473</f>
        <v>0.84</v>
      </c>
      <c r="G473" s="6">
        <f>Raw_Production!N473</f>
        <v>0.73</v>
      </c>
      <c r="H473" s="6">
        <f t="shared" si="7"/>
        <v>-0.10999999999999999</v>
      </c>
      <c r="I473" s="3">
        <f>Raw_Production!I473</f>
        <v>214</v>
      </c>
      <c r="J473" s="3">
        <f>Raw_Production!J473</f>
        <v>73</v>
      </c>
      <c r="K473" s="3">
        <f>Raw_Production!L473</f>
        <v>46</v>
      </c>
      <c r="L473" s="3">
        <f>Raw_Production!M473</f>
        <v>1</v>
      </c>
      <c r="M473" s="3">
        <f>Raw_Production!F473</f>
        <v>1</v>
      </c>
      <c r="N473" s="3">
        <f>Raw_Production!K473</f>
        <v>2702</v>
      </c>
      <c r="O473" s="3">
        <f>Raw_Production!H473</f>
        <v>15.5</v>
      </c>
      <c r="P473" s="3">
        <f>Raw_Production!E473</f>
        <v>32</v>
      </c>
    </row>
    <row r="474" spans="1:16" x14ac:dyDescent="0.3">
      <c r="A474" s="4">
        <f>Raw_Production!A474</f>
        <v>46105</v>
      </c>
      <c r="B474" s="3" t="str">
        <f>Raw_Production!C474</f>
        <v>Finishing</v>
      </c>
      <c r="C474" s="3" t="str">
        <f>Raw_Production!D474</f>
        <v>T04</v>
      </c>
      <c r="D474" s="3" t="str">
        <f>Raw_Production!P474</f>
        <v>ST-101</v>
      </c>
      <c r="E474" s="3" t="str">
        <f>Raw_Production!O474</f>
        <v>T-Shirt</v>
      </c>
      <c r="F474" s="6">
        <f>Raw_Production!G474</f>
        <v>0.74</v>
      </c>
      <c r="G474" s="6">
        <f>Raw_Production!N474</f>
        <v>0.73</v>
      </c>
      <c r="H474" s="6">
        <f t="shared" si="7"/>
        <v>-1.0000000000000009E-2</v>
      </c>
      <c r="I474" s="3">
        <f>Raw_Production!I474</f>
        <v>233</v>
      </c>
      <c r="J474" s="3">
        <f>Raw_Production!J474</f>
        <v>109</v>
      </c>
      <c r="K474" s="3">
        <f>Raw_Production!L474</f>
        <v>29</v>
      </c>
      <c r="L474" s="3">
        <f>Raw_Production!M474</f>
        <v>3</v>
      </c>
      <c r="M474" s="3">
        <f>Raw_Production!F474</f>
        <v>0</v>
      </c>
      <c r="N474" s="3">
        <f>Raw_Production!K474</f>
        <v>119</v>
      </c>
      <c r="O474" s="3">
        <f>Raw_Production!H474</f>
        <v>14.3</v>
      </c>
      <c r="P474" s="3">
        <f>Raw_Production!E474</f>
        <v>31</v>
      </c>
    </row>
    <row r="475" spans="1:16" x14ac:dyDescent="0.3">
      <c r="A475" s="4">
        <f>Raw_Production!A475</f>
        <v>46105</v>
      </c>
      <c r="B475" s="3" t="str">
        <f>Raw_Production!C475</f>
        <v>Finishing</v>
      </c>
      <c r="C475" s="3" t="str">
        <f>Raw_Production!D475</f>
        <v>T05</v>
      </c>
      <c r="D475" s="3" t="str">
        <f>Raw_Production!P475</f>
        <v>ST-106</v>
      </c>
      <c r="E475" s="3" t="str">
        <f>Raw_Production!O475</f>
        <v>T-Shirt</v>
      </c>
      <c r="F475" s="6">
        <f>Raw_Production!G475</f>
        <v>0.84</v>
      </c>
      <c r="G475" s="6">
        <f>Raw_Production!N475</f>
        <v>0.73</v>
      </c>
      <c r="H475" s="6">
        <f t="shared" si="7"/>
        <v>-0.10999999999999999</v>
      </c>
      <c r="I475" s="3">
        <f>Raw_Production!I475</f>
        <v>431</v>
      </c>
      <c r="J475" s="3">
        <f>Raw_Production!J475</f>
        <v>19</v>
      </c>
      <c r="K475" s="3">
        <f>Raw_Production!L475</f>
        <v>84</v>
      </c>
      <c r="L475" s="3">
        <f>Raw_Production!M475</f>
        <v>4</v>
      </c>
      <c r="M475" s="3">
        <f>Raw_Production!F475</f>
        <v>1</v>
      </c>
      <c r="N475" s="3">
        <f>Raw_Production!K475</f>
        <v>38</v>
      </c>
      <c r="O475" s="3">
        <f>Raw_Production!H475</f>
        <v>18.3</v>
      </c>
      <c r="P475" s="3">
        <f>Raw_Production!E475</f>
        <v>37</v>
      </c>
    </row>
    <row r="476" spans="1:16" x14ac:dyDescent="0.3">
      <c r="A476" s="4">
        <f>Raw_Production!A476</f>
        <v>46106</v>
      </c>
      <c r="B476" s="3" t="str">
        <f>Raw_Production!C476</f>
        <v>Cutting</v>
      </c>
      <c r="C476" s="3" t="str">
        <f>Raw_Production!D476</f>
        <v>T01</v>
      </c>
      <c r="D476" s="3" t="str">
        <f>Raw_Production!P476</f>
        <v>ST-109</v>
      </c>
      <c r="E476" s="3" t="str">
        <f>Raw_Production!O476</f>
        <v>Shirt</v>
      </c>
      <c r="F476" s="6">
        <f>Raw_Production!G476</f>
        <v>0.73</v>
      </c>
      <c r="G476" s="6">
        <f>Raw_Production!N476</f>
        <v>0.72</v>
      </c>
      <c r="H476" s="6">
        <f t="shared" si="7"/>
        <v>-1.0000000000000009E-2</v>
      </c>
      <c r="I476" s="3">
        <f>Raw_Production!I476</f>
        <v>266</v>
      </c>
      <c r="J476" s="3">
        <f>Raw_Production!J476</f>
        <v>12</v>
      </c>
      <c r="K476" s="3">
        <f>Raw_Production!L476</f>
        <v>1</v>
      </c>
      <c r="L476" s="3">
        <f>Raw_Production!M476</f>
        <v>1</v>
      </c>
      <c r="M476" s="3">
        <f>Raw_Production!F476</f>
        <v>0</v>
      </c>
      <c r="N476" s="3">
        <f>Raw_Production!K476</f>
        <v>3875</v>
      </c>
      <c r="O476" s="3">
        <f>Raw_Production!H476</f>
        <v>17.100000000000001</v>
      </c>
      <c r="P476" s="3">
        <f>Raw_Production!E476</f>
        <v>24</v>
      </c>
    </row>
    <row r="477" spans="1:16" x14ac:dyDescent="0.3">
      <c r="A477" s="4">
        <f>Raw_Production!A477</f>
        <v>46106</v>
      </c>
      <c r="B477" s="3" t="str">
        <f>Raw_Production!C477</f>
        <v>Cutting</v>
      </c>
      <c r="C477" s="3" t="str">
        <f>Raw_Production!D477</f>
        <v>T06</v>
      </c>
      <c r="D477" s="3" t="str">
        <f>Raw_Production!P477</f>
        <v>ST-109</v>
      </c>
      <c r="E477" s="3" t="str">
        <f>Raw_Production!O477</f>
        <v>Shirt</v>
      </c>
      <c r="F477" s="6">
        <f>Raw_Production!G477</f>
        <v>0.75</v>
      </c>
      <c r="G477" s="6">
        <f>Raw_Production!N477</f>
        <v>0.65</v>
      </c>
      <c r="H477" s="6">
        <f t="shared" si="7"/>
        <v>-9.9999999999999978E-2</v>
      </c>
      <c r="I477" s="3">
        <f>Raw_Production!I477</f>
        <v>402</v>
      </c>
      <c r="J477" s="3">
        <f>Raw_Production!J477</f>
        <v>104</v>
      </c>
      <c r="K477" s="3">
        <f>Raw_Production!L477</f>
        <v>111</v>
      </c>
      <c r="L477" s="3">
        <f>Raw_Production!M477</f>
        <v>5</v>
      </c>
      <c r="M477" s="3">
        <f>Raw_Production!F477</f>
        <v>1</v>
      </c>
      <c r="N477" s="3">
        <f>Raw_Production!K477</f>
        <v>2555</v>
      </c>
      <c r="O477" s="3">
        <f>Raw_Production!H477</f>
        <v>10.199999999999999</v>
      </c>
      <c r="P477" s="3">
        <f>Raw_Production!E477</f>
        <v>34</v>
      </c>
    </row>
    <row r="478" spans="1:16" x14ac:dyDescent="0.3">
      <c r="A478" s="4">
        <f>Raw_Production!A478</f>
        <v>46106</v>
      </c>
      <c r="B478" s="3" t="str">
        <f>Raw_Production!C478</f>
        <v>Sewing</v>
      </c>
      <c r="C478" s="3" t="str">
        <f>Raw_Production!D478</f>
        <v>T02</v>
      </c>
      <c r="D478" s="3" t="str">
        <f>Raw_Production!P478</f>
        <v>ST-102</v>
      </c>
      <c r="E478" s="3" t="str">
        <f>Raw_Production!O478</f>
        <v>Polo</v>
      </c>
      <c r="F478" s="6">
        <f>Raw_Production!G478</f>
        <v>0.83</v>
      </c>
      <c r="G478" s="6">
        <f>Raw_Production!N478</f>
        <v>0.83</v>
      </c>
      <c r="H478" s="6">
        <f t="shared" si="7"/>
        <v>0</v>
      </c>
      <c r="I478" s="3">
        <f>Raw_Production!I478</f>
        <v>46</v>
      </c>
      <c r="J478" s="3">
        <f>Raw_Production!J478</f>
        <v>129</v>
      </c>
      <c r="K478" s="3">
        <f>Raw_Production!L478</f>
        <v>81</v>
      </c>
      <c r="L478" s="3">
        <f>Raw_Production!M478</f>
        <v>6</v>
      </c>
      <c r="M478" s="3">
        <f>Raw_Production!F478</f>
        <v>0</v>
      </c>
      <c r="N478" s="3">
        <f>Raw_Production!K478</f>
        <v>2561</v>
      </c>
      <c r="O478" s="3">
        <f>Raw_Production!H478</f>
        <v>18</v>
      </c>
      <c r="P478" s="3">
        <f>Raw_Production!E478</f>
        <v>36</v>
      </c>
    </row>
    <row r="479" spans="1:16" x14ac:dyDescent="0.3">
      <c r="A479" s="4">
        <f>Raw_Production!A479</f>
        <v>46106</v>
      </c>
      <c r="B479" s="3" t="str">
        <f>Raw_Production!C479</f>
        <v>Sewing</v>
      </c>
      <c r="C479" s="3" t="str">
        <f>Raw_Production!D479</f>
        <v>T03</v>
      </c>
      <c r="D479" s="3" t="str">
        <f>Raw_Production!P479</f>
        <v>ST-103</v>
      </c>
      <c r="E479" s="3" t="str">
        <f>Raw_Production!O479</f>
        <v>Hoodie</v>
      </c>
      <c r="F479" s="6">
        <f>Raw_Production!G479</f>
        <v>0.9</v>
      </c>
      <c r="G479" s="6">
        <f>Raw_Production!N479</f>
        <v>0.82</v>
      </c>
      <c r="H479" s="6">
        <f t="shared" si="7"/>
        <v>-8.0000000000000071E-2</v>
      </c>
      <c r="I479" s="3">
        <f>Raw_Production!I479</f>
        <v>332</v>
      </c>
      <c r="J479" s="3">
        <f>Raw_Production!J479</f>
        <v>118</v>
      </c>
      <c r="K479" s="3">
        <f>Raw_Production!L479</f>
        <v>37</v>
      </c>
      <c r="L479" s="3">
        <f>Raw_Production!M479</f>
        <v>5</v>
      </c>
      <c r="M479" s="3">
        <f>Raw_Production!F479</f>
        <v>0</v>
      </c>
      <c r="N479" s="3">
        <f>Raw_Production!K479</f>
        <v>3756</v>
      </c>
      <c r="O479" s="3">
        <f>Raw_Production!H479</f>
        <v>10.7</v>
      </c>
      <c r="P479" s="3">
        <f>Raw_Production!E479</f>
        <v>35</v>
      </c>
    </row>
    <row r="480" spans="1:16" x14ac:dyDescent="0.3">
      <c r="A480" s="4">
        <f>Raw_Production!A480</f>
        <v>46106</v>
      </c>
      <c r="B480" s="3" t="str">
        <f>Raw_Production!C480</f>
        <v>Finishing</v>
      </c>
      <c r="C480" s="3" t="str">
        <f>Raw_Production!D480</f>
        <v>T04</v>
      </c>
      <c r="D480" s="3" t="str">
        <f>Raw_Production!P480</f>
        <v>ST-103</v>
      </c>
      <c r="E480" s="3" t="str">
        <f>Raw_Production!O480</f>
        <v>Hoodie</v>
      </c>
      <c r="F480" s="6">
        <f>Raw_Production!G480</f>
        <v>0.72</v>
      </c>
      <c r="G480" s="6">
        <f>Raw_Production!N480</f>
        <v>0.66</v>
      </c>
      <c r="H480" s="6">
        <f t="shared" si="7"/>
        <v>-5.9999999999999942E-2</v>
      </c>
      <c r="I480" s="3">
        <f>Raw_Production!I480</f>
        <v>69</v>
      </c>
      <c r="J480" s="3">
        <f>Raw_Production!J480</f>
        <v>146</v>
      </c>
      <c r="K480" s="3">
        <f>Raw_Production!L480</f>
        <v>93</v>
      </c>
      <c r="L480" s="3">
        <f>Raw_Production!M480</f>
        <v>6</v>
      </c>
      <c r="M480" s="3">
        <f>Raw_Production!F480</f>
        <v>0</v>
      </c>
      <c r="N480" s="3">
        <f>Raw_Production!K480</f>
        <v>1452</v>
      </c>
      <c r="O480" s="3">
        <f>Raw_Production!H480</f>
        <v>13.5</v>
      </c>
      <c r="P480" s="3">
        <f>Raw_Production!E480</f>
        <v>27</v>
      </c>
    </row>
    <row r="481" spans="1:16" x14ac:dyDescent="0.3">
      <c r="A481" s="4">
        <f>Raw_Production!A481</f>
        <v>46106</v>
      </c>
      <c r="B481" s="3" t="str">
        <f>Raw_Production!C481</f>
        <v>Finishing</v>
      </c>
      <c r="C481" s="3" t="str">
        <f>Raw_Production!D481</f>
        <v>T05</v>
      </c>
      <c r="D481" s="3" t="str">
        <f>Raw_Production!P481</f>
        <v>ST-109</v>
      </c>
      <c r="E481" s="3" t="str">
        <f>Raw_Production!O481</f>
        <v>Shirt</v>
      </c>
      <c r="F481" s="6">
        <f>Raw_Production!G481</f>
        <v>0.74</v>
      </c>
      <c r="G481" s="6">
        <f>Raw_Production!N481</f>
        <v>0.57999999999999996</v>
      </c>
      <c r="H481" s="6">
        <f t="shared" si="7"/>
        <v>-0.16000000000000003</v>
      </c>
      <c r="I481" s="3">
        <f>Raw_Production!I481</f>
        <v>118</v>
      </c>
      <c r="J481" s="3">
        <f>Raw_Production!J481</f>
        <v>4</v>
      </c>
      <c r="K481" s="3">
        <f>Raw_Production!L481</f>
        <v>24</v>
      </c>
      <c r="L481" s="3">
        <f>Raw_Production!M481</f>
        <v>0</v>
      </c>
      <c r="M481" s="3">
        <f>Raw_Production!F481</f>
        <v>0</v>
      </c>
      <c r="N481" s="3">
        <f>Raw_Production!K481</f>
        <v>2034</v>
      </c>
      <c r="O481" s="3">
        <f>Raw_Production!H481</f>
        <v>9.5</v>
      </c>
      <c r="P481" s="3">
        <f>Raw_Production!E481</f>
        <v>26</v>
      </c>
    </row>
    <row r="482" spans="1:16" x14ac:dyDescent="0.3">
      <c r="A482" s="4">
        <f>Raw_Production!A482</f>
        <v>46107</v>
      </c>
      <c r="B482" s="3" t="str">
        <f>Raw_Production!C482</f>
        <v>Cutting</v>
      </c>
      <c r="C482" s="3" t="str">
        <f>Raw_Production!D482</f>
        <v>T01</v>
      </c>
      <c r="D482" s="3" t="str">
        <f>Raw_Production!P482</f>
        <v>ST-105</v>
      </c>
      <c r="E482" s="3" t="str">
        <f>Raw_Production!O482</f>
        <v>Jacket</v>
      </c>
      <c r="F482" s="6">
        <f>Raw_Production!G482</f>
        <v>0.82</v>
      </c>
      <c r="G482" s="6">
        <f>Raw_Production!N482</f>
        <v>0.86</v>
      </c>
      <c r="H482" s="6">
        <f t="shared" si="7"/>
        <v>4.0000000000000036E-2</v>
      </c>
      <c r="I482" s="3">
        <f>Raw_Production!I482</f>
        <v>226</v>
      </c>
      <c r="J482" s="3">
        <f>Raw_Production!J482</f>
        <v>34</v>
      </c>
      <c r="K482" s="3">
        <f>Raw_Production!L482</f>
        <v>3</v>
      </c>
      <c r="L482" s="3">
        <f>Raw_Production!M482</f>
        <v>4</v>
      </c>
      <c r="M482" s="3">
        <f>Raw_Production!F482</f>
        <v>4</v>
      </c>
      <c r="N482" s="3">
        <f>Raw_Production!K482</f>
        <v>3085</v>
      </c>
      <c r="O482" s="3">
        <f>Raw_Production!H482</f>
        <v>7.7</v>
      </c>
      <c r="P482" s="3">
        <f>Raw_Production!E482</f>
        <v>27</v>
      </c>
    </row>
    <row r="483" spans="1:16" x14ac:dyDescent="0.3">
      <c r="A483" s="4">
        <f>Raw_Production!A483</f>
        <v>46107</v>
      </c>
      <c r="B483" s="3" t="str">
        <f>Raw_Production!C483</f>
        <v>Cutting</v>
      </c>
      <c r="C483" s="3" t="str">
        <f>Raw_Production!D483</f>
        <v>T06</v>
      </c>
      <c r="D483" s="3" t="str">
        <f>Raw_Production!P483</f>
        <v>ST-103</v>
      </c>
      <c r="E483" s="3" t="str">
        <f>Raw_Production!O483</f>
        <v>Hoodie</v>
      </c>
      <c r="F483" s="6">
        <f>Raw_Production!G483</f>
        <v>0.85</v>
      </c>
      <c r="G483" s="6">
        <f>Raw_Production!N483</f>
        <v>0.66</v>
      </c>
      <c r="H483" s="6">
        <f t="shared" si="7"/>
        <v>-0.18999999999999995</v>
      </c>
      <c r="I483" s="3">
        <f>Raw_Production!I483</f>
        <v>381</v>
      </c>
      <c r="J483" s="3">
        <f>Raw_Production!J483</f>
        <v>93</v>
      </c>
      <c r="K483" s="3">
        <f>Raw_Production!L483</f>
        <v>70</v>
      </c>
      <c r="L483" s="3">
        <f>Raw_Production!M483</f>
        <v>3</v>
      </c>
      <c r="M483" s="3">
        <f>Raw_Production!F483</f>
        <v>1</v>
      </c>
      <c r="N483" s="3">
        <f>Raw_Production!K483</f>
        <v>2626</v>
      </c>
      <c r="O483" s="3">
        <f>Raw_Production!H483</f>
        <v>13</v>
      </c>
      <c r="P483" s="3">
        <f>Raw_Production!E483</f>
        <v>25</v>
      </c>
    </row>
    <row r="484" spans="1:16" x14ac:dyDescent="0.3">
      <c r="A484" s="4">
        <f>Raw_Production!A484</f>
        <v>46107</v>
      </c>
      <c r="B484" s="3" t="str">
        <f>Raw_Production!C484</f>
        <v>Sewing</v>
      </c>
      <c r="C484" s="3" t="str">
        <f>Raw_Production!D484</f>
        <v>T02</v>
      </c>
      <c r="D484" s="3" t="str">
        <f>Raw_Production!P484</f>
        <v>ST-107</v>
      </c>
      <c r="E484" s="3" t="str">
        <f>Raw_Production!O484</f>
        <v>Polo</v>
      </c>
      <c r="F484" s="6">
        <f>Raw_Production!G484</f>
        <v>0.85</v>
      </c>
      <c r="G484" s="6">
        <f>Raw_Production!N484</f>
        <v>0.82</v>
      </c>
      <c r="H484" s="6">
        <f t="shared" si="7"/>
        <v>-3.0000000000000027E-2</v>
      </c>
      <c r="I484" s="3">
        <f>Raw_Production!I484</f>
        <v>113</v>
      </c>
      <c r="J484" s="3">
        <f>Raw_Production!J484</f>
        <v>12</v>
      </c>
      <c r="K484" s="3">
        <f>Raw_Production!L484</f>
        <v>86</v>
      </c>
      <c r="L484" s="3">
        <f>Raw_Production!M484</f>
        <v>0</v>
      </c>
      <c r="M484" s="3">
        <f>Raw_Production!F484</f>
        <v>1</v>
      </c>
      <c r="N484" s="3">
        <f>Raw_Production!K484</f>
        <v>3355</v>
      </c>
      <c r="O484" s="3">
        <f>Raw_Production!H484</f>
        <v>15.2</v>
      </c>
      <c r="P484" s="3">
        <f>Raw_Production!E484</f>
        <v>22</v>
      </c>
    </row>
    <row r="485" spans="1:16" x14ac:dyDescent="0.3">
      <c r="A485" s="4">
        <f>Raw_Production!A485</f>
        <v>46107</v>
      </c>
      <c r="B485" s="3" t="str">
        <f>Raw_Production!C485</f>
        <v>Sewing</v>
      </c>
      <c r="C485" s="3" t="str">
        <f>Raw_Production!D485</f>
        <v>T03</v>
      </c>
      <c r="D485" s="3" t="str">
        <f>Raw_Production!P485</f>
        <v>ST-110</v>
      </c>
      <c r="E485" s="3" t="str">
        <f>Raw_Production!O485</f>
        <v>Jacket</v>
      </c>
      <c r="F485" s="6">
        <f>Raw_Production!G485</f>
        <v>0.74</v>
      </c>
      <c r="G485" s="6">
        <f>Raw_Production!N485</f>
        <v>0.56999999999999995</v>
      </c>
      <c r="H485" s="6">
        <f t="shared" si="7"/>
        <v>-0.17000000000000004</v>
      </c>
      <c r="I485" s="3">
        <f>Raw_Production!I485</f>
        <v>285</v>
      </c>
      <c r="J485" s="3">
        <f>Raw_Production!J485</f>
        <v>99</v>
      </c>
      <c r="K485" s="3">
        <f>Raw_Production!L485</f>
        <v>88</v>
      </c>
      <c r="L485" s="3">
        <f>Raw_Production!M485</f>
        <v>2</v>
      </c>
      <c r="M485" s="3">
        <f>Raw_Production!F485</f>
        <v>0</v>
      </c>
      <c r="N485" s="3">
        <f>Raw_Production!K485</f>
        <v>555</v>
      </c>
      <c r="O485" s="3">
        <f>Raw_Production!H485</f>
        <v>17.899999999999999</v>
      </c>
      <c r="P485" s="3">
        <f>Raw_Production!E485</f>
        <v>27</v>
      </c>
    </row>
    <row r="486" spans="1:16" x14ac:dyDescent="0.3">
      <c r="A486" s="4">
        <f>Raw_Production!A486</f>
        <v>46107</v>
      </c>
      <c r="B486" s="3" t="str">
        <f>Raw_Production!C486</f>
        <v>Finishing</v>
      </c>
      <c r="C486" s="3" t="str">
        <f>Raw_Production!D486</f>
        <v>T04</v>
      </c>
      <c r="D486" s="3" t="str">
        <f>Raw_Production!P486</f>
        <v>ST-108</v>
      </c>
      <c r="E486" s="3" t="str">
        <f>Raw_Production!O486</f>
        <v>Hoodie</v>
      </c>
      <c r="F486" s="6">
        <f>Raw_Production!G486</f>
        <v>0.79</v>
      </c>
      <c r="G486" s="6">
        <f>Raw_Production!N486</f>
        <v>0.67</v>
      </c>
      <c r="H486" s="6">
        <f t="shared" si="7"/>
        <v>-0.12</v>
      </c>
      <c r="I486" s="3">
        <f>Raw_Production!I486</f>
        <v>306</v>
      </c>
      <c r="J486" s="3">
        <f>Raw_Production!J486</f>
        <v>32</v>
      </c>
      <c r="K486" s="3">
        <f>Raw_Production!L486</f>
        <v>0</v>
      </c>
      <c r="L486" s="3">
        <f>Raw_Production!M486</f>
        <v>5</v>
      </c>
      <c r="M486" s="3">
        <f>Raw_Production!F486</f>
        <v>0</v>
      </c>
      <c r="N486" s="3">
        <f>Raw_Production!K486</f>
        <v>3582</v>
      </c>
      <c r="O486" s="3">
        <f>Raw_Production!H486</f>
        <v>11.4</v>
      </c>
      <c r="P486" s="3">
        <f>Raw_Production!E486</f>
        <v>20</v>
      </c>
    </row>
    <row r="487" spans="1:16" x14ac:dyDescent="0.3">
      <c r="A487" s="4">
        <f>Raw_Production!A487</f>
        <v>46107</v>
      </c>
      <c r="B487" s="3" t="str">
        <f>Raw_Production!C487</f>
        <v>Finishing</v>
      </c>
      <c r="C487" s="3" t="str">
        <f>Raw_Production!D487</f>
        <v>T05</v>
      </c>
      <c r="D487" s="3" t="str">
        <f>Raw_Production!P487</f>
        <v>ST-106</v>
      </c>
      <c r="E487" s="3" t="str">
        <f>Raw_Production!O487</f>
        <v>T-Shirt</v>
      </c>
      <c r="F487" s="6">
        <f>Raw_Production!G487</f>
        <v>0.82</v>
      </c>
      <c r="G487" s="6">
        <f>Raw_Production!N487</f>
        <v>0.8</v>
      </c>
      <c r="H487" s="6">
        <f t="shared" si="7"/>
        <v>-1.9999999999999907E-2</v>
      </c>
      <c r="I487" s="3">
        <f>Raw_Production!I487</f>
        <v>424</v>
      </c>
      <c r="J487" s="3">
        <f>Raw_Production!J487</f>
        <v>0</v>
      </c>
      <c r="K487" s="3">
        <f>Raw_Production!L487</f>
        <v>62</v>
      </c>
      <c r="L487" s="3">
        <f>Raw_Production!M487</f>
        <v>5</v>
      </c>
      <c r="M487" s="3">
        <f>Raw_Production!F487</f>
        <v>0</v>
      </c>
      <c r="N487" s="3">
        <f>Raw_Production!K487</f>
        <v>3384</v>
      </c>
      <c r="O487" s="3">
        <f>Raw_Production!H487</f>
        <v>18.399999999999999</v>
      </c>
      <c r="P487" s="3">
        <f>Raw_Production!E487</f>
        <v>31</v>
      </c>
    </row>
    <row r="488" spans="1:16" x14ac:dyDescent="0.3">
      <c r="A488" s="4">
        <f>Raw_Production!A488</f>
        <v>46108</v>
      </c>
      <c r="B488" s="3" t="str">
        <f>Raw_Production!C488</f>
        <v>Cutting</v>
      </c>
      <c r="C488" s="3" t="str">
        <f>Raw_Production!D488</f>
        <v>T01</v>
      </c>
      <c r="D488" s="3" t="str">
        <f>Raw_Production!P488</f>
        <v>ST-102</v>
      </c>
      <c r="E488" s="3" t="str">
        <f>Raw_Production!O488</f>
        <v>Polo</v>
      </c>
      <c r="F488" s="6">
        <f>Raw_Production!G488</f>
        <v>0.83</v>
      </c>
      <c r="G488" s="6">
        <f>Raw_Production!N488</f>
        <v>0.88</v>
      </c>
      <c r="H488" s="6">
        <f t="shared" si="7"/>
        <v>5.0000000000000044E-2</v>
      </c>
      <c r="I488" s="3">
        <f>Raw_Production!I488</f>
        <v>328</v>
      </c>
      <c r="J488" s="3">
        <f>Raw_Production!J488</f>
        <v>15</v>
      </c>
      <c r="K488" s="3">
        <f>Raw_Production!L488</f>
        <v>90</v>
      </c>
      <c r="L488" s="3">
        <f>Raw_Production!M488</f>
        <v>6</v>
      </c>
      <c r="M488" s="3">
        <f>Raw_Production!F488</f>
        <v>0</v>
      </c>
      <c r="N488" s="3">
        <f>Raw_Production!K488</f>
        <v>4326</v>
      </c>
      <c r="O488" s="3">
        <f>Raw_Production!H488</f>
        <v>16.3</v>
      </c>
      <c r="P488" s="3">
        <f>Raw_Production!E488</f>
        <v>25</v>
      </c>
    </row>
    <row r="489" spans="1:16" x14ac:dyDescent="0.3">
      <c r="A489" s="4">
        <f>Raw_Production!A489</f>
        <v>46108</v>
      </c>
      <c r="B489" s="3" t="str">
        <f>Raw_Production!C489</f>
        <v>Cutting</v>
      </c>
      <c r="C489" s="3" t="str">
        <f>Raw_Production!D489</f>
        <v>T06</v>
      </c>
      <c r="D489" s="3" t="str">
        <f>Raw_Production!P489</f>
        <v>ST-108</v>
      </c>
      <c r="E489" s="3" t="str">
        <f>Raw_Production!O489</f>
        <v>Hoodie</v>
      </c>
      <c r="F489" s="6">
        <f>Raw_Production!G489</f>
        <v>0.77</v>
      </c>
      <c r="G489" s="6">
        <f>Raw_Production!N489</f>
        <v>0.68</v>
      </c>
      <c r="H489" s="6">
        <f t="shared" si="7"/>
        <v>-8.9999999999999969E-2</v>
      </c>
      <c r="I489" s="3">
        <f>Raw_Production!I489</f>
        <v>71</v>
      </c>
      <c r="J489" s="3">
        <f>Raw_Production!J489</f>
        <v>28</v>
      </c>
      <c r="K489" s="3">
        <f>Raw_Production!L489</f>
        <v>48</v>
      </c>
      <c r="L489" s="3">
        <f>Raw_Production!M489</f>
        <v>0</v>
      </c>
      <c r="M489" s="3">
        <f>Raw_Production!F489</f>
        <v>3</v>
      </c>
      <c r="N489" s="3">
        <f>Raw_Production!K489</f>
        <v>1382</v>
      </c>
      <c r="O489" s="3">
        <f>Raw_Production!H489</f>
        <v>11.7</v>
      </c>
      <c r="P489" s="3">
        <f>Raw_Production!E489</f>
        <v>22</v>
      </c>
    </row>
    <row r="490" spans="1:16" x14ac:dyDescent="0.3">
      <c r="A490" s="4">
        <f>Raw_Production!A490</f>
        <v>46108</v>
      </c>
      <c r="B490" s="3" t="str">
        <f>Raw_Production!C490</f>
        <v>Sewing</v>
      </c>
      <c r="C490" s="3" t="str">
        <f>Raw_Production!D490</f>
        <v>T02</v>
      </c>
      <c r="D490" s="3" t="str">
        <f>Raw_Production!P490</f>
        <v>ST-108</v>
      </c>
      <c r="E490" s="3" t="str">
        <f>Raw_Production!O490</f>
        <v>Hoodie</v>
      </c>
      <c r="F490" s="6">
        <f>Raw_Production!G490</f>
        <v>0.86</v>
      </c>
      <c r="G490" s="6">
        <f>Raw_Production!N490</f>
        <v>0.83</v>
      </c>
      <c r="H490" s="6">
        <f t="shared" si="7"/>
        <v>-3.0000000000000027E-2</v>
      </c>
      <c r="I490" s="3">
        <f>Raw_Production!I490</f>
        <v>232</v>
      </c>
      <c r="J490" s="3">
        <f>Raw_Production!J490</f>
        <v>75</v>
      </c>
      <c r="K490" s="3">
        <f>Raw_Production!L490</f>
        <v>30</v>
      </c>
      <c r="L490" s="3">
        <f>Raw_Production!M490</f>
        <v>3</v>
      </c>
      <c r="M490" s="3">
        <f>Raw_Production!F490</f>
        <v>3</v>
      </c>
      <c r="N490" s="3">
        <f>Raw_Production!K490</f>
        <v>4145</v>
      </c>
      <c r="O490" s="3">
        <f>Raw_Production!H490</f>
        <v>7.5</v>
      </c>
      <c r="P490" s="3">
        <f>Raw_Production!E490</f>
        <v>35</v>
      </c>
    </row>
    <row r="491" spans="1:16" x14ac:dyDescent="0.3">
      <c r="A491" s="4">
        <f>Raw_Production!A491</f>
        <v>46108</v>
      </c>
      <c r="B491" s="3" t="str">
        <f>Raw_Production!C491</f>
        <v>Sewing</v>
      </c>
      <c r="C491" s="3" t="str">
        <f>Raw_Production!D491</f>
        <v>T03</v>
      </c>
      <c r="D491" s="3" t="str">
        <f>Raw_Production!P491</f>
        <v>ST-106</v>
      </c>
      <c r="E491" s="3" t="str">
        <f>Raw_Production!O491</f>
        <v>T-Shirt</v>
      </c>
      <c r="F491" s="6">
        <f>Raw_Production!G491</f>
        <v>0.8</v>
      </c>
      <c r="G491" s="6">
        <f>Raw_Production!N491</f>
        <v>0.61</v>
      </c>
      <c r="H491" s="6">
        <f t="shared" si="7"/>
        <v>-0.19000000000000006</v>
      </c>
      <c r="I491" s="3">
        <f>Raw_Production!I491</f>
        <v>357</v>
      </c>
      <c r="J491" s="3">
        <f>Raw_Production!J491</f>
        <v>83</v>
      </c>
      <c r="K491" s="3">
        <f>Raw_Production!L491</f>
        <v>95</v>
      </c>
      <c r="L491" s="3">
        <f>Raw_Production!M491</f>
        <v>2</v>
      </c>
      <c r="M491" s="3">
        <f>Raw_Production!F491</f>
        <v>1</v>
      </c>
      <c r="N491" s="3">
        <f>Raw_Production!K491</f>
        <v>1234</v>
      </c>
      <c r="O491" s="3">
        <f>Raw_Production!H491</f>
        <v>7.9</v>
      </c>
      <c r="P491" s="3">
        <f>Raw_Production!E491</f>
        <v>20</v>
      </c>
    </row>
    <row r="492" spans="1:16" x14ac:dyDescent="0.3">
      <c r="A492" s="4">
        <f>Raw_Production!A492</f>
        <v>46108</v>
      </c>
      <c r="B492" s="3" t="str">
        <f>Raw_Production!C492</f>
        <v>Finishing</v>
      </c>
      <c r="C492" s="3" t="str">
        <f>Raw_Production!D492</f>
        <v>T04</v>
      </c>
      <c r="D492" s="3" t="str">
        <f>Raw_Production!P492</f>
        <v>ST-103</v>
      </c>
      <c r="E492" s="3" t="str">
        <f>Raw_Production!O492</f>
        <v>Hoodie</v>
      </c>
      <c r="F492" s="6">
        <f>Raw_Production!G492</f>
        <v>0.75</v>
      </c>
      <c r="G492" s="6">
        <f>Raw_Production!N492</f>
        <v>0.65</v>
      </c>
      <c r="H492" s="6">
        <f t="shared" si="7"/>
        <v>-9.9999999999999978E-2</v>
      </c>
      <c r="I492" s="3">
        <f>Raw_Production!I492</f>
        <v>260</v>
      </c>
      <c r="J492" s="3">
        <f>Raw_Production!J492</f>
        <v>76</v>
      </c>
      <c r="K492" s="3">
        <f>Raw_Production!L492</f>
        <v>103</v>
      </c>
      <c r="L492" s="3">
        <f>Raw_Production!M492</f>
        <v>5</v>
      </c>
      <c r="M492" s="3">
        <f>Raw_Production!F492</f>
        <v>2</v>
      </c>
      <c r="N492" s="3">
        <f>Raw_Production!K492</f>
        <v>855</v>
      </c>
      <c r="O492" s="3">
        <f>Raw_Production!H492</f>
        <v>11.2</v>
      </c>
      <c r="P492" s="3">
        <f>Raw_Production!E492</f>
        <v>23</v>
      </c>
    </row>
    <row r="493" spans="1:16" x14ac:dyDescent="0.3">
      <c r="A493" s="4">
        <f>Raw_Production!A493</f>
        <v>46108</v>
      </c>
      <c r="B493" s="3" t="str">
        <f>Raw_Production!C493</f>
        <v>Finishing</v>
      </c>
      <c r="C493" s="3" t="str">
        <f>Raw_Production!D493</f>
        <v>T05</v>
      </c>
      <c r="D493" s="3" t="str">
        <f>Raw_Production!P493</f>
        <v>ST-105</v>
      </c>
      <c r="E493" s="3" t="str">
        <f>Raw_Production!O493</f>
        <v>Jacket</v>
      </c>
      <c r="F493" s="6">
        <f>Raw_Production!G493</f>
        <v>0.8</v>
      </c>
      <c r="G493" s="6">
        <f>Raw_Production!N493</f>
        <v>0.67</v>
      </c>
      <c r="H493" s="6">
        <f t="shared" si="7"/>
        <v>-0.13</v>
      </c>
      <c r="I493" s="3">
        <f>Raw_Production!I493</f>
        <v>204</v>
      </c>
      <c r="J493" s="3">
        <f>Raw_Production!J493</f>
        <v>116</v>
      </c>
      <c r="K493" s="3">
        <f>Raw_Production!L493</f>
        <v>37</v>
      </c>
      <c r="L493" s="3">
        <f>Raw_Production!M493</f>
        <v>3</v>
      </c>
      <c r="M493" s="3">
        <f>Raw_Production!F493</f>
        <v>1</v>
      </c>
      <c r="N493" s="3">
        <f>Raw_Production!K493</f>
        <v>3287</v>
      </c>
      <c r="O493" s="3">
        <f>Raw_Production!H493</f>
        <v>13.4</v>
      </c>
      <c r="P493" s="3">
        <f>Raw_Production!E493</f>
        <v>29</v>
      </c>
    </row>
    <row r="494" spans="1:16" x14ac:dyDescent="0.3">
      <c r="A494" s="4">
        <f>Raw_Production!A494</f>
        <v>46109</v>
      </c>
      <c r="B494" s="3" t="str">
        <f>Raw_Production!C494</f>
        <v>Cutting</v>
      </c>
      <c r="C494" s="3" t="str">
        <f>Raw_Production!D494</f>
        <v>T01</v>
      </c>
      <c r="D494" s="3" t="str">
        <f>Raw_Production!P494</f>
        <v>ST-101</v>
      </c>
      <c r="E494" s="3" t="str">
        <f>Raw_Production!O494</f>
        <v>T-Shirt</v>
      </c>
      <c r="F494" s="6">
        <f>Raw_Production!G494</f>
        <v>0.81</v>
      </c>
      <c r="G494" s="6">
        <f>Raw_Production!N494</f>
        <v>0.86</v>
      </c>
      <c r="H494" s="6">
        <f t="shared" si="7"/>
        <v>4.9999999999999933E-2</v>
      </c>
      <c r="I494" s="3">
        <f>Raw_Production!I494</f>
        <v>440</v>
      </c>
      <c r="J494" s="3">
        <f>Raw_Production!J494</f>
        <v>93</v>
      </c>
      <c r="K494" s="3">
        <f>Raw_Production!L494</f>
        <v>58</v>
      </c>
      <c r="L494" s="3">
        <f>Raw_Production!M494</f>
        <v>5</v>
      </c>
      <c r="M494" s="3">
        <f>Raw_Production!F494</f>
        <v>0</v>
      </c>
      <c r="N494" s="3">
        <f>Raw_Production!K494</f>
        <v>3246</v>
      </c>
      <c r="O494" s="3">
        <f>Raw_Production!H494</f>
        <v>12.6</v>
      </c>
      <c r="P494" s="3">
        <f>Raw_Production!E494</f>
        <v>37</v>
      </c>
    </row>
    <row r="495" spans="1:16" x14ac:dyDescent="0.3">
      <c r="A495" s="4">
        <f>Raw_Production!A495</f>
        <v>46109</v>
      </c>
      <c r="B495" s="3" t="str">
        <f>Raw_Production!C495</f>
        <v>Cutting</v>
      </c>
      <c r="C495" s="3" t="str">
        <f>Raw_Production!D495</f>
        <v>T06</v>
      </c>
      <c r="D495" s="3" t="str">
        <f>Raw_Production!P495</f>
        <v>ST-109</v>
      </c>
      <c r="E495" s="3" t="str">
        <f>Raw_Production!O495</f>
        <v>Shirt</v>
      </c>
      <c r="F495" s="6">
        <f>Raw_Production!G495</f>
        <v>0.75</v>
      </c>
      <c r="G495" s="6">
        <f>Raw_Production!N495</f>
        <v>0.59</v>
      </c>
      <c r="H495" s="6">
        <f t="shared" si="7"/>
        <v>-0.16000000000000003</v>
      </c>
      <c r="I495" s="3">
        <f>Raw_Production!I495</f>
        <v>444</v>
      </c>
      <c r="J495" s="3">
        <f>Raw_Production!J495</f>
        <v>55</v>
      </c>
      <c r="K495" s="3">
        <f>Raw_Production!L495</f>
        <v>10</v>
      </c>
      <c r="L495" s="3">
        <f>Raw_Production!M495</f>
        <v>9</v>
      </c>
      <c r="M495" s="3">
        <f>Raw_Production!F495</f>
        <v>1</v>
      </c>
      <c r="N495" s="3">
        <f>Raw_Production!K495</f>
        <v>1644</v>
      </c>
      <c r="O495" s="3">
        <f>Raw_Production!H495</f>
        <v>13.5</v>
      </c>
      <c r="P495" s="3">
        <f>Raw_Production!E495</f>
        <v>37</v>
      </c>
    </row>
    <row r="496" spans="1:16" x14ac:dyDescent="0.3">
      <c r="A496" s="4">
        <f>Raw_Production!A496</f>
        <v>46109</v>
      </c>
      <c r="B496" s="3" t="str">
        <f>Raw_Production!C496</f>
        <v>Sewing</v>
      </c>
      <c r="C496" s="3" t="str">
        <f>Raw_Production!D496</f>
        <v>T02</v>
      </c>
      <c r="D496" s="3" t="str">
        <f>Raw_Production!P496</f>
        <v>ST-110</v>
      </c>
      <c r="E496" s="3" t="str">
        <f>Raw_Production!O496</f>
        <v>Jacket</v>
      </c>
      <c r="F496" s="6">
        <f>Raw_Production!G496</f>
        <v>0.75</v>
      </c>
      <c r="G496" s="6">
        <f>Raw_Production!N496</f>
        <v>0.6</v>
      </c>
      <c r="H496" s="6">
        <f t="shared" si="7"/>
        <v>-0.15000000000000002</v>
      </c>
      <c r="I496" s="3">
        <f>Raw_Production!I496</f>
        <v>46</v>
      </c>
      <c r="J496" s="3">
        <f>Raw_Production!J496</f>
        <v>114</v>
      </c>
      <c r="K496" s="3">
        <f>Raw_Production!L496</f>
        <v>80</v>
      </c>
      <c r="L496" s="3">
        <f>Raw_Production!M496</f>
        <v>1</v>
      </c>
      <c r="M496" s="3">
        <f>Raw_Production!F496</f>
        <v>0</v>
      </c>
      <c r="N496" s="3">
        <f>Raw_Production!K496</f>
        <v>2166</v>
      </c>
      <c r="O496" s="3">
        <f>Raw_Production!H496</f>
        <v>12.4</v>
      </c>
      <c r="P496" s="3">
        <f>Raw_Production!E496</f>
        <v>27</v>
      </c>
    </row>
    <row r="497" spans="1:16" x14ac:dyDescent="0.3">
      <c r="A497" s="4">
        <f>Raw_Production!A497</f>
        <v>46109</v>
      </c>
      <c r="B497" s="3" t="str">
        <f>Raw_Production!C497</f>
        <v>Sewing</v>
      </c>
      <c r="C497" s="3" t="str">
        <f>Raw_Production!D497</f>
        <v>T03</v>
      </c>
      <c r="D497" s="3" t="str">
        <f>Raw_Production!P497</f>
        <v>ST-106</v>
      </c>
      <c r="E497" s="3" t="str">
        <f>Raw_Production!O497</f>
        <v>T-Shirt</v>
      </c>
      <c r="F497" s="6">
        <f>Raw_Production!G497</f>
        <v>0.74</v>
      </c>
      <c r="G497" s="6">
        <f>Raw_Production!N497</f>
        <v>0.56999999999999995</v>
      </c>
      <c r="H497" s="6">
        <f t="shared" si="7"/>
        <v>-0.17000000000000004</v>
      </c>
      <c r="I497" s="3">
        <f>Raw_Production!I497</f>
        <v>174</v>
      </c>
      <c r="J497" s="3">
        <f>Raw_Production!J497</f>
        <v>48</v>
      </c>
      <c r="K497" s="3">
        <f>Raw_Production!L497</f>
        <v>86</v>
      </c>
      <c r="L497" s="3">
        <f>Raw_Production!M497</f>
        <v>0</v>
      </c>
      <c r="M497" s="3">
        <f>Raw_Production!F497</f>
        <v>1</v>
      </c>
      <c r="N497" s="3">
        <f>Raw_Production!K497</f>
        <v>1395</v>
      </c>
      <c r="O497" s="3">
        <f>Raw_Production!H497</f>
        <v>10.6</v>
      </c>
      <c r="P497" s="3">
        <f>Raw_Production!E497</f>
        <v>29</v>
      </c>
    </row>
    <row r="498" spans="1:16" x14ac:dyDescent="0.3">
      <c r="A498" s="4">
        <f>Raw_Production!A498</f>
        <v>46109</v>
      </c>
      <c r="B498" s="3" t="str">
        <f>Raw_Production!C498</f>
        <v>Finishing</v>
      </c>
      <c r="C498" s="3" t="str">
        <f>Raw_Production!D498</f>
        <v>T04</v>
      </c>
      <c r="D498" s="3" t="str">
        <f>Raw_Production!P498</f>
        <v>ST-107</v>
      </c>
      <c r="E498" s="3" t="str">
        <f>Raw_Production!O498</f>
        <v>Polo</v>
      </c>
      <c r="F498" s="6">
        <f>Raw_Production!G498</f>
        <v>0.77</v>
      </c>
      <c r="G498" s="6">
        <f>Raw_Production!N498</f>
        <v>0.75</v>
      </c>
      <c r="H498" s="6">
        <f t="shared" si="7"/>
        <v>-2.0000000000000018E-2</v>
      </c>
      <c r="I498" s="3">
        <f>Raw_Production!I498</f>
        <v>294</v>
      </c>
      <c r="J498" s="3">
        <f>Raw_Production!J498</f>
        <v>20</v>
      </c>
      <c r="K498" s="3">
        <f>Raw_Production!L498</f>
        <v>34</v>
      </c>
      <c r="L498" s="3">
        <f>Raw_Production!M498</f>
        <v>5</v>
      </c>
      <c r="M498" s="3">
        <f>Raw_Production!F498</f>
        <v>3</v>
      </c>
      <c r="N498" s="3">
        <f>Raw_Production!K498</f>
        <v>1554</v>
      </c>
      <c r="O498" s="3">
        <f>Raw_Production!H498</f>
        <v>7.9</v>
      </c>
      <c r="P498" s="3">
        <f>Raw_Production!E498</f>
        <v>36</v>
      </c>
    </row>
    <row r="499" spans="1:16" x14ac:dyDescent="0.3">
      <c r="A499" s="4">
        <f>Raw_Production!A499</f>
        <v>46109</v>
      </c>
      <c r="B499" s="3" t="str">
        <f>Raw_Production!C499</f>
        <v>Finishing</v>
      </c>
      <c r="C499" s="3" t="str">
        <f>Raw_Production!D499</f>
        <v>T05</v>
      </c>
      <c r="D499" s="3" t="str">
        <f>Raw_Production!P499</f>
        <v>ST-106</v>
      </c>
      <c r="E499" s="3" t="str">
        <f>Raw_Production!O499</f>
        <v>T-Shirt</v>
      </c>
      <c r="F499" s="6">
        <f>Raw_Production!G499</f>
        <v>0.87</v>
      </c>
      <c r="G499" s="6">
        <f>Raw_Production!N499</f>
        <v>0.79</v>
      </c>
      <c r="H499" s="6">
        <f t="shared" si="7"/>
        <v>-7.999999999999996E-2</v>
      </c>
      <c r="I499" s="3">
        <f>Raw_Production!I499</f>
        <v>234</v>
      </c>
      <c r="J499" s="3">
        <f>Raw_Production!J499</f>
        <v>149</v>
      </c>
      <c r="K499" s="3">
        <f>Raw_Production!L499</f>
        <v>16</v>
      </c>
      <c r="L499" s="3">
        <f>Raw_Production!M499</f>
        <v>1</v>
      </c>
      <c r="M499" s="3">
        <f>Raw_Production!F499</f>
        <v>1</v>
      </c>
      <c r="N499" s="3">
        <f>Raw_Production!K499</f>
        <v>3497</v>
      </c>
      <c r="O499" s="3">
        <f>Raw_Production!H499</f>
        <v>17</v>
      </c>
      <c r="P499" s="3">
        <f>Raw_Production!E499</f>
        <v>20</v>
      </c>
    </row>
    <row r="500" spans="1:16" x14ac:dyDescent="0.3">
      <c r="A500" s="4">
        <f>Raw_Production!A500</f>
        <v>46110</v>
      </c>
      <c r="B500" s="3" t="str">
        <f>Raw_Production!C500</f>
        <v>Cutting</v>
      </c>
      <c r="C500" s="3" t="str">
        <f>Raw_Production!D500</f>
        <v>T01</v>
      </c>
      <c r="D500" s="3" t="str">
        <f>Raw_Production!P500</f>
        <v>ST-104</v>
      </c>
      <c r="E500" s="3" t="str">
        <f>Raw_Production!O500</f>
        <v>Shirt</v>
      </c>
      <c r="F500" s="6">
        <f>Raw_Production!G500</f>
        <v>0.73</v>
      </c>
      <c r="G500" s="6">
        <f>Raw_Production!N500</f>
        <v>0.74</v>
      </c>
      <c r="H500" s="6">
        <f t="shared" si="7"/>
        <v>1.0000000000000009E-2</v>
      </c>
      <c r="I500" s="3">
        <f>Raw_Production!I500</f>
        <v>205</v>
      </c>
      <c r="J500" s="3">
        <f>Raw_Production!J500</f>
        <v>26</v>
      </c>
      <c r="K500" s="3">
        <f>Raw_Production!L500</f>
        <v>1</v>
      </c>
      <c r="L500" s="3">
        <f>Raw_Production!M500</f>
        <v>1</v>
      </c>
      <c r="M500" s="3">
        <f>Raw_Production!F500</f>
        <v>0</v>
      </c>
      <c r="N500" s="3">
        <f>Raw_Production!K500</f>
        <v>1431</v>
      </c>
      <c r="O500" s="3">
        <f>Raw_Production!H500</f>
        <v>17.5</v>
      </c>
      <c r="P500" s="3">
        <f>Raw_Production!E500</f>
        <v>30</v>
      </c>
    </row>
    <row r="501" spans="1:16" x14ac:dyDescent="0.3">
      <c r="A501" s="4">
        <f>Raw_Production!A501</f>
        <v>46110</v>
      </c>
      <c r="B501" s="3" t="str">
        <f>Raw_Production!C501</f>
        <v>Cutting</v>
      </c>
      <c r="C501" s="3" t="str">
        <f>Raw_Production!D501</f>
        <v>T06</v>
      </c>
      <c r="D501" s="3" t="str">
        <f>Raw_Production!P501</f>
        <v>ST-105</v>
      </c>
      <c r="E501" s="3" t="str">
        <f>Raw_Production!O501</f>
        <v>Jacket</v>
      </c>
      <c r="F501" s="6">
        <f>Raw_Production!G501</f>
        <v>0.84</v>
      </c>
      <c r="G501" s="6">
        <f>Raw_Production!N501</f>
        <v>0.86</v>
      </c>
      <c r="H501" s="6">
        <f t="shared" si="7"/>
        <v>2.0000000000000018E-2</v>
      </c>
      <c r="I501" s="3">
        <f>Raw_Production!I501</f>
        <v>411</v>
      </c>
      <c r="J501" s="3">
        <f>Raw_Production!J501</f>
        <v>22</v>
      </c>
      <c r="K501" s="3">
        <f>Raw_Production!L501</f>
        <v>39</v>
      </c>
      <c r="L501" s="3">
        <f>Raw_Production!M501</f>
        <v>3</v>
      </c>
      <c r="M501" s="3">
        <f>Raw_Production!F501</f>
        <v>0</v>
      </c>
      <c r="N501" s="3">
        <f>Raw_Production!K501</f>
        <v>2482</v>
      </c>
      <c r="O501" s="3">
        <f>Raw_Production!H501</f>
        <v>15.1</v>
      </c>
      <c r="P501" s="3">
        <f>Raw_Production!E501</f>
        <v>27</v>
      </c>
    </row>
    <row r="502" spans="1:16" x14ac:dyDescent="0.3">
      <c r="A502" s="4">
        <f>Raw_Production!A502</f>
        <v>46110</v>
      </c>
      <c r="B502" s="3" t="str">
        <f>Raw_Production!C502</f>
        <v>Sewing</v>
      </c>
      <c r="C502" s="3" t="str">
        <f>Raw_Production!D502</f>
        <v>T02</v>
      </c>
      <c r="D502" s="3" t="str">
        <f>Raw_Production!P502</f>
        <v>ST-107</v>
      </c>
      <c r="E502" s="3" t="str">
        <f>Raw_Production!O502</f>
        <v>Polo</v>
      </c>
      <c r="F502" s="6">
        <f>Raw_Production!G502</f>
        <v>0.9</v>
      </c>
      <c r="G502" s="6">
        <f>Raw_Production!N502</f>
        <v>0.84</v>
      </c>
      <c r="H502" s="6">
        <f t="shared" si="7"/>
        <v>-6.0000000000000053E-2</v>
      </c>
      <c r="I502" s="3">
        <f>Raw_Production!I502</f>
        <v>98</v>
      </c>
      <c r="J502" s="3">
        <f>Raw_Production!J502</f>
        <v>7</v>
      </c>
      <c r="K502" s="3">
        <f>Raw_Production!L502</f>
        <v>40</v>
      </c>
      <c r="L502" s="3">
        <f>Raw_Production!M502</f>
        <v>6</v>
      </c>
      <c r="M502" s="3">
        <f>Raw_Production!F502</f>
        <v>4</v>
      </c>
      <c r="N502" s="3">
        <f>Raw_Production!K502</f>
        <v>2977</v>
      </c>
      <c r="O502" s="3">
        <f>Raw_Production!H502</f>
        <v>9.4</v>
      </c>
      <c r="P502" s="3">
        <f>Raw_Production!E502</f>
        <v>37</v>
      </c>
    </row>
    <row r="503" spans="1:16" x14ac:dyDescent="0.3">
      <c r="A503" s="4">
        <f>Raw_Production!A503</f>
        <v>46110</v>
      </c>
      <c r="B503" s="3" t="str">
        <f>Raw_Production!C503</f>
        <v>Sewing</v>
      </c>
      <c r="C503" s="3" t="str">
        <f>Raw_Production!D503</f>
        <v>T03</v>
      </c>
      <c r="D503" s="3" t="str">
        <f>Raw_Production!P503</f>
        <v>ST-103</v>
      </c>
      <c r="E503" s="3" t="str">
        <f>Raw_Production!O503</f>
        <v>Hoodie</v>
      </c>
      <c r="F503" s="6">
        <f>Raw_Production!G503</f>
        <v>0.82</v>
      </c>
      <c r="G503" s="6">
        <f>Raw_Production!N503</f>
        <v>0.85</v>
      </c>
      <c r="H503" s="6">
        <f t="shared" si="7"/>
        <v>3.0000000000000027E-2</v>
      </c>
      <c r="I503" s="3">
        <f>Raw_Production!I503</f>
        <v>439</v>
      </c>
      <c r="J503" s="3">
        <f>Raw_Production!J503</f>
        <v>51</v>
      </c>
      <c r="K503" s="3">
        <f>Raw_Production!L503</f>
        <v>97</v>
      </c>
      <c r="L503" s="3">
        <f>Raw_Production!M503</f>
        <v>0</v>
      </c>
      <c r="M503" s="3">
        <f>Raw_Production!F503</f>
        <v>1</v>
      </c>
      <c r="N503" s="3">
        <f>Raw_Production!K503</f>
        <v>2808</v>
      </c>
      <c r="O503" s="3">
        <f>Raw_Production!H503</f>
        <v>9.4</v>
      </c>
      <c r="P503" s="3">
        <f>Raw_Production!E503</f>
        <v>37</v>
      </c>
    </row>
    <row r="504" spans="1:16" x14ac:dyDescent="0.3">
      <c r="A504" s="4">
        <f>Raw_Production!A504</f>
        <v>46110</v>
      </c>
      <c r="B504" s="3" t="str">
        <f>Raw_Production!C504</f>
        <v>Finishing</v>
      </c>
      <c r="C504" s="3" t="str">
        <f>Raw_Production!D504</f>
        <v>T04</v>
      </c>
      <c r="D504" s="3" t="str">
        <f>Raw_Production!P504</f>
        <v>ST-104</v>
      </c>
      <c r="E504" s="3" t="str">
        <f>Raw_Production!O504</f>
        <v>Shirt</v>
      </c>
      <c r="F504" s="6">
        <f>Raw_Production!G504</f>
        <v>0.9</v>
      </c>
      <c r="G504" s="6">
        <f>Raw_Production!N504</f>
        <v>0.76</v>
      </c>
      <c r="H504" s="6">
        <f t="shared" si="7"/>
        <v>-0.14000000000000001</v>
      </c>
      <c r="I504" s="3">
        <f>Raw_Production!I504</f>
        <v>358</v>
      </c>
      <c r="J504" s="3">
        <f>Raw_Production!J504</f>
        <v>131</v>
      </c>
      <c r="K504" s="3">
        <f>Raw_Production!L504</f>
        <v>118</v>
      </c>
      <c r="L504" s="3">
        <f>Raw_Production!M504</f>
        <v>1</v>
      </c>
      <c r="M504" s="3">
        <f>Raw_Production!F504</f>
        <v>1</v>
      </c>
      <c r="N504" s="3">
        <f>Raw_Production!K504</f>
        <v>4292</v>
      </c>
      <c r="O504" s="3">
        <f>Raw_Production!H504</f>
        <v>11.8</v>
      </c>
      <c r="P504" s="3">
        <f>Raw_Production!E504</f>
        <v>31</v>
      </c>
    </row>
    <row r="505" spans="1:16" x14ac:dyDescent="0.3">
      <c r="A505" s="4">
        <f>Raw_Production!A505</f>
        <v>46110</v>
      </c>
      <c r="B505" s="3" t="str">
        <f>Raw_Production!C505</f>
        <v>Finishing</v>
      </c>
      <c r="C505" s="3" t="str">
        <f>Raw_Production!D505</f>
        <v>T05</v>
      </c>
      <c r="D505" s="3" t="str">
        <f>Raw_Production!P505</f>
        <v>ST-103</v>
      </c>
      <c r="E505" s="3" t="str">
        <f>Raw_Production!O505</f>
        <v>Hoodie</v>
      </c>
      <c r="F505" s="6">
        <f>Raw_Production!G505</f>
        <v>0.84</v>
      </c>
      <c r="G505" s="6">
        <f>Raw_Production!N505</f>
        <v>0.76</v>
      </c>
      <c r="H505" s="6">
        <f t="shared" si="7"/>
        <v>-7.999999999999996E-2</v>
      </c>
      <c r="I505" s="3">
        <f>Raw_Production!I505</f>
        <v>416</v>
      </c>
      <c r="J505" s="3">
        <f>Raw_Production!J505</f>
        <v>79</v>
      </c>
      <c r="K505" s="3">
        <f>Raw_Production!L505</f>
        <v>98</v>
      </c>
      <c r="L505" s="3">
        <f>Raw_Production!M505</f>
        <v>2</v>
      </c>
      <c r="M505" s="3">
        <f>Raw_Production!F505</f>
        <v>2</v>
      </c>
      <c r="N505" s="3">
        <f>Raw_Production!K505</f>
        <v>1948</v>
      </c>
      <c r="O505" s="3">
        <f>Raw_Production!H505</f>
        <v>15.1</v>
      </c>
      <c r="P505" s="3">
        <f>Raw_Production!E505</f>
        <v>25</v>
      </c>
    </row>
    <row r="506" spans="1:16" x14ac:dyDescent="0.3">
      <c r="A506" s="4">
        <f>Raw_Production!A506</f>
        <v>46111</v>
      </c>
      <c r="B506" s="3" t="str">
        <f>Raw_Production!C506</f>
        <v>Cutting</v>
      </c>
      <c r="C506" s="3" t="str">
        <f>Raw_Production!D506</f>
        <v>T01</v>
      </c>
      <c r="D506" s="3" t="str">
        <f>Raw_Production!P506</f>
        <v>ST-105</v>
      </c>
      <c r="E506" s="3" t="str">
        <f>Raw_Production!O506</f>
        <v>Jacket</v>
      </c>
      <c r="F506" s="6">
        <f>Raw_Production!G506</f>
        <v>0.83</v>
      </c>
      <c r="G506" s="6">
        <f>Raw_Production!N506</f>
        <v>0.69</v>
      </c>
      <c r="H506" s="6">
        <f t="shared" si="7"/>
        <v>-0.14000000000000001</v>
      </c>
      <c r="I506" s="3">
        <f>Raw_Production!I506</f>
        <v>314</v>
      </c>
      <c r="J506" s="3">
        <f>Raw_Production!J506</f>
        <v>81</v>
      </c>
      <c r="K506" s="3">
        <f>Raw_Production!L506</f>
        <v>79</v>
      </c>
      <c r="L506" s="3">
        <f>Raw_Production!M506</f>
        <v>4</v>
      </c>
      <c r="M506" s="3">
        <f>Raw_Production!F506</f>
        <v>3</v>
      </c>
      <c r="N506" s="3">
        <f>Raw_Production!K506</f>
        <v>2642</v>
      </c>
      <c r="O506" s="3">
        <f>Raw_Production!H506</f>
        <v>8.6</v>
      </c>
      <c r="P506" s="3">
        <f>Raw_Production!E506</f>
        <v>30</v>
      </c>
    </row>
    <row r="507" spans="1:16" x14ac:dyDescent="0.3">
      <c r="A507" s="4">
        <f>Raw_Production!A507</f>
        <v>46111</v>
      </c>
      <c r="B507" s="3" t="str">
        <f>Raw_Production!C507</f>
        <v>Cutting</v>
      </c>
      <c r="C507" s="3" t="str">
        <f>Raw_Production!D507</f>
        <v>T06</v>
      </c>
      <c r="D507" s="3" t="str">
        <f>Raw_Production!P507</f>
        <v>ST-108</v>
      </c>
      <c r="E507" s="3" t="str">
        <f>Raw_Production!O507</f>
        <v>Hoodie</v>
      </c>
      <c r="F507" s="6">
        <f>Raw_Production!G507</f>
        <v>0.78</v>
      </c>
      <c r="G507" s="6">
        <f>Raw_Production!N507</f>
        <v>0.76</v>
      </c>
      <c r="H507" s="6">
        <f t="shared" si="7"/>
        <v>-2.0000000000000018E-2</v>
      </c>
      <c r="I507" s="3">
        <f>Raw_Production!I507</f>
        <v>240</v>
      </c>
      <c r="J507" s="3">
        <f>Raw_Production!J507</f>
        <v>115</v>
      </c>
      <c r="K507" s="3">
        <f>Raw_Production!L507</f>
        <v>107</v>
      </c>
      <c r="L507" s="3">
        <f>Raw_Production!M507</f>
        <v>1</v>
      </c>
      <c r="M507" s="3">
        <f>Raw_Production!F507</f>
        <v>2</v>
      </c>
      <c r="N507" s="3">
        <f>Raw_Production!K507</f>
        <v>746</v>
      </c>
      <c r="O507" s="3">
        <f>Raw_Production!H507</f>
        <v>18.2</v>
      </c>
      <c r="P507" s="3">
        <f>Raw_Production!E507</f>
        <v>29</v>
      </c>
    </row>
    <row r="508" spans="1:16" x14ac:dyDescent="0.3">
      <c r="A508" s="4">
        <f>Raw_Production!A508</f>
        <v>46111</v>
      </c>
      <c r="B508" s="3" t="str">
        <f>Raw_Production!C508</f>
        <v>Sewing</v>
      </c>
      <c r="C508" s="3" t="str">
        <f>Raw_Production!D508</f>
        <v>T02</v>
      </c>
      <c r="D508" s="3" t="str">
        <f>Raw_Production!P508</f>
        <v>ST-109</v>
      </c>
      <c r="E508" s="3" t="str">
        <f>Raw_Production!O508</f>
        <v>Shirt</v>
      </c>
      <c r="F508" s="6">
        <f>Raw_Production!G508</f>
        <v>0.89</v>
      </c>
      <c r="G508" s="6">
        <f>Raw_Production!N508</f>
        <v>0.88</v>
      </c>
      <c r="H508" s="6">
        <f t="shared" si="7"/>
        <v>-1.0000000000000009E-2</v>
      </c>
      <c r="I508" s="3">
        <f>Raw_Production!I508</f>
        <v>411</v>
      </c>
      <c r="J508" s="3">
        <f>Raw_Production!J508</f>
        <v>130</v>
      </c>
      <c r="K508" s="3">
        <f>Raw_Production!L508</f>
        <v>60</v>
      </c>
      <c r="L508" s="3">
        <f>Raw_Production!M508</f>
        <v>0</v>
      </c>
      <c r="M508" s="3">
        <f>Raw_Production!F508</f>
        <v>0</v>
      </c>
      <c r="N508" s="3">
        <f>Raw_Production!K508</f>
        <v>4300</v>
      </c>
      <c r="O508" s="3">
        <f>Raw_Production!H508</f>
        <v>18.3</v>
      </c>
      <c r="P508" s="3">
        <f>Raw_Production!E508</f>
        <v>37</v>
      </c>
    </row>
    <row r="509" spans="1:16" x14ac:dyDescent="0.3">
      <c r="A509" s="4">
        <f>Raw_Production!A509</f>
        <v>46111</v>
      </c>
      <c r="B509" s="3" t="str">
        <f>Raw_Production!C509</f>
        <v>Sewing</v>
      </c>
      <c r="C509" s="3" t="str">
        <f>Raw_Production!D509</f>
        <v>T03</v>
      </c>
      <c r="D509" s="3" t="str">
        <f>Raw_Production!P509</f>
        <v>ST-101</v>
      </c>
      <c r="E509" s="3" t="str">
        <f>Raw_Production!O509</f>
        <v>T-Shirt</v>
      </c>
      <c r="F509" s="6">
        <f>Raw_Production!G509</f>
        <v>0.79</v>
      </c>
      <c r="G509" s="6">
        <f>Raw_Production!N509</f>
        <v>0.81</v>
      </c>
      <c r="H509" s="6">
        <f t="shared" si="7"/>
        <v>2.0000000000000018E-2</v>
      </c>
      <c r="I509" s="3">
        <f>Raw_Production!I509</f>
        <v>429</v>
      </c>
      <c r="J509" s="3">
        <f>Raw_Production!J509</f>
        <v>60</v>
      </c>
      <c r="K509" s="3">
        <f>Raw_Production!L509</f>
        <v>0</v>
      </c>
      <c r="L509" s="3">
        <f>Raw_Production!M509</f>
        <v>8</v>
      </c>
      <c r="M509" s="3">
        <f>Raw_Production!F509</f>
        <v>0</v>
      </c>
      <c r="N509" s="3">
        <f>Raw_Production!K509</f>
        <v>4409</v>
      </c>
      <c r="O509" s="3">
        <f>Raw_Production!H509</f>
        <v>17.7</v>
      </c>
      <c r="P509" s="3">
        <f>Raw_Production!E509</f>
        <v>36</v>
      </c>
    </row>
    <row r="510" spans="1:16" x14ac:dyDescent="0.3">
      <c r="A510" s="4">
        <f>Raw_Production!A510</f>
        <v>46111</v>
      </c>
      <c r="B510" s="3" t="str">
        <f>Raw_Production!C510</f>
        <v>Finishing</v>
      </c>
      <c r="C510" s="3" t="str">
        <f>Raw_Production!D510</f>
        <v>T04</v>
      </c>
      <c r="D510" s="3" t="str">
        <f>Raw_Production!P510</f>
        <v>ST-103</v>
      </c>
      <c r="E510" s="3" t="str">
        <f>Raw_Production!O510</f>
        <v>Hoodie</v>
      </c>
      <c r="F510" s="6">
        <f>Raw_Production!G510</f>
        <v>0.8</v>
      </c>
      <c r="G510" s="6">
        <f>Raw_Production!N510</f>
        <v>0.64</v>
      </c>
      <c r="H510" s="6">
        <f t="shared" si="7"/>
        <v>-0.16000000000000003</v>
      </c>
      <c r="I510" s="3">
        <f>Raw_Production!I510</f>
        <v>179</v>
      </c>
      <c r="J510" s="3">
        <f>Raw_Production!J510</f>
        <v>64</v>
      </c>
      <c r="K510" s="3">
        <f>Raw_Production!L510</f>
        <v>23</v>
      </c>
      <c r="L510" s="3">
        <f>Raw_Production!M510</f>
        <v>1</v>
      </c>
      <c r="M510" s="3">
        <f>Raw_Production!F510</f>
        <v>1</v>
      </c>
      <c r="N510" s="3">
        <f>Raw_Production!K510</f>
        <v>1640</v>
      </c>
      <c r="O510" s="3">
        <f>Raw_Production!H510</f>
        <v>10.199999999999999</v>
      </c>
      <c r="P510" s="3">
        <f>Raw_Production!E510</f>
        <v>28</v>
      </c>
    </row>
    <row r="511" spans="1:16" x14ac:dyDescent="0.3">
      <c r="A511" s="4">
        <f>Raw_Production!A511</f>
        <v>46111</v>
      </c>
      <c r="B511" s="3" t="str">
        <f>Raw_Production!C511</f>
        <v>Finishing</v>
      </c>
      <c r="C511" s="3" t="str">
        <f>Raw_Production!D511</f>
        <v>T05</v>
      </c>
      <c r="D511" s="3" t="str">
        <f>Raw_Production!P511</f>
        <v>ST-106</v>
      </c>
      <c r="E511" s="3" t="str">
        <f>Raw_Production!O511</f>
        <v>T-Shirt</v>
      </c>
      <c r="F511" s="6">
        <f>Raw_Production!G511</f>
        <v>0.75</v>
      </c>
      <c r="G511" s="6">
        <f>Raw_Production!N511</f>
        <v>0.69</v>
      </c>
      <c r="H511" s="6">
        <f t="shared" si="7"/>
        <v>-6.0000000000000053E-2</v>
      </c>
      <c r="I511" s="3">
        <f>Raw_Production!I511</f>
        <v>412</v>
      </c>
      <c r="J511" s="3">
        <f>Raw_Production!J511</f>
        <v>102</v>
      </c>
      <c r="K511" s="3">
        <f>Raw_Production!L511</f>
        <v>28</v>
      </c>
      <c r="L511" s="3">
        <f>Raw_Production!M511</f>
        <v>5</v>
      </c>
      <c r="M511" s="3">
        <f>Raw_Production!F511</f>
        <v>1</v>
      </c>
      <c r="N511" s="3">
        <f>Raw_Production!K511</f>
        <v>2813</v>
      </c>
      <c r="O511" s="3">
        <f>Raw_Production!H511</f>
        <v>11</v>
      </c>
      <c r="P511" s="3">
        <f>Raw_Production!E511</f>
        <v>37</v>
      </c>
    </row>
    <row r="512" spans="1:16" x14ac:dyDescent="0.3">
      <c r="A512" s="4">
        <f>Raw_Production!A512</f>
        <v>46112</v>
      </c>
      <c r="B512" s="3" t="str">
        <f>Raw_Production!C512</f>
        <v>Cutting</v>
      </c>
      <c r="C512" s="3" t="str">
        <f>Raw_Production!D512</f>
        <v>T01</v>
      </c>
      <c r="D512" s="3" t="str">
        <f>Raw_Production!P512</f>
        <v>ST-105</v>
      </c>
      <c r="E512" s="3" t="str">
        <f>Raw_Production!O512</f>
        <v>Jacket</v>
      </c>
      <c r="F512" s="6">
        <f>Raw_Production!G512</f>
        <v>0.8</v>
      </c>
      <c r="G512" s="6">
        <f>Raw_Production!N512</f>
        <v>0.62</v>
      </c>
      <c r="H512" s="6">
        <f t="shared" si="7"/>
        <v>-0.18000000000000005</v>
      </c>
      <c r="I512" s="3">
        <f>Raw_Production!I512</f>
        <v>321</v>
      </c>
      <c r="J512" s="3">
        <f>Raw_Production!J512</f>
        <v>123</v>
      </c>
      <c r="K512" s="3">
        <f>Raw_Production!L512</f>
        <v>58</v>
      </c>
      <c r="L512" s="3">
        <f>Raw_Production!M512</f>
        <v>2</v>
      </c>
      <c r="M512" s="3">
        <f>Raw_Production!F512</f>
        <v>3</v>
      </c>
      <c r="N512" s="3">
        <f>Raw_Production!K512</f>
        <v>299</v>
      </c>
      <c r="O512" s="3">
        <f>Raw_Production!H512</f>
        <v>8.9</v>
      </c>
      <c r="P512" s="3">
        <f>Raw_Production!E512</f>
        <v>31</v>
      </c>
    </row>
    <row r="513" spans="1:16" x14ac:dyDescent="0.3">
      <c r="A513" s="4">
        <f>Raw_Production!A513</f>
        <v>46112</v>
      </c>
      <c r="B513" s="3" t="str">
        <f>Raw_Production!C513</f>
        <v>Cutting</v>
      </c>
      <c r="C513" s="3" t="str">
        <f>Raw_Production!D513</f>
        <v>T06</v>
      </c>
      <c r="D513" s="3" t="str">
        <f>Raw_Production!P513</f>
        <v>ST-105</v>
      </c>
      <c r="E513" s="3" t="str">
        <f>Raw_Production!O513</f>
        <v>Jacket</v>
      </c>
      <c r="F513" s="6">
        <f>Raw_Production!G513</f>
        <v>0.79</v>
      </c>
      <c r="G513" s="6">
        <f>Raw_Production!N513</f>
        <v>0.65</v>
      </c>
      <c r="H513" s="6">
        <f t="shared" si="7"/>
        <v>-0.14000000000000001</v>
      </c>
      <c r="I513" s="3">
        <f>Raw_Production!I513</f>
        <v>112</v>
      </c>
      <c r="J513" s="3">
        <f>Raw_Production!J513</f>
        <v>134</v>
      </c>
      <c r="K513" s="3">
        <f>Raw_Production!L513</f>
        <v>82</v>
      </c>
      <c r="L513" s="3">
        <f>Raw_Production!M513</f>
        <v>5</v>
      </c>
      <c r="M513" s="3">
        <f>Raw_Production!F513</f>
        <v>3</v>
      </c>
      <c r="N513" s="3">
        <f>Raw_Production!K513</f>
        <v>1001</v>
      </c>
      <c r="O513" s="3">
        <f>Raw_Production!H513</f>
        <v>9.4</v>
      </c>
      <c r="P513" s="3">
        <f>Raw_Production!E513</f>
        <v>33</v>
      </c>
    </row>
    <row r="514" spans="1:16" x14ac:dyDescent="0.3">
      <c r="A514" s="4">
        <f>Raw_Production!A514</f>
        <v>46112</v>
      </c>
      <c r="B514" s="3" t="str">
        <f>Raw_Production!C514</f>
        <v>Sewing</v>
      </c>
      <c r="C514" s="3" t="str">
        <f>Raw_Production!D514</f>
        <v>T02</v>
      </c>
      <c r="D514" s="3" t="str">
        <f>Raw_Production!P514</f>
        <v>ST-101</v>
      </c>
      <c r="E514" s="3" t="str">
        <f>Raw_Production!O514</f>
        <v>T-Shirt</v>
      </c>
      <c r="F514" s="6">
        <f>Raw_Production!G514</f>
        <v>0.83</v>
      </c>
      <c r="G514" s="6">
        <f>Raw_Production!N514</f>
        <v>0.88</v>
      </c>
      <c r="H514" s="6">
        <f t="shared" ref="H514:H577" si="8">G514-F514</f>
        <v>5.0000000000000044E-2</v>
      </c>
      <c r="I514" s="3">
        <f>Raw_Production!I514</f>
        <v>211</v>
      </c>
      <c r="J514" s="3">
        <f>Raw_Production!J514</f>
        <v>47</v>
      </c>
      <c r="K514" s="3">
        <f>Raw_Production!L514</f>
        <v>51</v>
      </c>
      <c r="L514" s="3">
        <f>Raw_Production!M514</f>
        <v>1</v>
      </c>
      <c r="M514" s="3">
        <f>Raw_Production!F514</f>
        <v>0</v>
      </c>
      <c r="N514" s="3">
        <f>Raw_Production!K514</f>
        <v>4154</v>
      </c>
      <c r="O514" s="3">
        <f>Raw_Production!H514</f>
        <v>15.9</v>
      </c>
      <c r="P514" s="3">
        <f>Raw_Production!E514</f>
        <v>26</v>
      </c>
    </row>
    <row r="515" spans="1:16" x14ac:dyDescent="0.3">
      <c r="A515" s="4">
        <f>Raw_Production!A515</f>
        <v>46112</v>
      </c>
      <c r="B515" s="3" t="str">
        <f>Raw_Production!C515</f>
        <v>Sewing</v>
      </c>
      <c r="C515" s="3" t="str">
        <f>Raw_Production!D515</f>
        <v>T03</v>
      </c>
      <c r="D515" s="3" t="str">
        <f>Raw_Production!P515</f>
        <v>ST-106</v>
      </c>
      <c r="E515" s="3" t="str">
        <f>Raw_Production!O515</f>
        <v>T-Shirt</v>
      </c>
      <c r="F515" s="6">
        <f>Raw_Production!G515</f>
        <v>0.85</v>
      </c>
      <c r="G515" s="6">
        <f>Raw_Production!N515</f>
        <v>0.76</v>
      </c>
      <c r="H515" s="6">
        <f t="shared" si="8"/>
        <v>-8.9999999999999969E-2</v>
      </c>
      <c r="I515" s="3">
        <f>Raw_Production!I515</f>
        <v>296</v>
      </c>
      <c r="J515" s="3">
        <f>Raw_Production!J515</f>
        <v>80</v>
      </c>
      <c r="K515" s="3">
        <f>Raw_Production!L515</f>
        <v>57</v>
      </c>
      <c r="L515" s="3">
        <f>Raw_Production!M515</f>
        <v>2</v>
      </c>
      <c r="M515" s="3">
        <f>Raw_Production!F515</f>
        <v>1</v>
      </c>
      <c r="N515" s="3">
        <f>Raw_Production!K515</f>
        <v>273</v>
      </c>
      <c r="O515" s="3">
        <f>Raw_Production!H515</f>
        <v>17.899999999999999</v>
      </c>
      <c r="P515" s="3">
        <f>Raw_Production!E515</f>
        <v>22</v>
      </c>
    </row>
    <row r="516" spans="1:16" x14ac:dyDescent="0.3">
      <c r="A516" s="4">
        <f>Raw_Production!A516</f>
        <v>46112</v>
      </c>
      <c r="B516" s="3" t="str">
        <f>Raw_Production!C516</f>
        <v>Finishing</v>
      </c>
      <c r="C516" s="3" t="str">
        <f>Raw_Production!D516</f>
        <v>T04</v>
      </c>
      <c r="D516" s="3" t="str">
        <f>Raw_Production!P516</f>
        <v>ST-101</v>
      </c>
      <c r="E516" s="3" t="str">
        <f>Raw_Production!O516</f>
        <v>T-Shirt</v>
      </c>
      <c r="F516" s="6">
        <f>Raw_Production!G516</f>
        <v>0.72</v>
      </c>
      <c r="G516" s="6">
        <f>Raw_Production!N516</f>
        <v>0.65</v>
      </c>
      <c r="H516" s="6">
        <f t="shared" si="8"/>
        <v>-6.9999999999999951E-2</v>
      </c>
      <c r="I516" s="3">
        <f>Raw_Production!I516</f>
        <v>92</v>
      </c>
      <c r="J516" s="3">
        <f>Raw_Production!J516</f>
        <v>17</v>
      </c>
      <c r="K516" s="3">
        <f>Raw_Production!L516</f>
        <v>78</v>
      </c>
      <c r="L516" s="3">
        <f>Raw_Production!M516</f>
        <v>2</v>
      </c>
      <c r="M516" s="3">
        <f>Raw_Production!F516</f>
        <v>0</v>
      </c>
      <c r="N516" s="3">
        <f>Raw_Production!K516</f>
        <v>3335</v>
      </c>
      <c r="O516" s="3">
        <f>Raw_Production!H516</f>
        <v>14.4</v>
      </c>
      <c r="P516" s="3">
        <f>Raw_Production!E516</f>
        <v>36</v>
      </c>
    </row>
    <row r="517" spans="1:16" x14ac:dyDescent="0.3">
      <c r="A517" s="4">
        <f>Raw_Production!A517</f>
        <v>46112</v>
      </c>
      <c r="B517" s="3" t="str">
        <f>Raw_Production!C517</f>
        <v>Finishing</v>
      </c>
      <c r="C517" s="3" t="str">
        <f>Raw_Production!D517</f>
        <v>T05</v>
      </c>
      <c r="D517" s="3" t="str">
        <f>Raw_Production!P517</f>
        <v>ST-102</v>
      </c>
      <c r="E517" s="3" t="str">
        <f>Raw_Production!O517</f>
        <v>Polo</v>
      </c>
      <c r="F517" s="6">
        <f>Raw_Production!G517</f>
        <v>0.75</v>
      </c>
      <c r="G517" s="6">
        <f>Raw_Production!N517</f>
        <v>0.56000000000000005</v>
      </c>
      <c r="H517" s="6">
        <f t="shared" si="8"/>
        <v>-0.18999999999999995</v>
      </c>
      <c r="I517" s="3">
        <f>Raw_Production!I517</f>
        <v>196</v>
      </c>
      <c r="J517" s="3">
        <f>Raw_Production!J517</f>
        <v>146</v>
      </c>
      <c r="K517" s="3">
        <f>Raw_Production!L517</f>
        <v>86</v>
      </c>
      <c r="L517" s="3">
        <f>Raw_Production!M517</f>
        <v>5</v>
      </c>
      <c r="M517" s="3">
        <f>Raw_Production!F517</f>
        <v>1</v>
      </c>
      <c r="N517" s="3">
        <f>Raw_Production!K517</f>
        <v>4039</v>
      </c>
      <c r="O517" s="3">
        <f>Raw_Production!H517</f>
        <v>9.5</v>
      </c>
      <c r="P517" s="3">
        <f>Raw_Production!E517</f>
        <v>36</v>
      </c>
    </row>
    <row r="518" spans="1:16" x14ac:dyDescent="0.3">
      <c r="A518" s="4">
        <f>Raw_Production!A518</f>
        <v>46113</v>
      </c>
      <c r="B518" s="3" t="str">
        <f>Raw_Production!C518</f>
        <v>Cutting</v>
      </c>
      <c r="C518" s="3" t="str">
        <f>Raw_Production!D518</f>
        <v>T01</v>
      </c>
      <c r="D518" s="3" t="str">
        <f>Raw_Production!P518</f>
        <v>ST-110</v>
      </c>
      <c r="E518" s="3" t="str">
        <f>Raw_Production!O518</f>
        <v>Jacket</v>
      </c>
      <c r="F518" s="6">
        <f>Raw_Production!G518</f>
        <v>0.82</v>
      </c>
      <c r="G518" s="6">
        <f>Raw_Production!N518</f>
        <v>0.86</v>
      </c>
      <c r="H518" s="6">
        <f t="shared" si="8"/>
        <v>4.0000000000000036E-2</v>
      </c>
      <c r="I518" s="3">
        <f>Raw_Production!I518</f>
        <v>138</v>
      </c>
      <c r="J518" s="3">
        <f>Raw_Production!J518</f>
        <v>97</v>
      </c>
      <c r="K518" s="3">
        <f>Raw_Production!L518</f>
        <v>2</v>
      </c>
      <c r="L518" s="3">
        <f>Raw_Production!M518</f>
        <v>2</v>
      </c>
      <c r="M518" s="3">
        <f>Raw_Production!F518</f>
        <v>0</v>
      </c>
      <c r="N518" s="3">
        <f>Raw_Production!K518</f>
        <v>3093</v>
      </c>
      <c r="O518" s="3">
        <f>Raw_Production!H518</f>
        <v>10.3</v>
      </c>
      <c r="P518" s="3">
        <f>Raw_Production!E518</f>
        <v>29</v>
      </c>
    </row>
    <row r="519" spans="1:16" x14ac:dyDescent="0.3">
      <c r="A519" s="4">
        <f>Raw_Production!A519</f>
        <v>46113</v>
      </c>
      <c r="B519" s="3" t="str">
        <f>Raw_Production!C519</f>
        <v>Cutting</v>
      </c>
      <c r="C519" s="3" t="str">
        <f>Raw_Production!D519</f>
        <v>T06</v>
      </c>
      <c r="D519" s="3" t="str">
        <f>Raw_Production!P519</f>
        <v>ST-106</v>
      </c>
      <c r="E519" s="3" t="str">
        <f>Raw_Production!O519</f>
        <v>T-Shirt</v>
      </c>
      <c r="F519" s="6">
        <f>Raw_Production!G519</f>
        <v>0.86</v>
      </c>
      <c r="G519" s="6">
        <f>Raw_Production!N519</f>
        <v>0.73</v>
      </c>
      <c r="H519" s="6">
        <f t="shared" si="8"/>
        <v>-0.13</v>
      </c>
      <c r="I519" s="3">
        <f>Raw_Production!I519</f>
        <v>235</v>
      </c>
      <c r="J519" s="3">
        <f>Raw_Production!J519</f>
        <v>145</v>
      </c>
      <c r="K519" s="3">
        <f>Raw_Production!L519</f>
        <v>46</v>
      </c>
      <c r="L519" s="3">
        <f>Raw_Production!M519</f>
        <v>0</v>
      </c>
      <c r="M519" s="3">
        <f>Raw_Production!F519</f>
        <v>0</v>
      </c>
      <c r="N519" s="3">
        <f>Raw_Production!K519</f>
        <v>2194</v>
      </c>
      <c r="O519" s="3">
        <f>Raw_Production!H519</f>
        <v>11.5</v>
      </c>
      <c r="P519" s="3">
        <f>Raw_Production!E519</f>
        <v>35</v>
      </c>
    </row>
    <row r="520" spans="1:16" x14ac:dyDescent="0.3">
      <c r="A520" s="4">
        <f>Raw_Production!A520</f>
        <v>46113</v>
      </c>
      <c r="B520" s="3" t="str">
        <f>Raw_Production!C520</f>
        <v>Sewing</v>
      </c>
      <c r="C520" s="3" t="str">
        <f>Raw_Production!D520</f>
        <v>T02</v>
      </c>
      <c r="D520" s="3" t="str">
        <f>Raw_Production!P520</f>
        <v>ST-103</v>
      </c>
      <c r="E520" s="3" t="str">
        <f>Raw_Production!O520</f>
        <v>Hoodie</v>
      </c>
      <c r="F520" s="6">
        <f>Raw_Production!G520</f>
        <v>0.87</v>
      </c>
      <c r="G520" s="6">
        <f>Raw_Production!N520</f>
        <v>0.82</v>
      </c>
      <c r="H520" s="6">
        <f t="shared" si="8"/>
        <v>-5.0000000000000044E-2</v>
      </c>
      <c r="I520" s="3">
        <f>Raw_Production!I520</f>
        <v>107</v>
      </c>
      <c r="J520" s="3">
        <f>Raw_Production!J520</f>
        <v>64</v>
      </c>
      <c r="K520" s="3">
        <f>Raw_Production!L520</f>
        <v>83</v>
      </c>
      <c r="L520" s="3">
        <f>Raw_Production!M520</f>
        <v>6</v>
      </c>
      <c r="M520" s="3">
        <f>Raw_Production!F520</f>
        <v>1</v>
      </c>
      <c r="N520" s="3">
        <f>Raw_Production!K520</f>
        <v>726</v>
      </c>
      <c r="O520" s="3">
        <f>Raw_Production!H520</f>
        <v>11.6</v>
      </c>
      <c r="P520" s="3">
        <f>Raw_Production!E520</f>
        <v>29</v>
      </c>
    </row>
    <row r="521" spans="1:16" x14ac:dyDescent="0.3">
      <c r="A521" s="4">
        <f>Raw_Production!A521</f>
        <v>46113</v>
      </c>
      <c r="B521" s="3" t="str">
        <f>Raw_Production!C521</f>
        <v>Sewing</v>
      </c>
      <c r="C521" s="3" t="str">
        <f>Raw_Production!D521</f>
        <v>T03</v>
      </c>
      <c r="D521" s="3" t="str">
        <f>Raw_Production!P521</f>
        <v>ST-104</v>
      </c>
      <c r="E521" s="3" t="str">
        <f>Raw_Production!O521</f>
        <v>Shirt</v>
      </c>
      <c r="F521" s="6">
        <f>Raw_Production!G521</f>
        <v>0.89</v>
      </c>
      <c r="G521" s="6">
        <f>Raw_Production!N521</f>
        <v>0.76</v>
      </c>
      <c r="H521" s="6">
        <f t="shared" si="8"/>
        <v>-0.13</v>
      </c>
      <c r="I521" s="3">
        <f>Raw_Production!I521</f>
        <v>95</v>
      </c>
      <c r="J521" s="3">
        <f>Raw_Production!J521</f>
        <v>25</v>
      </c>
      <c r="K521" s="3">
        <f>Raw_Production!L521</f>
        <v>29</v>
      </c>
      <c r="L521" s="3">
        <f>Raw_Production!M521</f>
        <v>7</v>
      </c>
      <c r="M521" s="3">
        <f>Raw_Production!F521</f>
        <v>1</v>
      </c>
      <c r="N521" s="3">
        <f>Raw_Production!K521</f>
        <v>3236</v>
      </c>
      <c r="O521" s="3">
        <f>Raw_Production!H521</f>
        <v>10.5</v>
      </c>
      <c r="P521" s="3">
        <f>Raw_Production!E521</f>
        <v>29</v>
      </c>
    </row>
    <row r="522" spans="1:16" x14ac:dyDescent="0.3">
      <c r="A522" s="4">
        <f>Raw_Production!A522</f>
        <v>46113</v>
      </c>
      <c r="B522" s="3" t="str">
        <f>Raw_Production!C522</f>
        <v>Finishing</v>
      </c>
      <c r="C522" s="3" t="str">
        <f>Raw_Production!D522</f>
        <v>T04</v>
      </c>
      <c r="D522" s="3" t="str">
        <f>Raw_Production!P522</f>
        <v>ST-110</v>
      </c>
      <c r="E522" s="3" t="str">
        <f>Raw_Production!O522</f>
        <v>Jacket</v>
      </c>
      <c r="F522" s="6">
        <f>Raw_Production!G522</f>
        <v>0.78</v>
      </c>
      <c r="G522" s="6">
        <f>Raw_Production!N522</f>
        <v>0.62</v>
      </c>
      <c r="H522" s="6">
        <f t="shared" si="8"/>
        <v>-0.16000000000000003</v>
      </c>
      <c r="I522" s="3">
        <f>Raw_Production!I522</f>
        <v>219</v>
      </c>
      <c r="J522" s="3">
        <f>Raw_Production!J522</f>
        <v>112</v>
      </c>
      <c r="K522" s="3">
        <f>Raw_Production!L522</f>
        <v>64</v>
      </c>
      <c r="L522" s="3">
        <f>Raw_Production!M522</f>
        <v>9</v>
      </c>
      <c r="M522" s="3">
        <f>Raw_Production!F522</f>
        <v>3</v>
      </c>
      <c r="N522" s="3">
        <f>Raw_Production!K522</f>
        <v>762</v>
      </c>
      <c r="O522" s="3">
        <f>Raw_Production!H522</f>
        <v>9.6999999999999993</v>
      </c>
      <c r="P522" s="3">
        <f>Raw_Production!E522</f>
        <v>38</v>
      </c>
    </row>
    <row r="523" spans="1:16" x14ac:dyDescent="0.3">
      <c r="A523" s="4">
        <f>Raw_Production!A523</f>
        <v>46113</v>
      </c>
      <c r="B523" s="3" t="str">
        <f>Raw_Production!C523</f>
        <v>Finishing</v>
      </c>
      <c r="C523" s="3" t="str">
        <f>Raw_Production!D523</f>
        <v>T05</v>
      </c>
      <c r="D523" s="3" t="str">
        <f>Raw_Production!P523</f>
        <v>ST-107</v>
      </c>
      <c r="E523" s="3" t="str">
        <f>Raw_Production!O523</f>
        <v>Polo</v>
      </c>
      <c r="F523" s="6">
        <f>Raw_Production!G523</f>
        <v>0.81</v>
      </c>
      <c r="G523" s="6">
        <f>Raw_Production!N523</f>
        <v>0.69</v>
      </c>
      <c r="H523" s="6">
        <f t="shared" si="8"/>
        <v>-0.12000000000000011</v>
      </c>
      <c r="I523" s="3">
        <f>Raw_Production!I523</f>
        <v>389</v>
      </c>
      <c r="J523" s="3">
        <f>Raw_Production!J523</f>
        <v>25</v>
      </c>
      <c r="K523" s="3">
        <f>Raw_Production!L523</f>
        <v>116</v>
      </c>
      <c r="L523" s="3">
        <f>Raw_Production!M523</f>
        <v>7</v>
      </c>
      <c r="M523" s="3">
        <f>Raw_Production!F523</f>
        <v>2</v>
      </c>
      <c r="N523" s="3">
        <f>Raw_Production!K523</f>
        <v>3403</v>
      </c>
      <c r="O523" s="3">
        <f>Raw_Production!H523</f>
        <v>17.8</v>
      </c>
      <c r="P523" s="3">
        <f>Raw_Production!E523</f>
        <v>35</v>
      </c>
    </row>
    <row r="524" spans="1:16" x14ac:dyDescent="0.3">
      <c r="A524" s="4">
        <f>Raw_Production!A524</f>
        <v>46114</v>
      </c>
      <c r="B524" s="3" t="str">
        <f>Raw_Production!C524</f>
        <v>Cutting</v>
      </c>
      <c r="C524" s="3" t="str">
        <f>Raw_Production!D524</f>
        <v>T01</v>
      </c>
      <c r="D524" s="3" t="str">
        <f>Raw_Production!P524</f>
        <v>ST-104</v>
      </c>
      <c r="E524" s="3" t="str">
        <f>Raw_Production!O524</f>
        <v>Shirt</v>
      </c>
      <c r="F524" s="6">
        <f>Raw_Production!G524</f>
        <v>0.83</v>
      </c>
      <c r="G524" s="6">
        <f>Raw_Production!N524</f>
        <v>0.87</v>
      </c>
      <c r="H524" s="6">
        <f t="shared" si="8"/>
        <v>4.0000000000000036E-2</v>
      </c>
      <c r="I524" s="3">
        <f>Raw_Production!I524</f>
        <v>183</v>
      </c>
      <c r="J524" s="3">
        <f>Raw_Production!J524</f>
        <v>80</v>
      </c>
      <c r="K524" s="3">
        <f>Raw_Production!L524</f>
        <v>103</v>
      </c>
      <c r="L524" s="3">
        <f>Raw_Production!M524</f>
        <v>3</v>
      </c>
      <c r="M524" s="3">
        <f>Raw_Production!F524</f>
        <v>1</v>
      </c>
      <c r="N524" s="3">
        <f>Raw_Production!K524</f>
        <v>1259</v>
      </c>
      <c r="O524" s="3">
        <f>Raw_Production!H524</f>
        <v>9.3000000000000007</v>
      </c>
      <c r="P524" s="3">
        <f>Raw_Production!E524</f>
        <v>24</v>
      </c>
    </row>
    <row r="525" spans="1:16" x14ac:dyDescent="0.3">
      <c r="A525" s="4">
        <f>Raw_Production!A525</f>
        <v>46114</v>
      </c>
      <c r="B525" s="3" t="str">
        <f>Raw_Production!C525</f>
        <v>Cutting</v>
      </c>
      <c r="C525" s="3" t="str">
        <f>Raw_Production!D525</f>
        <v>T06</v>
      </c>
      <c r="D525" s="3" t="str">
        <f>Raw_Production!P525</f>
        <v>ST-102</v>
      </c>
      <c r="E525" s="3" t="str">
        <f>Raw_Production!O525</f>
        <v>Polo</v>
      </c>
      <c r="F525" s="6">
        <f>Raw_Production!G525</f>
        <v>0.87</v>
      </c>
      <c r="G525" s="6">
        <f>Raw_Production!N525</f>
        <v>0.91</v>
      </c>
      <c r="H525" s="6">
        <f t="shared" si="8"/>
        <v>4.0000000000000036E-2</v>
      </c>
      <c r="I525" s="3">
        <f>Raw_Production!I525</f>
        <v>107</v>
      </c>
      <c r="J525" s="3">
        <f>Raw_Production!J525</f>
        <v>66</v>
      </c>
      <c r="K525" s="3">
        <f>Raw_Production!L525</f>
        <v>86</v>
      </c>
      <c r="L525" s="3">
        <f>Raw_Production!M525</f>
        <v>1</v>
      </c>
      <c r="M525" s="3">
        <f>Raw_Production!F525</f>
        <v>0</v>
      </c>
      <c r="N525" s="3">
        <f>Raw_Production!K525</f>
        <v>1075</v>
      </c>
      <c r="O525" s="3">
        <f>Raw_Production!H525</f>
        <v>7.6</v>
      </c>
      <c r="P525" s="3">
        <f>Raw_Production!E525</f>
        <v>31</v>
      </c>
    </row>
    <row r="526" spans="1:16" x14ac:dyDescent="0.3">
      <c r="A526" s="4">
        <f>Raw_Production!A526</f>
        <v>46114</v>
      </c>
      <c r="B526" s="3" t="str">
        <f>Raw_Production!C526</f>
        <v>Sewing</v>
      </c>
      <c r="C526" s="3" t="str">
        <f>Raw_Production!D526</f>
        <v>T02</v>
      </c>
      <c r="D526" s="3" t="str">
        <f>Raw_Production!P526</f>
        <v>ST-105</v>
      </c>
      <c r="E526" s="3" t="str">
        <f>Raw_Production!O526</f>
        <v>Jacket</v>
      </c>
      <c r="F526" s="6">
        <f>Raw_Production!G526</f>
        <v>0.77</v>
      </c>
      <c r="G526" s="6">
        <f>Raw_Production!N526</f>
        <v>0.76</v>
      </c>
      <c r="H526" s="6">
        <f t="shared" si="8"/>
        <v>-1.0000000000000009E-2</v>
      </c>
      <c r="I526" s="3">
        <f>Raw_Production!I526</f>
        <v>351</v>
      </c>
      <c r="J526" s="3">
        <f>Raw_Production!J526</f>
        <v>65</v>
      </c>
      <c r="K526" s="3">
        <f>Raw_Production!L526</f>
        <v>23</v>
      </c>
      <c r="L526" s="3">
        <f>Raw_Production!M526</f>
        <v>1</v>
      </c>
      <c r="M526" s="3">
        <f>Raw_Production!F526</f>
        <v>2</v>
      </c>
      <c r="N526" s="3">
        <f>Raw_Production!K526</f>
        <v>4052</v>
      </c>
      <c r="O526" s="3">
        <f>Raw_Production!H526</f>
        <v>7.7</v>
      </c>
      <c r="P526" s="3">
        <f>Raw_Production!E526</f>
        <v>35</v>
      </c>
    </row>
    <row r="527" spans="1:16" x14ac:dyDescent="0.3">
      <c r="A527" s="4">
        <f>Raw_Production!A527</f>
        <v>46114</v>
      </c>
      <c r="B527" s="3" t="str">
        <f>Raw_Production!C527</f>
        <v>Sewing</v>
      </c>
      <c r="C527" s="3" t="str">
        <f>Raw_Production!D527</f>
        <v>T03</v>
      </c>
      <c r="D527" s="3" t="str">
        <f>Raw_Production!P527</f>
        <v>ST-104</v>
      </c>
      <c r="E527" s="3" t="str">
        <f>Raw_Production!O527</f>
        <v>Shirt</v>
      </c>
      <c r="F527" s="6">
        <f>Raw_Production!G527</f>
        <v>0.88</v>
      </c>
      <c r="G527" s="6">
        <f>Raw_Production!N527</f>
        <v>0.75</v>
      </c>
      <c r="H527" s="6">
        <f t="shared" si="8"/>
        <v>-0.13</v>
      </c>
      <c r="I527" s="3">
        <f>Raw_Production!I527</f>
        <v>158</v>
      </c>
      <c r="J527" s="3">
        <f>Raw_Production!J527</f>
        <v>21</v>
      </c>
      <c r="K527" s="3">
        <f>Raw_Production!L527</f>
        <v>4</v>
      </c>
      <c r="L527" s="3">
        <f>Raw_Production!M527</f>
        <v>7</v>
      </c>
      <c r="M527" s="3">
        <f>Raw_Production!F527</f>
        <v>0</v>
      </c>
      <c r="N527" s="3">
        <f>Raw_Production!K527</f>
        <v>905</v>
      </c>
      <c r="O527" s="3">
        <f>Raw_Production!H527</f>
        <v>18.100000000000001</v>
      </c>
      <c r="P527" s="3">
        <f>Raw_Production!E527</f>
        <v>37</v>
      </c>
    </row>
    <row r="528" spans="1:16" x14ac:dyDescent="0.3">
      <c r="A528" s="4">
        <f>Raw_Production!A528</f>
        <v>46114</v>
      </c>
      <c r="B528" s="3" t="str">
        <f>Raw_Production!C528</f>
        <v>Finishing</v>
      </c>
      <c r="C528" s="3" t="str">
        <f>Raw_Production!D528</f>
        <v>T04</v>
      </c>
      <c r="D528" s="3" t="str">
        <f>Raw_Production!P528</f>
        <v>ST-109</v>
      </c>
      <c r="E528" s="3" t="str">
        <f>Raw_Production!O528</f>
        <v>Shirt</v>
      </c>
      <c r="F528" s="6">
        <f>Raw_Production!G528</f>
        <v>0.75</v>
      </c>
      <c r="G528" s="6">
        <f>Raw_Production!N528</f>
        <v>0.63</v>
      </c>
      <c r="H528" s="6">
        <f t="shared" si="8"/>
        <v>-0.12</v>
      </c>
      <c r="I528" s="3">
        <f>Raw_Production!I528</f>
        <v>144</v>
      </c>
      <c r="J528" s="3">
        <f>Raw_Production!J528</f>
        <v>2</v>
      </c>
      <c r="K528" s="3">
        <f>Raw_Production!L528</f>
        <v>0</v>
      </c>
      <c r="L528" s="3">
        <f>Raw_Production!M528</f>
        <v>1</v>
      </c>
      <c r="M528" s="3">
        <f>Raw_Production!F528</f>
        <v>1</v>
      </c>
      <c r="N528" s="3">
        <f>Raw_Production!K528</f>
        <v>3612</v>
      </c>
      <c r="O528" s="3">
        <f>Raw_Production!H528</f>
        <v>15.7</v>
      </c>
      <c r="P528" s="3">
        <f>Raw_Production!E528</f>
        <v>30</v>
      </c>
    </row>
    <row r="529" spans="1:16" x14ac:dyDescent="0.3">
      <c r="A529" s="4">
        <f>Raw_Production!A529</f>
        <v>46114</v>
      </c>
      <c r="B529" s="3" t="str">
        <f>Raw_Production!C529</f>
        <v>Finishing</v>
      </c>
      <c r="C529" s="3" t="str">
        <f>Raw_Production!D529</f>
        <v>T05</v>
      </c>
      <c r="D529" s="3" t="str">
        <f>Raw_Production!P529</f>
        <v>ST-110</v>
      </c>
      <c r="E529" s="3" t="str">
        <f>Raw_Production!O529</f>
        <v>Jacket</v>
      </c>
      <c r="F529" s="6">
        <f>Raw_Production!G529</f>
        <v>0.89</v>
      </c>
      <c r="G529" s="6">
        <f>Raw_Production!N529</f>
        <v>0.73</v>
      </c>
      <c r="H529" s="6">
        <f t="shared" si="8"/>
        <v>-0.16000000000000003</v>
      </c>
      <c r="I529" s="3">
        <f>Raw_Production!I529</f>
        <v>280</v>
      </c>
      <c r="J529" s="3">
        <f>Raw_Production!J529</f>
        <v>144</v>
      </c>
      <c r="K529" s="3">
        <f>Raw_Production!L529</f>
        <v>105</v>
      </c>
      <c r="L529" s="3">
        <f>Raw_Production!M529</f>
        <v>3</v>
      </c>
      <c r="M529" s="3">
        <f>Raw_Production!F529</f>
        <v>1</v>
      </c>
      <c r="N529" s="3">
        <f>Raw_Production!K529</f>
        <v>1210</v>
      </c>
      <c r="O529" s="3">
        <f>Raw_Production!H529</f>
        <v>11.5</v>
      </c>
      <c r="P529" s="3">
        <f>Raw_Production!E529</f>
        <v>33</v>
      </c>
    </row>
    <row r="530" spans="1:16" x14ac:dyDescent="0.3">
      <c r="A530" s="4">
        <f>Raw_Production!A530</f>
        <v>46115</v>
      </c>
      <c r="B530" s="3" t="str">
        <f>Raw_Production!C530</f>
        <v>Cutting</v>
      </c>
      <c r="C530" s="3" t="str">
        <f>Raw_Production!D530</f>
        <v>T01</v>
      </c>
      <c r="D530" s="3" t="str">
        <f>Raw_Production!P530</f>
        <v>ST-102</v>
      </c>
      <c r="E530" s="3" t="str">
        <f>Raw_Production!O530</f>
        <v>Polo</v>
      </c>
      <c r="F530" s="6">
        <f>Raw_Production!G530</f>
        <v>0.86</v>
      </c>
      <c r="G530" s="6">
        <f>Raw_Production!N530</f>
        <v>0.77</v>
      </c>
      <c r="H530" s="6">
        <f t="shared" si="8"/>
        <v>-8.9999999999999969E-2</v>
      </c>
      <c r="I530" s="3">
        <f>Raw_Production!I530</f>
        <v>420</v>
      </c>
      <c r="J530" s="3">
        <f>Raw_Production!J530</f>
        <v>35</v>
      </c>
      <c r="K530" s="3">
        <f>Raw_Production!L530</f>
        <v>96</v>
      </c>
      <c r="L530" s="3">
        <f>Raw_Production!M530</f>
        <v>0</v>
      </c>
      <c r="M530" s="3">
        <f>Raw_Production!F530</f>
        <v>0</v>
      </c>
      <c r="N530" s="3">
        <f>Raw_Production!K530</f>
        <v>3062</v>
      </c>
      <c r="O530" s="3">
        <f>Raw_Production!H530</f>
        <v>15.6</v>
      </c>
      <c r="P530" s="3">
        <f>Raw_Production!E530</f>
        <v>23</v>
      </c>
    </row>
    <row r="531" spans="1:16" x14ac:dyDescent="0.3">
      <c r="A531" s="4">
        <f>Raw_Production!A531</f>
        <v>46115</v>
      </c>
      <c r="B531" s="3" t="str">
        <f>Raw_Production!C531</f>
        <v>Cutting</v>
      </c>
      <c r="C531" s="3" t="str">
        <f>Raw_Production!D531</f>
        <v>T06</v>
      </c>
      <c r="D531" s="3" t="str">
        <f>Raw_Production!P531</f>
        <v>ST-107</v>
      </c>
      <c r="E531" s="3" t="str">
        <f>Raw_Production!O531</f>
        <v>Polo</v>
      </c>
      <c r="F531" s="6">
        <f>Raw_Production!G531</f>
        <v>0.81</v>
      </c>
      <c r="G531" s="6">
        <f>Raw_Production!N531</f>
        <v>0.8</v>
      </c>
      <c r="H531" s="6">
        <f t="shared" si="8"/>
        <v>-1.0000000000000009E-2</v>
      </c>
      <c r="I531" s="3">
        <f>Raw_Production!I531</f>
        <v>170</v>
      </c>
      <c r="J531" s="3">
        <f>Raw_Production!J531</f>
        <v>114</v>
      </c>
      <c r="K531" s="3">
        <f>Raw_Production!L531</f>
        <v>98</v>
      </c>
      <c r="L531" s="3">
        <f>Raw_Production!M531</f>
        <v>0</v>
      </c>
      <c r="M531" s="3">
        <f>Raw_Production!F531</f>
        <v>1</v>
      </c>
      <c r="N531" s="3">
        <f>Raw_Production!K531</f>
        <v>478</v>
      </c>
      <c r="O531" s="3">
        <f>Raw_Production!H531</f>
        <v>8.1</v>
      </c>
      <c r="P531" s="3">
        <f>Raw_Production!E531</f>
        <v>26</v>
      </c>
    </row>
    <row r="532" spans="1:16" x14ac:dyDescent="0.3">
      <c r="A532" s="4">
        <f>Raw_Production!A532</f>
        <v>46115</v>
      </c>
      <c r="B532" s="3" t="str">
        <f>Raw_Production!C532</f>
        <v>Sewing</v>
      </c>
      <c r="C532" s="3" t="str">
        <f>Raw_Production!D532</f>
        <v>T02</v>
      </c>
      <c r="D532" s="3" t="str">
        <f>Raw_Production!P532</f>
        <v>ST-110</v>
      </c>
      <c r="E532" s="3" t="str">
        <f>Raw_Production!O532</f>
        <v>Jacket</v>
      </c>
      <c r="F532" s="6">
        <f>Raw_Production!G532</f>
        <v>0.78</v>
      </c>
      <c r="G532" s="6">
        <f>Raw_Production!N532</f>
        <v>0.8</v>
      </c>
      <c r="H532" s="6">
        <f t="shared" si="8"/>
        <v>2.0000000000000018E-2</v>
      </c>
      <c r="I532" s="3">
        <f>Raw_Production!I532</f>
        <v>233</v>
      </c>
      <c r="J532" s="3">
        <f>Raw_Production!J532</f>
        <v>16</v>
      </c>
      <c r="K532" s="3">
        <f>Raw_Production!L532</f>
        <v>88</v>
      </c>
      <c r="L532" s="3">
        <f>Raw_Production!M532</f>
        <v>1</v>
      </c>
      <c r="M532" s="3">
        <f>Raw_Production!F532</f>
        <v>1</v>
      </c>
      <c r="N532" s="3">
        <f>Raw_Production!K532</f>
        <v>3842</v>
      </c>
      <c r="O532" s="3">
        <f>Raw_Production!H532</f>
        <v>7.8</v>
      </c>
      <c r="P532" s="3">
        <f>Raw_Production!E532</f>
        <v>25</v>
      </c>
    </row>
    <row r="533" spans="1:16" x14ac:dyDescent="0.3">
      <c r="A533" s="4">
        <f>Raw_Production!A533</f>
        <v>46115</v>
      </c>
      <c r="B533" s="3" t="str">
        <f>Raw_Production!C533</f>
        <v>Sewing</v>
      </c>
      <c r="C533" s="3" t="str">
        <f>Raw_Production!D533</f>
        <v>T03</v>
      </c>
      <c r="D533" s="3" t="str">
        <f>Raw_Production!P533</f>
        <v>ST-104</v>
      </c>
      <c r="E533" s="3" t="str">
        <f>Raw_Production!O533</f>
        <v>Shirt</v>
      </c>
      <c r="F533" s="6">
        <f>Raw_Production!G533</f>
        <v>0.83</v>
      </c>
      <c r="G533" s="6">
        <f>Raw_Production!N533</f>
        <v>0.69</v>
      </c>
      <c r="H533" s="6">
        <f t="shared" si="8"/>
        <v>-0.14000000000000001</v>
      </c>
      <c r="I533" s="3">
        <f>Raw_Production!I533</f>
        <v>353</v>
      </c>
      <c r="J533" s="3">
        <f>Raw_Production!J533</f>
        <v>122</v>
      </c>
      <c r="K533" s="3">
        <f>Raw_Production!L533</f>
        <v>46</v>
      </c>
      <c r="L533" s="3">
        <f>Raw_Production!M533</f>
        <v>1</v>
      </c>
      <c r="M533" s="3">
        <f>Raw_Production!F533</f>
        <v>1</v>
      </c>
      <c r="N533" s="3">
        <f>Raw_Production!K533</f>
        <v>1473</v>
      </c>
      <c r="O533" s="3">
        <f>Raw_Production!H533</f>
        <v>11.6</v>
      </c>
      <c r="P533" s="3">
        <f>Raw_Production!E533</f>
        <v>33</v>
      </c>
    </row>
    <row r="534" spans="1:16" x14ac:dyDescent="0.3">
      <c r="A534" s="4">
        <f>Raw_Production!A534</f>
        <v>46115</v>
      </c>
      <c r="B534" s="3" t="str">
        <f>Raw_Production!C534</f>
        <v>Finishing</v>
      </c>
      <c r="C534" s="3" t="str">
        <f>Raw_Production!D534</f>
        <v>T04</v>
      </c>
      <c r="D534" s="3" t="str">
        <f>Raw_Production!P534</f>
        <v>ST-102</v>
      </c>
      <c r="E534" s="3" t="str">
        <f>Raw_Production!O534</f>
        <v>Polo</v>
      </c>
      <c r="F534" s="6">
        <f>Raw_Production!G534</f>
        <v>0.89</v>
      </c>
      <c r="G534" s="6">
        <f>Raw_Production!N534</f>
        <v>0.89</v>
      </c>
      <c r="H534" s="6">
        <f t="shared" si="8"/>
        <v>0</v>
      </c>
      <c r="I534" s="3">
        <f>Raw_Production!I534</f>
        <v>409</v>
      </c>
      <c r="J534" s="3">
        <f>Raw_Production!J534</f>
        <v>118</v>
      </c>
      <c r="K534" s="3">
        <f>Raw_Production!L534</f>
        <v>117</v>
      </c>
      <c r="L534" s="3">
        <f>Raw_Production!M534</f>
        <v>0</v>
      </c>
      <c r="M534" s="3">
        <f>Raw_Production!F534</f>
        <v>2</v>
      </c>
      <c r="N534" s="3">
        <f>Raw_Production!K534</f>
        <v>910</v>
      </c>
      <c r="O534" s="3">
        <f>Raw_Production!H534</f>
        <v>13</v>
      </c>
      <c r="P534" s="3">
        <f>Raw_Production!E534</f>
        <v>30</v>
      </c>
    </row>
    <row r="535" spans="1:16" x14ac:dyDescent="0.3">
      <c r="A535" s="4">
        <f>Raw_Production!A535</f>
        <v>46115</v>
      </c>
      <c r="B535" s="3" t="str">
        <f>Raw_Production!C535</f>
        <v>Finishing</v>
      </c>
      <c r="C535" s="3" t="str">
        <f>Raw_Production!D535</f>
        <v>T05</v>
      </c>
      <c r="D535" s="3" t="str">
        <f>Raw_Production!P535</f>
        <v>ST-107</v>
      </c>
      <c r="E535" s="3" t="str">
        <f>Raw_Production!O535</f>
        <v>Polo</v>
      </c>
      <c r="F535" s="6">
        <f>Raw_Production!G535</f>
        <v>0.87</v>
      </c>
      <c r="G535" s="6">
        <f>Raw_Production!N535</f>
        <v>0.87</v>
      </c>
      <c r="H535" s="6">
        <f t="shared" si="8"/>
        <v>0</v>
      </c>
      <c r="I535" s="3">
        <f>Raw_Production!I535</f>
        <v>40</v>
      </c>
      <c r="J535" s="3">
        <f>Raw_Production!J535</f>
        <v>74</v>
      </c>
      <c r="K535" s="3">
        <f>Raw_Production!L535</f>
        <v>65</v>
      </c>
      <c r="L535" s="3">
        <f>Raw_Production!M535</f>
        <v>7</v>
      </c>
      <c r="M535" s="3">
        <f>Raw_Production!F535</f>
        <v>2</v>
      </c>
      <c r="N535" s="3">
        <f>Raw_Production!K535</f>
        <v>2666</v>
      </c>
      <c r="O535" s="3">
        <f>Raw_Production!H535</f>
        <v>12.3</v>
      </c>
      <c r="P535" s="3">
        <f>Raw_Production!E535</f>
        <v>29</v>
      </c>
    </row>
    <row r="536" spans="1:16" x14ac:dyDescent="0.3">
      <c r="A536" s="4">
        <f>Raw_Production!A536</f>
        <v>46116</v>
      </c>
      <c r="B536" s="3" t="str">
        <f>Raw_Production!C536</f>
        <v>Cutting</v>
      </c>
      <c r="C536" s="3" t="str">
        <f>Raw_Production!D536</f>
        <v>T01</v>
      </c>
      <c r="D536" s="3" t="str">
        <f>Raw_Production!P536</f>
        <v>ST-102</v>
      </c>
      <c r="E536" s="3" t="str">
        <f>Raw_Production!O536</f>
        <v>Polo</v>
      </c>
      <c r="F536" s="6">
        <f>Raw_Production!G536</f>
        <v>0.86</v>
      </c>
      <c r="G536" s="6">
        <f>Raw_Production!N536</f>
        <v>0.84</v>
      </c>
      <c r="H536" s="6">
        <f t="shared" si="8"/>
        <v>-2.0000000000000018E-2</v>
      </c>
      <c r="I536" s="3">
        <f>Raw_Production!I536</f>
        <v>63</v>
      </c>
      <c r="J536" s="3">
        <f>Raw_Production!J536</f>
        <v>2</v>
      </c>
      <c r="K536" s="3">
        <f>Raw_Production!L536</f>
        <v>84</v>
      </c>
      <c r="L536" s="3">
        <f>Raw_Production!M536</f>
        <v>6</v>
      </c>
      <c r="M536" s="3">
        <f>Raw_Production!F536</f>
        <v>0</v>
      </c>
      <c r="N536" s="3">
        <f>Raw_Production!K536</f>
        <v>3176</v>
      </c>
      <c r="O536" s="3">
        <f>Raw_Production!H536</f>
        <v>9.1999999999999993</v>
      </c>
      <c r="P536" s="3">
        <f>Raw_Production!E536</f>
        <v>26</v>
      </c>
    </row>
    <row r="537" spans="1:16" x14ac:dyDescent="0.3">
      <c r="A537" s="4">
        <f>Raw_Production!A537</f>
        <v>46116</v>
      </c>
      <c r="B537" s="3" t="str">
        <f>Raw_Production!C537</f>
        <v>Cutting</v>
      </c>
      <c r="C537" s="3" t="str">
        <f>Raw_Production!D537</f>
        <v>T06</v>
      </c>
      <c r="D537" s="3" t="str">
        <f>Raw_Production!P537</f>
        <v>ST-102</v>
      </c>
      <c r="E537" s="3" t="str">
        <f>Raw_Production!O537</f>
        <v>Polo</v>
      </c>
      <c r="F537" s="6">
        <f>Raw_Production!G537</f>
        <v>0.86</v>
      </c>
      <c r="G537" s="6">
        <f>Raw_Production!N537</f>
        <v>0.86</v>
      </c>
      <c r="H537" s="6">
        <f t="shared" si="8"/>
        <v>0</v>
      </c>
      <c r="I537" s="3">
        <f>Raw_Production!I537</f>
        <v>146</v>
      </c>
      <c r="J537" s="3">
        <f>Raw_Production!J537</f>
        <v>87</v>
      </c>
      <c r="K537" s="3">
        <f>Raw_Production!L537</f>
        <v>81</v>
      </c>
      <c r="L537" s="3">
        <f>Raw_Production!M537</f>
        <v>6</v>
      </c>
      <c r="M537" s="3">
        <f>Raw_Production!F537</f>
        <v>0</v>
      </c>
      <c r="N537" s="3">
        <f>Raw_Production!K537</f>
        <v>654</v>
      </c>
      <c r="O537" s="3">
        <f>Raw_Production!H537</f>
        <v>8</v>
      </c>
      <c r="P537" s="3">
        <f>Raw_Production!E537</f>
        <v>27</v>
      </c>
    </row>
    <row r="538" spans="1:16" x14ac:dyDescent="0.3">
      <c r="A538" s="4">
        <f>Raw_Production!A538</f>
        <v>46116</v>
      </c>
      <c r="B538" s="3" t="str">
        <f>Raw_Production!C538</f>
        <v>Sewing</v>
      </c>
      <c r="C538" s="3" t="str">
        <f>Raw_Production!D538</f>
        <v>T02</v>
      </c>
      <c r="D538" s="3" t="str">
        <f>Raw_Production!P538</f>
        <v>ST-104</v>
      </c>
      <c r="E538" s="3" t="str">
        <f>Raw_Production!O538</f>
        <v>Shirt</v>
      </c>
      <c r="F538" s="6">
        <f>Raw_Production!G538</f>
        <v>0.85</v>
      </c>
      <c r="G538" s="6">
        <f>Raw_Production!N538</f>
        <v>0.76</v>
      </c>
      <c r="H538" s="6">
        <f t="shared" si="8"/>
        <v>-8.9999999999999969E-2</v>
      </c>
      <c r="I538" s="3">
        <f>Raw_Production!I538</f>
        <v>306</v>
      </c>
      <c r="J538" s="3">
        <f>Raw_Production!J538</f>
        <v>148</v>
      </c>
      <c r="K538" s="3">
        <f>Raw_Production!L538</f>
        <v>83</v>
      </c>
      <c r="L538" s="3">
        <f>Raw_Production!M538</f>
        <v>8</v>
      </c>
      <c r="M538" s="3">
        <f>Raw_Production!F538</f>
        <v>1</v>
      </c>
      <c r="N538" s="3">
        <f>Raw_Production!K538</f>
        <v>2271</v>
      </c>
      <c r="O538" s="3">
        <f>Raw_Production!H538</f>
        <v>11.8</v>
      </c>
      <c r="P538" s="3">
        <f>Raw_Production!E538</f>
        <v>36</v>
      </c>
    </row>
    <row r="539" spans="1:16" x14ac:dyDescent="0.3">
      <c r="A539" s="4">
        <f>Raw_Production!A539</f>
        <v>46116</v>
      </c>
      <c r="B539" s="3" t="str">
        <f>Raw_Production!C539</f>
        <v>Sewing</v>
      </c>
      <c r="C539" s="3" t="str">
        <f>Raw_Production!D539</f>
        <v>T03</v>
      </c>
      <c r="D539" s="3" t="str">
        <f>Raw_Production!P539</f>
        <v>ST-110</v>
      </c>
      <c r="E539" s="3" t="str">
        <f>Raw_Production!O539</f>
        <v>Jacket</v>
      </c>
      <c r="F539" s="6">
        <f>Raw_Production!G539</f>
        <v>0.77</v>
      </c>
      <c r="G539" s="6">
        <f>Raw_Production!N539</f>
        <v>0.61</v>
      </c>
      <c r="H539" s="6">
        <f t="shared" si="8"/>
        <v>-0.16000000000000003</v>
      </c>
      <c r="I539" s="3">
        <f>Raw_Production!I539</f>
        <v>280</v>
      </c>
      <c r="J539" s="3">
        <f>Raw_Production!J539</f>
        <v>121</v>
      </c>
      <c r="K539" s="3">
        <f>Raw_Production!L539</f>
        <v>94</v>
      </c>
      <c r="L539" s="3">
        <f>Raw_Production!M539</f>
        <v>5</v>
      </c>
      <c r="M539" s="3">
        <f>Raw_Production!F539</f>
        <v>2</v>
      </c>
      <c r="N539" s="3">
        <f>Raw_Production!K539</f>
        <v>3555</v>
      </c>
      <c r="O539" s="3">
        <f>Raw_Production!H539</f>
        <v>14.8</v>
      </c>
      <c r="P539" s="3">
        <f>Raw_Production!E539</f>
        <v>31</v>
      </c>
    </row>
    <row r="540" spans="1:16" x14ac:dyDescent="0.3">
      <c r="A540" s="4">
        <f>Raw_Production!A540</f>
        <v>46116</v>
      </c>
      <c r="B540" s="3" t="str">
        <f>Raw_Production!C540</f>
        <v>Finishing</v>
      </c>
      <c r="C540" s="3" t="str">
        <f>Raw_Production!D540</f>
        <v>T04</v>
      </c>
      <c r="D540" s="3" t="str">
        <f>Raw_Production!P540</f>
        <v>ST-103</v>
      </c>
      <c r="E540" s="3" t="str">
        <f>Raw_Production!O540</f>
        <v>Hoodie</v>
      </c>
      <c r="F540" s="6">
        <f>Raw_Production!G540</f>
        <v>0.78</v>
      </c>
      <c r="G540" s="6">
        <f>Raw_Production!N540</f>
        <v>0.78</v>
      </c>
      <c r="H540" s="6">
        <f t="shared" si="8"/>
        <v>0</v>
      </c>
      <c r="I540" s="3">
        <f>Raw_Production!I540</f>
        <v>70</v>
      </c>
      <c r="J540" s="3">
        <f>Raw_Production!J540</f>
        <v>84</v>
      </c>
      <c r="K540" s="3">
        <f>Raw_Production!L540</f>
        <v>104</v>
      </c>
      <c r="L540" s="3">
        <f>Raw_Production!M540</f>
        <v>5</v>
      </c>
      <c r="M540" s="3">
        <f>Raw_Production!F540</f>
        <v>1</v>
      </c>
      <c r="N540" s="3">
        <f>Raw_Production!K540</f>
        <v>807</v>
      </c>
      <c r="O540" s="3">
        <f>Raw_Production!H540</f>
        <v>10.199999999999999</v>
      </c>
      <c r="P540" s="3">
        <f>Raw_Production!E540</f>
        <v>30</v>
      </c>
    </row>
    <row r="541" spans="1:16" x14ac:dyDescent="0.3">
      <c r="A541" s="4">
        <f>Raw_Production!A541</f>
        <v>46116</v>
      </c>
      <c r="B541" s="3" t="str">
        <f>Raw_Production!C541</f>
        <v>Finishing</v>
      </c>
      <c r="C541" s="3" t="str">
        <f>Raw_Production!D541</f>
        <v>T05</v>
      </c>
      <c r="D541" s="3" t="str">
        <f>Raw_Production!P541</f>
        <v>ST-101</v>
      </c>
      <c r="E541" s="3" t="str">
        <f>Raw_Production!O541</f>
        <v>T-Shirt</v>
      </c>
      <c r="F541" s="6">
        <f>Raw_Production!G541</f>
        <v>0.86</v>
      </c>
      <c r="G541" s="6">
        <f>Raw_Production!N541</f>
        <v>0.72</v>
      </c>
      <c r="H541" s="6">
        <f t="shared" si="8"/>
        <v>-0.14000000000000001</v>
      </c>
      <c r="I541" s="3">
        <f>Raw_Production!I541</f>
        <v>330</v>
      </c>
      <c r="J541" s="3">
        <f>Raw_Production!J541</f>
        <v>132</v>
      </c>
      <c r="K541" s="3">
        <f>Raw_Production!L541</f>
        <v>69</v>
      </c>
      <c r="L541" s="3">
        <f>Raw_Production!M541</f>
        <v>4</v>
      </c>
      <c r="M541" s="3">
        <f>Raw_Production!F541</f>
        <v>1</v>
      </c>
      <c r="N541" s="3">
        <f>Raw_Production!K541</f>
        <v>3882</v>
      </c>
      <c r="O541" s="3">
        <f>Raw_Production!H541</f>
        <v>8.1999999999999993</v>
      </c>
      <c r="P541" s="3">
        <f>Raw_Production!E541</f>
        <v>34</v>
      </c>
    </row>
    <row r="542" spans="1:16" x14ac:dyDescent="0.3">
      <c r="A542" s="4">
        <f>Raw_Production!A542</f>
        <v>46117</v>
      </c>
      <c r="B542" s="3" t="str">
        <f>Raw_Production!C542</f>
        <v>Cutting</v>
      </c>
      <c r="C542" s="3" t="str">
        <f>Raw_Production!D542</f>
        <v>T01</v>
      </c>
      <c r="D542" s="3" t="str">
        <f>Raw_Production!P542</f>
        <v>ST-103</v>
      </c>
      <c r="E542" s="3" t="str">
        <f>Raw_Production!O542</f>
        <v>Hoodie</v>
      </c>
      <c r="F542" s="6">
        <f>Raw_Production!G542</f>
        <v>0.88</v>
      </c>
      <c r="G542" s="6">
        <f>Raw_Production!N542</f>
        <v>0.82</v>
      </c>
      <c r="H542" s="6">
        <f t="shared" si="8"/>
        <v>-6.0000000000000053E-2</v>
      </c>
      <c r="I542" s="3">
        <f>Raw_Production!I542</f>
        <v>193</v>
      </c>
      <c r="J542" s="3">
        <f>Raw_Production!J542</f>
        <v>94</v>
      </c>
      <c r="K542" s="3">
        <f>Raw_Production!L542</f>
        <v>34</v>
      </c>
      <c r="L542" s="3">
        <f>Raw_Production!M542</f>
        <v>6</v>
      </c>
      <c r="M542" s="3">
        <f>Raw_Production!F542</f>
        <v>0</v>
      </c>
      <c r="N542" s="3">
        <f>Raw_Production!K542</f>
        <v>2523</v>
      </c>
      <c r="O542" s="3">
        <f>Raw_Production!H542</f>
        <v>11.2</v>
      </c>
      <c r="P542" s="3">
        <f>Raw_Production!E542</f>
        <v>30</v>
      </c>
    </row>
    <row r="543" spans="1:16" x14ac:dyDescent="0.3">
      <c r="A543" s="4">
        <f>Raw_Production!A543</f>
        <v>46117</v>
      </c>
      <c r="B543" s="3" t="str">
        <f>Raw_Production!C543</f>
        <v>Cutting</v>
      </c>
      <c r="C543" s="3" t="str">
        <f>Raw_Production!D543</f>
        <v>T06</v>
      </c>
      <c r="D543" s="3" t="str">
        <f>Raw_Production!P543</f>
        <v>ST-108</v>
      </c>
      <c r="E543" s="3" t="str">
        <f>Raw_Production!O543</f>
        <v>Hoodie</v>
      </c>
      <c r="F543" s="6">
        <f>Raw_Production!G543</f>
        <v>0.75</v>
      </c>
      <c r="G543" s="6">
        <f>Raw_Production!N543</f>
        <v>0.54</v>
      </c>
      <c r="H543" s="6">
        <f t="shared" si="8"/>
        <v>-0.20999999999999996</v>
      </c>
      <c r="I543" s="3">
        <f>Raw_Production!I543</f>
        <v>398</v>
      </c>
      <c r="J543" s="3">
        <f>Raw_Production!J543</f>
        <v>66</v>
      </c>
      <c r="K543" s="3">
        <f>Raw_Production!L543</f>
        <v>92</v>
      </c>
      <c r="L543" s="3">
        <f>Raw_Production!M543</f>
        <v>0</v>
      </c>
      <c r="M543" s="3">
        <f>Raw_Production!F543</f>
        <v>3</v>
      </c>
      <c r="N543" s="3">
        <f>Raw_Production!K543</f>
        <v>3894</v>
      </c>
      <c r="O543" s="3">
        <f>Raw_Production!H543</f>
        <v>11.8</v>
      </c>
      <c r="P543" s="3">
        <f>Raw_Production!E543</f>
        <v>28</v>
      </c>
    </row>
    <row r="544" spans="1:16" x14ac:dyDescent="0.3">
      <c r="A544" s="4">
        <f>Raw_Production!A544</f>
        <v>46117</v>
      </c>
      <c r="B544" s="3" t="str">
        <f>Raw_Production!C544</f>
        <v>Sewing</v>
      </c>
      <c r="C544" s="3" t="str">
        <f>Raw_Production!D544</f>
        <v>T02</v>
      </c>
      <c r="D544" s="3" t="str">
        <f>Raw_Production!P544</f>
        <v>ST-110</v>
      </c>
      <c r="E544" s="3" t="str">
        <f>Raw_Production!O544</f>
        <v>Jacket</v>
      </c>
      <c r="F544" s="6">
        <f>Raw_Production!G544</f>
        <v>0.73</v>
      </c>
      <c r="G544" s="6">
        <f>Raw_Production!N544</f>
        <v>0.69</v>
      </c>
      <c r="H544" s="6">
        <f t="shared" si="8"/>
        <v>-4.0000000000000036E-2</v>
      </c>
      <c r="I544" s="3">
        <f>Raw_Production!I544</f>
        <v>118</v>
      </c>
      <c r="J544" s="3">
        <f>Raw_Production!J544</f>
        <v>133</v>
      </c>
      <c r="K544" s="3">
        <f>Raw_Production!L544</f>
        <v>6</v>
      </c>
      <c r="L544" s="3">
        <f>Raw_Production!M544</f>
        <v>6</v>
      </c>
      <c r="M544" s="3">
        <f>Raw_Production!F544</f>
        <v>3</v>
      </c>
      <c r="N544" s="3">
        <f>Raw_Production!K544</f>
        <v>407</v>
      </c>
      <c r="O544" s="3">
        <f>Raw_Production!H544</f>
        <v>13.8</v>
      </c>
      <c r="P544" s="3">
        <f>Raw_Production!E544</f>
        <v>25</v>
      </c>
    </row>
    <row r="545" spans="1:16" x14ac:dyDescent="0.3">
      <c r="A545" s="4">
        <f>Raw_Production!A545</f>
        <v>46117</v>
      </c>
      <c r="B545" s="3" t="str">
        <f>Raw_Production!C545</f>
        <v>Sewing</v>
      </c>
      <c r="C545" s="3" t="str">
        <f>Raw_Production!D545</f>
        <v>T03</v>
      </c>
      <c r="D545" s="3" t="str">
        <f>Raw_Production!P545</f>
        <v>ST-107</v>
      </c>
      <c r="E545" s="3" t="str">
        <f>Raw_Production!O545</f>
        <v>Polo</v>
      </c>
      <c r="F545" s="6">
        <f>Raw_Production!G545</f>
        <v>0.73</v>
      </c>
      <c r="G545" s="6">
        <f>Raw_Production!N545</f>
        <v>0.6</v>
      </c>
      <c r="H545" s="6">
        <f t="shared" si="8"/>
        <v>-0.13</v>
      </c>
      <c r="I545" s="3">
        <f>Raw_Production!I545</f>
        <v>120</v>
      </c>
      <c r="J545" s="3">
        <f>Raw_Production!J545</f>
        <v>39</v>
      </c>
      <c r="K545" s="3">
        <f>Raw_Production!L545</f>
        <v>43</v>
      </c>
      <c r="L545" s="3">
        <f>Raw_Production!M545</f>
        <v>5</v>
      </c>
      <c r="M545" s="3">
        <f>Raw_Production!F545</f>
        <v>0</v>
      </c>
      <c r="N545" s="3">
        <f>Raw_Production!K545</f>
        <v>2704</v>
      </c>
      <c r="O545" s="3">
        <f>Raw_Production!H545</f>
        <v>9.4</v>
      </c>
      <c r="P545" s="3">
        <f>Raw_Production!E545</f>
        <v>25</v>
      </c>
    </row>
    <row r="546" spans="1:16" x14ac:dyDescent="0.3">
      <c r="A546" s="4">
        <f>Raw_Production!A546</f>
        <v>46117</v>
      </c>
      <c r="B546" s="3" t="str">
        <f>Raw_Production!C546</f>
        <v>Finishing</v>
      </c>
      <c r="C546" s="3" t="str">
        <f>Raw_Production!D546</f>
        <v>T04</v>
      </c>
      <c r="D546" s="3" t="str">
        <f>Raw_Production!P546</f>
        <v>ST-105</v>
      </c>
      <c r="E546" s="3" t="str">
        <f>Raw_Production!O546</f>
        <v>Jacket</v>
      </c>
      <c r="F546" s="6">
        <f>Raw_Production!G546</f>
        <v>0.85</v>
      </c>
      <c r="G546" s="6">
        <f>Raw_Production!N546</f>
        <v>0.77</v>
      </c>
      <c r="H546" s="6">
        <f t="shared" si="8"/>
        <v>-7.999999999999996E-2</v>
      </c>
      <c r="I546" s="3">
        <f>Raw_Production!I546</f>
        <v>390</v>
      </c>
      <c r="J546" s="3">
        <f>Raw_Production!J546</f>
        <v>105</v>
      </c>
      <c r="K546" s="3">
        <f>Raw_Production!L546</f>
        <v>8</v>
      </c>
      <c r="L546" s="3">
        <f>Raw_Production!M546</f>
        <v>0</v>
      </c>
      <c r="M546" s="3">
        <f>Raw_Production!F546</f>
        <v>0</v>
      </c>
      <c r="N546" s="3">
        <f>Raw_Production!K546</f>
        <v>3575</v>
      </c>
      <c r="O546" s="3">
        <f>Raw_Production!H546</f>
        <v>11.2</v>
      </c>
      <c r="P546" s="3">
        <f>Raw_Production!E546</f>
        <v>34</v>
      </c>
    </row>
    <row r="547" spans="1:16" x14ac:dyDescent="0.3">
      <c r="A547" s="4">
        <f>Raw_Production!A547</f>
        <v>46117</v>
      </c>
      <c r="B547" s="3" t="str">
        <f>Raw_Production!C547</f>
        <v>Finishing</v>
      </c>
      <c r="C547" s="3" t="str">
        <f>Raw_Production!D547</f>
        <v>T05</v>
      </c>
      <c r="D547" s="3" t="str">
        <f>Raw_Production!P547</f>
        <v>ST-101</v>
      </c>
      <c r="E547" s="3" t="str">
        <f>Raw_Production!O547</f>
        <v>T-Shirt</v>
      </c>
      <c r="F547" s="6">
        <f>Raw_Production!G547</f>
        <v>0.83</v>
      </c>
      <c r="G547" s="6">
        <f>Raw_Production!N547</f>
        <v>0.81</v>
      </c>
      <c r="H547" s="6">
        <f t="shared" si="8"/>
        <v>-1.9999999999999907E-2</v>
      </c>
      <c r="I547" s="3">
        <f>Raw_Production!I547</f>
        <v>225</v>
      </c>
      <c r="J547" s="3">
        <f>Raw_Production!J547</f>
        <v>122</v>
      </c>
      <c r="K547" s="3">
        <f>Raw_Production!L547</f>
        <v>107</v>
      </c>
      <c r="L547" s="3">
        <f>Raw_Production!M547</f>
        <v>1</v>
      </c>
      <c r="M547" s="3">
        <f>Raw_Production!F547</f>
        <v>2</v>
      </c>
      <c r="N547" s="3">
        <f>Raw_Production!K547</f>
        <v>3167</v>
      </c>
      <c r="O547" s="3">
        <f>Raw_Production!H547</f>
        <v>12.6</v>
      </c>
      <c r="P547" s="3">
        <f>Raw_Production!E547</f>
        <v>25</v>
      </c>
    </row>
    <row r="548" spans="1:16" x14ac:dyDescent="0.3">
      <c r="A548" s="4">
        <f>Raw_Production!A548</f>
        <v>46118</v>
      </c>
      <c r="B548" s="3" t="str">
        <f>Raw_Production!C548</f>
        <v>Cutting</v>
      </c>
      <c r="C548" s="3" t="str">
        <f>Raw_Production!D548</f>
        <v>T01</v>
      </c>
      <c r="D548" s="3" t="str">
        <f>Raw_Production!P548</f>
        <v>ST-104</v>
      </c>
      <c r="E548" s="3" t="str">
        <f>Raw_Production!O548</f>
        <v>Shirt</v>
      </c>
      <c r="F548" s="6">
        <f>Raw_Production!G548</f>
        <v>0.82</v>
      </c>
      <c r="G548" s="6">
        <f>Raw_Production!N548</f>
        <v>0.82</v>
      </c>
      <c r="H548" s="6">
        <f t="shared" si="8"/>
        <v>0</v>
      </c>
      <c r="I548" s="3">
        <f>Raw_Production!I548</f>
        <v>411</v>
      </c>
      <c r="J548" s="3">
        <f>Raw_Production!J548</f>
        <v>3</v>
      </c>
      <c r="K548" s="3">
        <f>Raw_Production!L548</f>
        <v>89</v>
      </c>
      <c r="L548" s="3">
        <f>Raw_Production!M548</f>
        <v>7</v>
      </c>
      <c r="M548" s="3">
        <f>Raw_Production!F548</f>
        <v>2</v>
      </c>
      <c r="N548" s="3">
        <f>Raw_Production!K548</f>
        <v>3180</v>
      </c>
      <c r="O548" s="3">
        <f>Raw_Production!H548</f>
        <v>12.8</v>
      </c>
      <c r="P548" s="3">
        <f>Raw_Production!E548</f>
        <v>37</v>
      </c>
    </row>
    <row r="549" spans="1:16" x14ac:dyDescent="0.3">
      <c r="A549" s="4">
        <f>Raw_Production!A549</f>
        <v>46118</v>
      </c>
      <c r="B549" s="3" t="str">
        <f>Raw_Production!C549</f>
        <v>Cutting</v>
      </c>
      <c r="C549" s="3" t="str">
        <f>Raw_Production!D549</f>
        <v>T06</v>
      </c>
      <c r="D549" s="3" t="str">
        <f>Raw_Production!P549</f>
        <v>ST-107</v>
      </c>
      <c r="E549" s="3" t="str">
        <f>Raw_Production!O549</f>
        <v>Polo</v>
      </c>
      <c r="F549" s="6">
        <f>Raw_Production!G549</f>
        <v>0.8</v>
      </c>
      <c r="G549" s="6">
        <f>Raw_Production!N549</f>
        <v>0.7</v>
      </c>
      <c r="H549" s="6">
        <f t="shared" si="8"/>
        <v>-0.10000000000000009</v>
      </c>
      <c r="I549" s="3">
        <f>Raw_Production!I549</f>
        <v>35</v>
      </c>
      <c r="J549" s="3">
        <f>Raw_Production!J549</f>
        <v>26</v>
      </c>
      <c r="K549" s="3">
        <f>Raw_Production!L549</f>
        <v>52</v>
      </c>
      <c r="L549" s="3">
        <f>Raw_Production!M549</f>
        <v>3</v>
      </c>
      <c r="M549" s="3">
        <f>Raw_Production!F549</f>
        <v>1</v>
      </c>
      <c r="N549" s="3">
        <f>Raw_Production!K549</f>
        <v>477</v>
      </c>
      <c r="O549" s="3">
        <f>Raw_Production!H549</f>
        <v>18.100000000000001</v>
      </c>
      <c r="P549" s="3">
        <f>Raw_Production!E549</f>
        <v>23</v>
      </c>
    </row>
    <row r="550" spans="1:16" x14ac:dyDescent="0.3">
      <c r="A550" s="4">
        <f>Raw_Production!A550</f>
        <v>46118</v>
      </c>
      <c r="B550" s="3" t="str">
        <f>Raw_Production!C550</f>
        <v>Sewing</v>
      </c>
      <c r="C550" s="3" t="str">
        <f>Raw_Production!D550</f>
        <v>T02</v>
      </c>
      <c r="D550" s="3" t="str">
        <f>Raw_Production!P550</f>
        <v>ST-106</v>
      </c>
      <c r="E550" s="3" t="str">
        <f>Raw_Production!O550</f>
        <v>T-Shirt</v>
      </c>
      <c r="F550" s="6">
        <f>Raw_Production!G550</f>
        <v>0.81</v>
      </c>
      <c r="G550" s="6">
        <f>Raw_Production!N550</f>
        <v>0.69</v>
      </c>
      <c r="H550" s="6">
        <f t="shared" si="8"/>
        <v>-0.12000000000000011</v>
      </c>
      <c r="I550" s="3">
        <f>Raw_Production!I550</f>
        <v>211</v>
      </c>
      <c r="J550" s="3">
        <f>Raw_Production!J550</f>
        <v>108</v>
      </c>
      <c r="K550" s="3">
        <f>Raw_Production!L550</f>
        <v>117</v>
      </c>
      <c r="L550" s="3">
        <f>Raw_Production!M550</f>
        <v>7</v>
      </c>
      <c r="M550" s="3">
        <f>Raw_Production!F550</f>
        <v>1</v>
      </c>
      <c r="N550" s="3">
        <f>Raw_Production!K550</f>
        <v>2673</v>
      </c>
      <c r="O550" s="3">
        <f>Raw_Production!H550</f>
        <v>12.8</v>
      </c>
      <c r="P550" s="3">
        <f>Raw_Production!E550</f>
        <v>28</v>
      </c>
    </row>
    <row r="551" spans="1:16" x14ac:dyDescent="0.3">
      <c r="A551" s="4">
        <f>Raw_Production!A551</f>
        <v>46118</v>
      </c>
      <c r="B551" s="3" t="str">
        <f>Raw_Production!C551</f>
        <v>Sewing</v>
      </c>
      <c r="C551" s="3" t="str">
        <f>Raw_Production!D551</f>
        <v>T03</v>
      </c>
      <c r="D551" s="3" t="str">
        <f>Raw_Production!P551</f>
        <v>ST-101</v>
      </c>
      <c r="E551" s="3" t="str">
        <f>Raw_Production!O551</f>
        <v>T-Shirt</v>
      </c>
      <c r="F551" s="6">
        <f>Raw_Production!G551</f>
        <v>0.87</v>
      </c>
      <c r="G551" s="6">
        <f>Raw_Production!N551</f>
        <v>0.84</v>
      </c>
      <c r="H551" s="6">
        <f t="shared" si="8"/>
        <v>-3.0000000000000027E-2</v>
      </c>
      <c r="I551" s="3">
        <f>Raw_Production!I551</f>
        <v>424</v>
      </c>
      <c r="J551" s="3">
        <f>Raw_Production!J551</f>
        <v>138</v>
      </c>
      <c r="K551" s="3">
        <f>Raw_Production!L551</f>
        <v>3</v>
      </c>
      <c r="L551" s="3">
        <f>Raw_Production!M551</f>
        <v>7</v>
      </c>
      <c r="M551" s="3">
        <f>Raw_Production!F551</f>
        <v>1</v>
      </c>
      <c r="N551" s="3">
        <f>Raw_Production!K551</f>
        <v>3197</v>
      </c>
      <c r="O551" s="3">
        <f>Raw_Production!H551</f>
        <v>15.5</v>
      </c>
      <c r="P551" s="3">
        <f>Raw_Production!E551</f>
        <v>31</v>
      </c>
    </row>
    <row r="552" spans="1:16" x14ac:dyDescent="0.3">
      <c r="A552" s="4">
        <f>Raw_Production!A552</f>
        <v>46118</v>
      </c>
      <c r="B552" s="3" t="str">
        <f>Raw_Production!C552</f>
        <v>Finishing</v>
      </c>
      <c r="C552" s="3" t="str">
        <f>Raw_Production!D552</f>
        <v>T04</v>
      </c>
      <c r="D552" s="3" t="str">
        <f>Raw_Production!P552</f>
        <v>ST-106</v>
      </c>
      <c r="E552" s="3" t="str">
        <f>Raw_Production!O552</f>
        <v>T-Shirt</v>
      </c>
      <c r="F552" s="6">
        <f>Raw_Production!G552</f>
        <v>0.83</v>
      </c>
      <c r="G552" s="6">
        <f>Raw_Production!N552</f>
        <v>0.78</v>
      </c>
      <c r="H552" s="6">
        <f t="shared" si="8"/>
        <v>-4.9999999999999933E-2</v>
      </c>
      <c r="I552" s="3">
        <f>Raw_Production!I552</f>
        <v>219</v>
      </c>
      <c r="J552" s="3">
        <f>Raw_Production!J552</f>
        <v>137</v>
      </c>
      <c r="K552" s="3">
        <f>Raw_Production!L552</f>
        <v>87</v>
      </c>
      <c r="L552" s="3">
        <f>Raw_Production!M552</f>
        <v>6</v>
      </c>
      <c r="M552" s="3">
        <f>Raw_Production!F552</f>
        <v>3</v>
      </c>
      <c r="N552" s="3">
        <f>Raw_Production!K552</f>
        <v>3395</v>
      </c>
      <c r="O552" s="3">
        <f>Raw_Production!H552</f>
        <v>16.100000000000001</v>
      </c>
      <c r="P552" s="3">
        <f>Raw_Production!E552</f>
        <v>26</v>
      </c>
    </row>
    <row r="553" spans="1:16" x14ac:dyDescent="0.3">
      <c r="A553" s="4">
        <f>Raw_Production!A553</f>
        <v>46118</v>
      </c>
      <c r="B553" s="3" t="str">
        <f>Raw_Production!C553</f>
        <v>Finishing</v>
      </c>
      <c r="C553" s="3" t="str">
        <f>Raw_Production!D553</f>
        <v>T05</v>
      </c>
      <c r="D553" s="3" t="str">
        <f>Raw_Production!P553</f>
        <v>ST-109</v>
      </c>
      <c r="E553" s="3" t="str">
        <f>Raw_Production!O553</f>
        <v>Shirt</v>
      </c>
      <c r="F553" s="6">
        <f>Raw_Production!G553</f>
        <v>0.72</v>
      </c>
      <c r="G553" s="6">
        <f>Raw_Production!N553</f>
        <v>0.66</v>
      </c>
      <c r="H553" s="6">
        <f t="shared" si="8"/>
        <v>-5.9999999999999942E-2</v>
      </c>
      <c r="I553" s="3">
        <f>Raw_Production!I553</f>
        <v>70</v>
      </c>
      <c r="J553" s="3">
        <f>Raw_Production!J553</f>
        <v>124</v>
      </c>
      <c r="K553" s="3">
        <f>Raw_Production!L553</f>
        <v>39</v>
      </c>
      <c r="L553" s="3">
        <f>Raw_Production!M553</f>
        <v>2</v>
      </c>
      <c r="M553" s="3">
        <f>Raw_Production!F553</f>
        <v>3</v>
      </c>
      <c r="N553" s="3">
        <f>Raw_Production!K553</f>
        <v>621</v>
      </c>
      <c r="O553" s="3">
        <f>Raw_Production!H553</f>
        <v>8.6</v>
      </c>
      <c r="P553" s="3">
        <f>Raw_Production!E553</f>
        <v>24</v>
      </c>
    </row>
    <row r="554" spans="1:16" x14ac:dyDescent="0.3">
      <c r="A554" s="4">
        <f>Raw_Production!A554</f>
        <v>46119</v>
      </c>
      <c r="B554" s="3" t="str">
        <f>Raw_Production!C554</f>
        <v>Cutting</v>
      </c>
      <c r="C554" s="3" t="str">
        <f>Raw_Production!D554</f>
        <v>T01</v>
      </c>
      <c r="D554" s="3" t="str">
        <f>Raw_Production!P554</f>
        <v>ST-110</v>
      </c>
      <c r="E554" s="3" t="str">
        <f>Raw_Production!O554</f>
        <v>Jacket</v>
      </c>
      <c r="F554" s="6">
        <f>Raw_Production!G554</f>
        <v>0.85</v>
      </c>
      <c r="G554" s="6">
        <f>Raw_Production!N554</f>
        <v>0.76</v>
      </c>
      <c r="H554" s="6">
        <f t="shared" si="8"/>
        <v>-8.9999999999999969E-2</v>
      </c>
      <c r="I554" s="3">
        <f>Raw_Production!I554</f>
        <v>395</v>
      </c>
      <c r="J554" s="3">
        <f>Raw_Production!J554</f>
        <v>139</v>
      </c>
      <c r="K554" s="3">
        <f>Raw_Production!L554</f>
        <v>99</v>
      </c>
      <c r="L554" s="3">
        <f>Raw_Production!M554</f>
        <v>1</v>
      </c>
      <c r="M554" s="3">
        <f>Raw_Production!F554</f>
        <v>0</v>
      </c>
      <c r="N554" s="3">
        <f>Raw_Production!K554</f>
        <v>3120</v>
      </c>
      <c r="O554" s="3">
        <f>Raw_Production!H554</f>
        <v>15.4</v>
      </c>
      <c r="P554" s="3">
        <f>Raw_Production!E554</f>
        <v>35</v>
      </c>
    </row>
    <row r="555" spans="1:16" x14ac:dyDescent="0.3">
      <c r="A555" s="4">
        <f>Raw_Production!A555</f>
        <v>46119</v>
      </c>
      <c r="B555" s="3" t="str">
        <f>Raw_Production!C555</f>
        <v>Cutting</v>
      </c>
      <c r="C555" s="3" t="str">
        <f>Raw_Production!D555</f>
        <v>T06</v>
      </c>
      <c r="D555" s="3" t="str">
        <f>Raw_Production!P555</f>
        <v>ST-102</v>
      </c>
      <c r="E555" s="3" t="str">
        <f>Raw_Production!O555</f>
        <v>Polo</v>
      </c>
      <c r="F555" s="6">
        <f>Raw_Production!G555</f>
        <v>0.83</v>
      </c>
      <c r="G555" s="6">
        <f>Raw_Production!N555</f>
        <v>0.85</v>
      </c>
      <c r="H555" s="6">
        <f t="shared" si="8"/>
        <v>2.0000000000000018E-2</v>
      </c>
      <c r="I555" s="3">
        <f>Raw_Production!I555</f>
        <v>406</v>
      </c>
      <c r="J555" s="3">
        <f>Raw_Production!J555</f>
        <v>128</v>
      </c>
      <c r="K555" s="3">
        <f>Raw_Production!L555</f>
        <v>80</v>
      </c>
      <c r="L555" s="3">
        <f>Raw_Production!M555</f>
        <v>1</v>
      </c>
      <c r="M555" s="3">
        <f>Raw_Production!F555</f>
        <v>2</v>
      </c>
      <c r="N555" s="3">
        <f>Raw_Production!K555</f>
        <v>2240</v>
      </c>
      <c r="O555" s="3">
        <f>Raw_Production!H555</f>
        <v>15.4</v>
      </c>
      <c r="P555" s="3">
        <f>Raw_Production!E555</f>
        <v>26</v>
      </c>
    </row>
    <row r="556" spans="1:16" x14ac:dyDescent="0.3">
      <c r="A556" s="4">
        <f>Raw_Production!A556</f>
        <v>46119</v>
      </c>
      <c r="B556" s="3" t="str">
        <f>Raw_Production!C556</f>
        <v>Sewing</v>
      </c>
      <c r="C556" s="3" t="str">
        <f>Raw_Production!D556</f>
        <v>T02</v>
      </c>
      <c r="D556" s="3" t="str">
        <f>Raw_Production!P556</f>
        <v>ST-103</v>
      </c>
      <c r="E556" s="3" t="str">
        <f>Raw_Production!O556</f>
        <v>Hoodie</v>
      </c>
      <c r="F556" s="6">
        <f>Raw_Production!G556</f>
        <v>0.76</v>
      </c>
      <c r="G556" s="6">
        <f>Raw_Production!N556</f>
        <v>0.75</v>
      </c>
      <c r="H556" s="6">
        <f t="shared" si="8"/>
        <v>-1.0000000000000009E-2</v>
      </c>
      <c r="I556" s="3">
        <f>Raw_Production!I556</f>
        <v>376</v>
      </c>
      <c r="J556" s="3">
        <f>Raw_Production!J556</f>
        <v>92</v>
      </c>
      <c r="K556" s="3">
        <f>Raw_Production!L556</f>
        <v>37</v>
      </c>
      <c r="L556" s="3">
        <f>Raw_Production!M556</f>
        <v>1</v>
      </c>
      <c r="M556" s="3">
        <f>Raw_Production!F556</f>
        <v>1</v>
      </c>
      <c r="N556" s="3">
        <f>Raw_Production!K556</f>
        <v>3752</v>
      </c>
      <c r="O556" s="3">
        <f>Raw_Production!H556</f>
        <v>14.2</v>
      </c>
      <c r="P556" s="3">
        <f>Raw_Production!E556</f>
        <v>31</v>
      </c>
    </row>
    <row r="557" spans="1:16" x14ac:dyDescent="0.3">
      <c r="A557" s="4">
        <f>Raw_Production!A557</f>
        <v>46119</v>
      </c>
      <c r="B557" s="3" t="str">
        <f>Raw_Production!C557</f>
        <v>Sewing</v>
      </c>
      <c r="C557" s="3" t="str">
        <f>Raw_Production!D557</f>
        <v>T03</v>
      </c>
      <c r="D557" s="3" t="str">
        <f>Raw_Production!P557</f>
        <v>ST-101</v>
      </c>
      <c r="E557" s="3" t="str">
        <f>Raw_Production!O557</f>
        <v>T-Shirt</v>
      </c>
      <c r="F557" s="6">
        <f>Raw_Production!G557</f>
        <v>0.88</v>
      </c>
      <c r="G557" s="6">
        <f>Raw_Production!N557</f>
        <v>0.94</v>
      </c>
      <c r="H557" s="6">
        <f t="shared" si="8"/>
        <v>5.9999999999999942E-2</v>
      </c>
      <c r="I557" s="3">
        <f>Raw_Production!I557</f>
        <v>222</v>
      </c>
      <c r="J557" s="3">
        <f>Raw_Production!J557</f>
        <v>64</v>
      </c>
      <c r="K557" s="3">
        <f>Raw_Production!L557</f>
        <v>37</v>
      </c>
      <c r="L557" s="3">
        <f>Raw_Production!M557</f>
        <v>6</v>
      </c>
      <c r="M557" s="3">
        <f>Raw_Production!F557</f>
        <v>1</v>
      </c>
      <c r="N557" s="3">
        <f>Raw_Production!K557</f>
        <v>2397</v>
      </c>
      <c r="O557" s="3">
        <f>Raw_Production!H557</f>
        <v>16.399999999999999</v>
      </c>
      <c r="P557" s="3">
        <f>Raw_Production!E557</f>
        <v>25</v>
      </c>
    </row>
    <row r="558" spans="1:16" x14ac:dyDescent="0.3">
      <c r="A558" s="4">
        <f>Raw_Production!A558</f>
        <v>46119</v>
      </c>
      <c r="B558" s="3" t="str">
        <f>Raw_Production!C558</f>
        <v>Finishing</v>
      </c>
      <c r="C558" s="3" t="str">
        <f>Raw_Production!D558</f>
        <v>T04</v>
      </c>
      <c r="D558" s="3" t="str">
        <f>Raw_Production!P558</f>
        <v>ST-107</v>
      </c>
      <c r="E558" s="3" t="str">
        <f>Raw_Production!O558</f>
        <v>Polo</v>
      </c>
      <c r="F558" s="6">
        <f>Raw_Production!G558</f>
        <v>0.78</v>
      </c>
      <c r="G558" s="6">
        <f>Raw_Production!N558</f>
        <v>0.82</v>
      </c>
      <c r="H558" s="6">
        <f t="shared" si="8"/>
        <v>3.9999999999999925E-2</v>
      </c>
      <c r="I558" s="3">
        <f>Raw_Production!I558</f>
        <v>393</v>
      </c>
      <c r="J558" s="3">
        <f>Raw_Production!J558</f>
        <v>68</v>
      </c>
      <c r="K558" s="3">
        <f>Raw_Production!L558</f>
        <v>106</v>
      </c>
      <c r="L558" s="3">
        <f>Raw_Production!M558</f>
        <v>5</v>
      </c>
      <c r="M558" s="3">
        <f>Raw_Production!F558</f>
        <v>0</v>
      </c>
      <c r="N558" s="3">
        <f>Raw_Production!K558</f>
        <v>3398</v>
      </c>
      <c r="O558" s="3">
        <f>Raw_Production!H558</f>
        <v>8</v>
      </c>
      <c r="P558" s="3">
        <f>Raw_Production!E558</f>
        <v>36</v>
      </c>
    </row>
    <row r="559" spans="1:16" x14ac:dyDescent="0.3">
      <c r="A559" s="4">
        <f>Raw_Production!A559</f>
        <v>46119</v>
      </c>
      <c r="B559" s="3" t="str">
        <f>Raw_Production!C559</f>
        <v>Finishing</v>
      </c>
      <c r="C559" s="3" t="str">
        <f>Raw_Production!D559</f>
        <v>T05</v>
      </c>
      <c r="D559" s="3" t="str">
        <f>Raw_Production!P559</f>
        <v>ST-108</v>
      </c>
      <c r="E559" s="3" t="str">
        <f>Raw_Production!O559</f>
        <v>Hoodie</v>
      </c>
      <c r="F559" s="6">
        <f>Raw_Production!G559</f>
        <v>0.75</v>
      </c>
      <c r="G559" s="6">
        <f>Raw_Production!N559</f>
        <v>0.68</v>
      </c>
      <c r="H559" s="6">
        <f t="shared" si="8"/>
        <v>-6.9999999999999951E-2</v>
      </c>
      <c r="I559" s="3">
        <f>Raw_Production!I559</f>
        <v>134</v>
      </c>
      <c r="J559" s="3">
        <f>Raw_Production!J559</f>
        <v>97</v>
      </c>
      <c r="K559" s="3">
        <f>Raw_Production!L559</f>
        <v>12</v>
      </c>
      <c r="L559" s="3">
        <f>Raw_Production!M559</f>
        <v>0</v>
      </c>
      <c r="M559" s="3">
        <f>Raw_Production!F559</f>
        <v>1</v>
      </c>
      <c r="N559" s="3">
        <f>Raw_Production!K559</f>
        <v>1474</v>
      </c>
      <c r="O559" s="3">
        <f>Raw_Production!H559</f>
        <v>12.9</v>
      </c>
      <c r="P559" s="3">
        <f>Raw_Production!E559</f>
        <v>29</v>
      </c>
    </row>
    <row r="560" spans="1:16" x14ac:dyDescent="0.3">
      <c r="A560" s="4">
        <f>Raw_Production!A560</f>
        <v>46120</v>
      </c>
      <c r="B560" s="3" t="str">
        <f>Raw_Production!C560</f>
        <v>Cutting</v>
      </c>
      <c r="C560" s="3" t="str">
        <f>Raw_Production!D560</f>
        <v>T01</v>
      </c>
      <c r="D560" s="3" t="str">
        <f>Raw_Production!P560</f>
        <v>ST-108</v>
      </c>
      <c r="E560" s="3" t="str">
        <f>Raw_Production!O560</f>
        <v>Hoodie</v>
      </c>
      <c r="F560" s="6">
        <f>Raw_Production!G560</f>
        <v>0.74</v>
      </c>
      <c r="G560" s="6">
        <f>Raw_Production!N560</f>
        <v>0.75</v>
      </c>
      <c r="H560" s="6">
        <f t="shared" si="8"/>
        <v>1.0000000000000009E-2</v>
      </c>
      <c r="I560" s="3">
        <f>Raw_Production!I560</f>
        <v>189</v>
      </c>
      <c r="J560" s="3">
        <f>Raw_Production!J560</f>
        <v>136</v>
      </c>
      <c r="K560" s="3">
        <f>Raw_Production!L560</f>
        <v>65</v>
      </c>
      <c r="L560" s="3">
        <f>Raw_Production!M560</f>
        <v>3</v>
      </c>
      <c r="M560" s="3">
        <f>Raw_Production!F560</f>
        <v>0</v>
      </c>
      <c r="N560" s="3">
        <f>Raw_Production!K560</f>
        <v>4059</v>
      </c>
      <c r="O560" s="3">
        <f>Raw_Production!H560</f>
        <v>17.600000000000001</v>
      </c>
      <c r="P560" s="3">
        <f>Raw_Production!E560</f>
        <v>31</v>
      </c>
    </row>
    <row r="561" spans="1:16" x14ac:dyDescent="0.3">
      <c r="A561" s="4">
        <f>Raw_Production!A561</f>
        <v>46120</v>
      </c>
      <c r="B561" s="3" t="str">
        <f>Raw_Production!C561</f>
        <v>Cutting</v>
      </c>
      <c r="C561" s="3" t="str">
        <f>Raw_Production!D561</f>
        <v>T06</v>
      </c>
      <c r="D561" s="3" t="str">
        <f>Raw_Production!P561</f>
        <v>ST-104</v>
      </c>
      <c r="E561" s="3" t="str">
        <f>Raw_Production!O561</f>
        <v>Shirt</v>
      </c>
      <c r="F561" s="6">
        <f>Raw_Production!G561</f>
        <v>0.85</v>
      </c>
      <c r="G561" s="6">
        <f>Raw_Production!N561</f>
        <v>0.67</v>
      </c>
      <c r="H561" s="6">
        <f t="shared" si="8"/>
        <v>-0.17999999999999994</v>
      </c>
      <c r="I561" s="3">
        <f>Raw_Production!I561</f>
        <v>276</v>
      </c>
      <c r="J561" s="3">
        <f>Raw_Production!J561</f>
        <v>25</v>
      </c>
      <c r="K561" s="3">
        <f>Raw_Production!L561</f>
        <v>38</v>
      </c>
      <c r="L561" s="3">
        <f>Raw_Production!M561</f>
        <v>7</v>
      </c>
      <c r="M561" s="3">
        <f>Raw_Production!F561</f>
        <v>3</v>
      </c>
      <c r="N561" s="3">
        <f>Raw_Production!K561</f>
        <v>2124</v>
      </c>
      <c r="O561" s="3">
        <f>Raw_Production!H561</f>
        <v>14.4</v>
      </c>
      <c r="P561" s="3">
        <f>Raw_Production!E561</f>
        <v>38</v>
      </c>
    </row>
    <row r="562" spans="1:16" x14ac:dyDescent="0.3">
      <c r="A562" s="4">
        <f>Raw_Production!A562</f>
        <v>46120</v>
      </c>
      <c r="B562" s="3" t="str">
        <f>Raw_Production!C562</f>
        <v>Sewing</v>
      </c>
      <c r="C562" s="3" t="str">
        <f>Raw_Production!D562</f>
        <v>T02</v>
      </c>
      <c r="D562" s="3" t="str">
        <f>Raw_Production!P562</f>
        <v>ST-104</v>
      </c>
      <c r="E562" s="3" t="str">
        <f>Raw_Production!O562</f>
        <v>Shirt</v>
      </c>
      <c r="F562" s="6">
        <f>Raw_Production!G562</f>
        <v>0.85</v>
      </c>
      <c r="G562" s="6">
        <f>Raw_Production!N562</f>
        <v>0.71</v>
      </c>
      <c r="H562" s="6">
        <f t="shared" si="8"/>
        <v>-0.14000000000000001</v>
      </c>
      <c r="I562" s="3">
        <f>Raw_Production!I562</f>
        <v>219</v>
      </c>
      <c r="J562" s="3">
        <f>Raw_Production!J562</f>
        <v>143</v>
      </c>
      <c r="K562" s="3">
        <f>Raw_Production!L562</f>
        <v>92</v>
      </c>
      <c r="L562" s="3">
        <f>Raw_Production!M562</f>
        <v>2</v>
      </c>
      <c r="M562" s="3">
        <f>Raw_Production!F562</f>
        <v>1</v>
      </c>
      <c r="N562" s="3">
        <f>Raw_Production!K562</f>
        <v>4183</v>
      </c>
      <c r="O562" s="3">
        <f>Raw_Production!H562</f>
        <v>9.6999999999999993</v>
      </c>
      <c r="P562" s="3">
        <f>Raw_Production!E562</f>
        <v>26</v>
      </c>
    </row>
    <row r="563" spans="1:16" x14ac:dyDescent="0.3">
      <c r="A563" s="4">
        <f>Raw_Production!A563</f>
        <v>46120</v>
      </c>
      <c r="B563" s="3" t="str">
        <f>Raw_Production!C563</f>
        <v>Sewing</v>
      </c>
      <c r="C563" s="3" t="str">
        <f>Raw_Production!D563</f>
        <v>T03</v>
      </c>
      <c r="D563" s="3" t="str">
        <f>Raw_Production!P563</f>
        <v>ST-108</v>
      </c>
      <c r="E563" s="3" t="str">
        <f>Raw_Production!O563</f>
        <v>Hoodie</v>
      </c>
      <c r="F563" s="6">
        <f>Raw_Production!G563</f>
        <v>0.84</v>
      </c>
      <c r="G563" s="6">
        <f>Raw_Production!N563</f>
        <v>0.81</v>
      </c>
      <c r="H563" s="6">
        <f t="shared" si="8"/>
        <v>-2.9999999999999916E-2</v>
      </c>
      <c r="I563" s="3">
        <f>Raw_Production!I563</f>
        <v>408</v>
      </c>
      <c r="J563" s="3">
        <f>Raw_Production!J563</f>
        <v>97</v>
      </c>
      <c r="K563" s="3">
        <f>Raw_Production!L563</f>
        <v>27</v>
      </c>
      <c r="L563" s="3">
        <f>Raw_Production!M563</f>
        <v>5</v>
      </c>
      <c r="M563" s="3">
        <f>Raw_Production!F563</f>
        <v>0</v>
      </c>
      <c r="N563" s="3">
        <f>Raw_Production!K563</f>
        <v>3732</v>
      </c>
      <c r="O563" s="3">
        <f>Raw_Production!H563</f>
        <v>13.5</v>
      </c>
      <c r="P563" s="3">
        <f>Raw_Production!E563</f>
        <v>27</v>
      </c>
    </row>
    <row r="564" spans="1:16" x14ac:dyDescent="0.3">
      <c r="A564" s="4">
        <f>Raw_Production!A564</f>
        <v>46120</v>
      </c>
      <c r="B564" s="3" t="str">
        <f>Raw_Production!C564</f>
        <v>Finishing</v>
      </c>
      <c r="C564" s="3" t="str">
        <f>Raw_Production!D564</f>
        <v>T04</v>
      </c>
      <c r="D564" s="3" t="str">
        <f>Raw_Production!P564</f>
        <v>ST-104</v>
      </c>
      <c r="E564" s="3" t="str">
        <f>Raw_Production!O564</f>
        <v>Shirt</v>
      </c>
      <c r="F564" s="6">
        <f>Raw_Production!G564</f>
        <v>0.79</v>
      </c>
      <c r="G564" s="6">
        <f>Raw_Production!N564</f>
        <v>0.74</v>
      </c>
      <c r="H564" s="6">
        <f t="shared" si="8"/>
        <v>-5.0000000000000044E-2</v>
      </c>
      <c r="I564" s="3">
        <f>Raw_Production!I564</f>
        <v>274</v>
      </c>
      <c r="J564" s="3">
        <f>Raw_Production!J564</f>
        <v>34</v>
      </c>
      <c r="K564" s="3">
        <f>Raw_Production!L564</f>
        <v>8</v>
      </c>
      <c r="L564" s="3">
        <f>Raw_Production!M564</f>
        <v>3</v>
      </c>
      <c r="M564" s="3">
        <f>Raw_Production!F564</f>
        <v>0</v>
      </c>
      <c r="N564" s="3">
        <f>Raw_Production!K564</f>
        <v>1966</v>
      </c>
      <c r="O564" s="3">
        <f>Raw_Production!H564</f>
        <v>10.9</v>
      </c>
      <c r="P564" s="3">
        <f>Raw_Production!E564</f>
        <v>35</v>
      </c>
    </row>
    <row r="565" spans="1:16" x14ac:dyDescent="0.3">
      <c r="A565" s="4">
        <f>Raw_Production!A565</f>
        <v>46120</v>
      </c>
      <c r="B565" s="3" t="str">
        <f>Raw_Production!C565</f>
        <v>Finishing</v>
      </c>
      <c r="C565" s="3" t="str">
        <f>Raw_Production!D565</f>
        <v>T05</v>
      </c>
      <c r="D565" s="3" t="str">
        <f>Raw_Production!P565</f>
        <v>ST-103</v>
      </c>
      <c r="E565" s="3" t="str">
        <f>Raw_Production!O565</f>
        <v>Hoodie</v>
      </c>
      <c r="F565" s="6">
        <f>Raw_Production!G565</f>
        <v>0.78</v>
      </c>
      <c r="G565" s="6">
        <f>Raw_Production!N565</f>
        <v>0.79</v>
      </c>
      <c r="H565" s="6">
        <f t="shared" si="8"/>
        <v>1.0000000000000009E-2</v>
      </c>
      <c r="I565" s="3">
        <f>Raw_Production!I565</f>
        <v>391</v>
      </c>
      <c r="J565" s="3">
        <f>Raw_Production!J565</f>
        <v>32</v>
      </c>
      <c r="K565" s="3">
        <f>Raw_Production!L565</f>
        <v>78</v>
      </c>
      <c r="L565" s="3">
        <f>Raw_Production!M565</f>
        <v>5</v>
      </c>
      <c r="M565" s="3">
        <f>Raw_Production!F565</f>
        <v>1</v>
      </c>
      <c r="N565" s="3">
        <f>Raw_Production!K565</f>
        <v>1426</v>
      </c>
      <c r="O565" s="3">
        <f>Raw_Production!H565</f>
        <v>16</v>
      </c>
      <c r="P565" s="3">
        <f>Raw_Production!E565</f>
        <v>33</v>
      </c>
    </row>
    <row r="566" spans="1:16" x14ac:dyDescent="0.3">
      <c r="A566" s="4">
        <f>Raw_Production!A566</f>
        <v>46121</v>
      </c>
      <c r="B566" s="3" t="str">
        <f>Raw_Production!C566</f>
        <v>Cutting</v>
      </c>
      <c r="C566" s="3" t="str">
        <f>Raw_Production!D566</f>
        <v>T01</v>
      </c>
      <c r="D566" s="3" t="str">
        <f>Raw_Production!P566</f>
        <v>ST-106</v>
      </c>
      <c r="E566" s="3" t="str">
        <f>Raw_Production!O566</f>
        <v>T-Shirt</v>
      </c>
      <c r="F566" s="6">
        <f>Raw_Production!G566</f>
        <v>0.87</v>
      </c>
      <c r="G566" s="6">
        <f>Raw_Production!N566</f>
        <v>0.76</v>
      </c>
      <c r="H566" s="6">
        <f t="shared" si="8"/>
        <v>-0.10999999999999999</v>
      </c>
      <c r="I566" s="3">
        <f>Raw_Production!I566</f>
        <v>225</v>
      </c>
      <c r="J566" s="3">
        <f>Raw_Production!J566</f>
        <v>9</v>
      </c>
      <c r="K566" s="3">
        <f>Raw_Production!L566</f>
        <v>94</v>
      </c>
      <c r="L566" s="3">
        <f>Raw_Production!M566</f>
        <v>7</v>
      </c>
      <c r="M566" s="3">
        <f>Raw_Production!F566</f>
        <v>2</v>
      </c>
      <c r="N566" s="3">
        <f>Raw_Production!K566</f>
        <v>3699</v>
      </c>
      <c r="O566" s="3">
        <f>Raw_Production!H566</f>
        <v>8.5</v>
      </c>
      <c r="P566" s="3">
        <f>Raw_Production!E566</f>
        <v>33</v>
      </c>
    </row>
    <row r="567" spans="1:16" x14ac:dyDescent="0.3">
      <c r="A567" s="4">
        <f>Raw_Production!A567</f>
        <v>46121</v>
      </c>
      <c r="B567" s="3" t="str">
        <f>Raw_Production!C567</f>
        <v>Cutting</v>
      </c>
      <c r="C567" s="3" t="str">
        <f>Raw_Production!D567</f>
        <v>T06</v>
      </c>
      <c r="D567" s="3" t="str">
        <f>Raw_Production!P567</f>
        <v>ST-107</v>
      </c>
      <c r="E567" s="3" t="str">
        <f>Raw_Production!O567</f>
        <v>Polo</v>
      </c>
      <c r="F567" s="6">
        <f>Raw_Production!G567</f>
        <v>0.89</v>
      </c>
      <c r="G567" s="6">
        <f>Raw_Production!N567</f>
        <v>0.96</v>
      </c>
      <c r="H567" s="6">
        <f t="shared" si="8"/>
        <v>6.9999999999999951E-2</v>
      </c>
      <c r="I567" s="3">
        <f>Raw_Production!I567</f>
        <v>294</v>
      </c>
      <c r="J567" s="3">
        <f>Raw_Production!J567</f>
        <v>90</v>
      </c>
      <c r="K567" s="3">
        <f>Raw_Production!L567</f>
        <v>10</v>
      </c>
      <c r="L567" s="3">
        <f>Raw_Production!M567</f>
        <v>5</v>
      </c>
      <c r="M567" s="3">
        <f>Raw_Production!F567</f>
        <v>0</v>
      </c>
      <c r="N567" s="3">
        <f>Raw_Production!K567</f>
        <v>3614</v>
      </c>
      <c r="O567" s="3">
        <f>Raw_Production!H567</f>
        <v>8.5</v>
      </c>
      <c r="P567" s="3">
        <f>Raw_Production!E567</f>
        <v>30</v>
      </c>
    </row>
    <row r="568" spans="1:16" x14ac:dyDescent="0.3">
      <c r="A568" s="4">
        <f>Raw_Production!A568</f>
        <v>46121</v>
      </c>
      <c r="B568" s="3" t="str">
        <f>Raw_Production!C568</f>
        <v>Sewing</v>
      </c>
      <c r="C568" s="3" t="str">
        <f>Raw_Production!D568</f>
        <v>T02</v>
      </c>
      <c r="D568" s="3" t="str">
        <f>Raw_Production!P568</f>
        <v>ST-105</v>
      </c>
      <c r="E568" s="3" t="str">
        <f>Raw_Production!O568</f>
        <v>Jacket</v>
      </c>
      <c r="F568" s="6">
        <f>Raw_Production!G568</f>
        <v>0.85</v>
      </c>
      <c r="G568" s="6">
        <f>Raw_Production!N568</f>
        <v>0.84</v>
      </c>
      <c r="H568" s="6">
        <f t="shared" si="8"/>
        <v>-1.0000000000000009E-2</v>
      </c>
      <c r="I568" s="3">
        <f>Raw_Production!I568</f>
        <v>296</v>
      </c>
      <c r="J568" s="3">
        <f>Raw_Production!J568</f>
        <v>42</v>
      </c>
      <c r="K568" s="3">
        <f>Raw_Production!L568</f>
        <v>88</v>
      </c>
      <c r="L568" s="3">
        <f>Raw_Production!M568</f>
        <v>0</v>
      </c>
      <c r="M568" s="3">
        <f>Raw_Production!F568</f>
        <v>0</v>
      </c>
      <c r="N568" s="3">
        <f>Raw_Production!K568</f>
        <v>870</v>
      </c>
      <c r="O568" s="3">
        <f>Raw_Production!H568</f>
        <v>18</v>
      </c>
      <c r="P568" s="3">
        <f>Raw_Production!E568</f>
        <v>28</v>
      </c>
    </row>
    <row r="569" spans="1:16" x14ac:dyDescent="0.3">
      <c r="A569" s="4">
        <f>Raw_Production!A569</f>
        <v>46121</v>
      </c>
      <c r="B569" s="3" t="str">
        <f>Raw_Production!C569</f>
        <v>Sewing</v>
      </c>
      <c r="C569" s="3" t="str">
        <f>Raw_Production!D569</f>
        <v>T03</v>
      </c>
      <c r="D569" s="3" t="str">
        <f>Raw_Production!P569</f>
        <v>ST-107</v>
      </c>
      <c r="E569" s="3" t="str">
        <f>Raw_Production!O569</f>
        <v>Polo</v>
      </c>
      <c r="F569" s="6">
        <f>Raw_Production!G569</f>
        <v>0.77</v>
      </c>
      <c r="G569" s="6">
        <f>Raw_Production!N569</f>
        <v>0.62</v>
      </c>
      <c r="H569" s="6">
        <f t="shared" si="8"/>
        <v>-0.15000000000000002</v>
      </c>
      <c r="I569" s="3">
        <f>Raw_Production!I569</f>
        <v>270</v>
      </c>
      <c r="J569" s="3">
        <f>Raw_Production!J569</f>
        <v>38</v>
      </c>
      <c r="K569" s="3">
        <f>Raw_Production!L569</f>
        <v>47</v>
      </c>
      <c r="L569" s="3">
        <f>Raw_Production!M569</f>
        <v>5</v>
      </c>
      <c r="M569" s="3">
        <f>Raw_Production!F569</f>
        <v>2</v>
      </c>
      <c r="N569" s="3">
        <f>Raw_Production!K569</f>
        <v>3846</v>
      </c>
      <c r="O569" s="3">
        <f>Raw_Production!H569</f>
        <v>7.9</v>
      </c>
      <c r="P569" s="3">
        <f>Raw_Production!E569</f>
        <v>23</v>
      </c>
    </row>
    <row r="570" spans="1:16" x14ac:dyDescent="0.3">
      <c r="A570" s="4">
        <f>Raw_Production!A570</f>
        <v>46121</v>
      </c>
      <c r="B570" s="3" t="str">
        <f>Raw_Production!C570</f>
        <v>Finishing</v>
      </c>
      <c r="C570" s="3" t="str">
        <f>Raw_Production!D570</f>
        <v>T04</v>
      </c>
      <c r="D570" s="3" t="str">
        <f>Raw_Production!P570</f>
        <v>ST-109</v>
      </c>
      <c r="E570" s="3" t="str">
        <f>Raw_Production!O570</f>
        <v>Shirt</v>
      </c>
      <c r="F570" s="6">
        <f>Raw_Production!G570</f>
        <v>0.8</v>
      </c>
      <c r="G570" s="6">
        <f>Raw_Production!N570</f>
        <v>0.8</v>
      </c>
      <c r="H570" s="6">
        <f t="shared" si="8"/>
        <v>0</v>
      </c>
      <c r="I570" s="3">
        <f>Raw_Production!I570</f>
        <v>302</v>
      </c>
      <c r="J570" s="3">
        <f>Raw_Production!J570</f>
        <v>54</v>
      </c>
      <c r="K570" s="3">
        <f>Raw_Production!L570</f>
        <v>118</v>
      </c>
      <c r="L570" s="3">
        <f>Raw_Production!M570</f>
        <v>3</v>
      </c>
      <c r="M570" s="3">
        <f>Raw_Production!F570</f>
        <v>0</v>
      </c>
      <c r="N570" s="3">
        <f>Raw_Production!K570</f>
        <v>4373</v>
      </c>
      <c r="O570" s="3">
        <f>Raw_Production!H570</f>
        <v>18.100000000000001</v>
      </c>
      <c r="P570" s="3">
        <f>Raw_Production!E570</f>
        <v>32</v>
      </c>
    </row>
    <row r="571" spans="1:16" x14ac:dyDescent="0.3">
      <c r="A571" s="4">
        <f>Raw_Production!A571</f>
        <v>46121</v>
      </c>
      <c r="B571" s="3" t="str">
        <f>Raw_Production!C571</f>
        <v>Finishing</v>
      </c>
      <c r="C571" s="3" t="str">
        <f>Raw_Production!D571</f>
        <v>T05</v>
      </c>
      <c r="D571" s="3" t="str">
        <f>Raw_Production!P571</f>
        <v>ST-107</v>
      </c>
      <c r="E571" s="3" t="str">
        <f>Raw_Production!O571</f>
        <v>Polo</v>
      </c>
      <c r="F571" s="6">
        <f>Raw_Production!G571</f>
        <v>0.79</v>
      </c>
      <c r="G571" s="6">
        <f>Raw_Production!N571</f>
        <v>0.81</v>
      </c>
      <c r="H571" s="6">
        <f t="shared" si="8"/>
        <v>2.0000000000000018E-2</v>
      </c>
      <c r="I571" s="3">
        <f>Raw_Production!I571</f>
        <v>325</v>
      </c>
      <c r="J571" s="3">
        <f>Raw_Production!J571</f>
        <v>23</v>
      </c>
      <c r="K571" s="3">
        <f>Raw_Production!L571</f>
        <v>63</v>
      </c>
      <c r="L571" s="3">
        <f>Raw_Production!M571</f>
        <v>2</v>
      </c>
      <c r="M571" s="3">
        <f>Raw_Production!F571</f>
        <v>0</v>
      </c>
      <c r="N571" s="3">
        <f>Raw_Production!K571</f>
        <v>1407</v>
      </c>
      <c r="O571" s="3">
        <f>Raw_Production!H571</f>
        <v>14.5</v>
      </c>
      <c r="P571" s="3">
        <f>Raw_Production!E571</f>
        <v>23</v>
      </c>
    </row>
    <row r="572" spans="1:16" x14ac:dyDescent="0.3">
      <c r="A572" s="4">
        <f>Raw_Production!A572</f>
        <v>46122</v>
      </c>
      <c r="B572" s="3" t="str">
        <f>Raw_Production!C572</f>
        <v>Cutting</v>
      </c>
      <c r="C572" s="3" t="str">
        <f>Raw_Production!D572</f>
        <v>T01</v>
      </c>
      <c r="D572" s="3" t="str">
        <f>Raw_Production!P572</f>
        <v>ST-102</v>
      </c>
      <c r="E572" s="3" t="str">
        <f>Raw_Production!O572</f>
        <v>Polo</v>
      </c>
      <c r="F572" s="6">
        <f>Raw_Production!G572</f>
        <v>0.88</v>
      </c>
      <c r="G572" s="6">
        <f>Raw_Production!N572</f>
        <v>0.94</v>
      </c>
      <c r="H572" s="6">
        <f t="shared" si="8"/>
        <v>5.9999999999999942E-2</v>
      </c>
      <c r="I572" s="3">
        <f>Raw_Production!I572</f>
        <v>395</v>
      </c>
      <c r="J572" s="3">
        <f>Raw_Production!J572</f>
        <v>72</v>
      </c>
      <c r="K572" s="3">
        <f>Raw_Production!L572</f>
        <v>18</v>
      </c>
      <c r="L572" s="3">
        <f>Raw_Production!M572</f>
        <v>5</v>
      </c>
      <c r="M572" s="3">
        <f>Raw_Production!F572</f>
        <v>0</v>
      </c>
      <c r="N572" s="3">
        <f>Raw_Production!K572</f>
        <v>2165</v>
      </c>
      <c r="O572" s="3">
        <f>Raw_Production!H572</f>
        <v>16.899999999999999</v>
      </c>
      <c r="P572" s="3">
        <f>Raw_Production!E572</f>
        <v>30</v>
      </c>
    </row>
    <row r="573" spans="1:16" x14ac:dyDescent="0.3">
      <c r="A573" s="4">
        <f>Raw_Production!A573</f>
        <v>46122</v>
      </c>
      <c r="B573" s="3" t="str">
        <f>Raw_Production!C573</f>
        <v>Cutting</v>
      </c>
      <c r="C573" s="3" t="str">
        <f>Raw_Production!D573</f>
        <v>T06</v>
      </c>
      <c r="D573" s="3" t="str">
        <f>Raw_Production!P573</f>
        <v>ST-107</v>
      </c>
      <c r="E573" s="3" t="str">
        <f>Raw_Production!O573</f>
        <v>Polo</v>
      </c>
      <c r="F573" s="6">
        <f>Raw_Production!G573</f>
        <v>0.8</v>
      </c>
      <c r="G573" s="6">
        <f>Raw_Production!N573</f>
        <v>0.68</v>
      </c>
      <c r="H573" s="6">
        <f t="shared" si="8"/>
        <v>-0.12</v>
      </c>
      <c r="I573" s="3">
        <f>Raw_Production!I573</f>
        <v>389</v>
      </c>
      <c r="J573" s="3">
        <f>Raw_Production!J573</f>
        <v>128</v>
      </c>
      <c r="K573" s="3">
        <f>Raw_Production!L573</f>
        <v>30</v>
      </c>
      <c r="L573" s="3">
        <f>Raw_Production!M573</f>
        <v>6</v>
      </c>
      <c r="M573" s="3">
        <f>Raw_Production!F573</f>
        <v>2</v>
      </c>
      <c r="N573" s="3">
        <f>Raw_Production!K573</f>
        <v>1492</v>
      </c>
      <c r="O573" s="3">
        <f>Raw_Production!H573</f>
        <v>17.7</v>
      </c>
      <c r="P573" s="3">
        <f>Raw_Production!E573</f>
        <v>32</v>
      </c>
    </row>
    <row r="574" spans="1:16" x14ac:dyDescent="0.3">
      <c r="A574" s="4">
        <f>Raw_Production!A574</f>
        <v>46122</v>
      </c>
      <c r="B574" s="3" t="str">
        <f>Raw_Production!C574</f>
        <v>Sewing</v>
      </c>
      <c r="C574" s="3" t="str">
        <f>Raw_Production!D574</f>
        <v>T02</v>
      </c>
      <c r="D574" s="3" t="str">
        <f>Raw_Production!P574</f>
        <v>ST-106</v>
      </c>
      <c r="E574" s="3" t="str">
        <f>Raw_Production!O574</f>
        <v>T-Shirt</v>
      </c>
      <c r="F574" s="6">
        <f>Raw_Production!G574</f>
        <v>0.85</v>
      </c>
      <c r="G574" s="6">
        <f>Raw_Production!N574</f>
        <v>0.74</v>
      </c>
      <c r="H574" s="6">
        <f t="shared" si="8"/>
        <v>-0.10999999999999999</v>
      </c>
      <c r="I574" s="3">
        <f>Raw_Production!I574</f>
        <v>269</v>
      </c>
      <c r="J574" s="3">
        <f>Raw_Production!J574</f>
        <v>17</v>
      </c>
      <c r="K574" s="3">
        <f>Raw_Production!L574</f>
        <v>110</v>
      </c>
      <c r="L574" s="3">
        <f>Raw_Production!M574</f>
        <v>2</v>
      </c>
      <c r="M574" s="3">
        <f>Raw_Production!F574</f>
        <v>2</v>
      </c>
      <c r="N574" s="3">
        <f>Raw_Production!K574</f>
        <v>1887</v>
      </c>
      <c r="O574" s="3">
        <f>Raw_Production!H574</f>
        <v>7.5</v>
      </c>
      <c r="P574" s="3">
        <f>Raw_Production!E574</f>
        <v>32</v>
      </c>
    </row>
    <row r="575" spans="1:16" x14ac:dyDescent="0.3">
      <c r="A575" s="4">
        <f>Raw_Production!A575</f>
        <v>46122</v>
      </c>
      <c r="B575" s="3" t="str">
        <f>Raw_Production!C575</f>
        <v>Sewing</v>
      </c>
      <c r="C575" s="3" t="str">
        <f>Raw_Production!D575</f>
        <v>T03</v>
      </c>
      <c r="D575" s="3" t="str">
        <f>Raw_Production!P575</f>
        <v>ST-101</v>
      </c>
      <c r="E575" s="3" t="str">
        <f>Raw_Production!O575</f>
        <v>T-Shirt</v>
      </c>
      <c r="F575" s="6">
        <f>Raw_Production!G575</f>
        <v>0.86</v>
      </c>
      <c r="G575" s="6">
        <f>Raw_Production!N575</f>
        <v>0.89</v>
      </c>
      <c r="H575" s="6">
        <f t="shared" si="8"/>
        <v>3.0000000000000027E-2</v>
      </c>
      <c r="I575" s="3">
        <f>Raw_Production!I575</f>
        <v>41</v>
      </c>
      <c r="J575" s="3">
        <f>Raw_Production!J575</f>
        <v>73</v>
      </c>
      <c r="K575" s="3">
        <f>Raw_Production!L575</f>
        <v>38</v>
      </c>
      <c r="L575" s="3">
        <f>Raw_Production!M575</f>
        <v>2</v>
      </c>
      <c r="M575" s="3">
        <f>Raw_Production!F575</f>
        <v>2</v>
      </c>
      <c r="N575" s="3">
        <f>Raw_Production!K575</f>
        <v>2683</v>
      </c>
      <c r="O575" s="3">
        <f>Raw_Production!H575</f>
        <v>18.3</v>
      </c>
      <c r="P575" s="3">
        <f>Raw_Production!E575</f>
        <v>34</v>
      </c>
    </row>
    <row r="576" spans="1:16" x14ac:dyDescent="0.3">
      <c r="A576" s="4">
        <f>Raw_Production!A576</f>
        <v>46122</v>
      </c>
      <c r="B576" s="3" t="str">
        <f>Raw_Production!C576</f>
        <v>Finishing</v>
      </c>
      <c r="C576" s="3" t="str">
        <f>Raw_Production!D576</f>
        <v>T04</v>
      </c>
      <c r="D576" s="3" t="str">
        <f>Raw_Production!P576</f>
        <v>ST-101</v>
      </c>
      <c r="E576" s="3" t="str">
        <f>Raw_Production!O576</f>
        <v>T-Shirt</v>
      </c>
      <c r="F576" s="6">
        <f>Raw_Production!G576</f>
        <v>0.88</v>
      </c>
      <c r="G576" s="6">
        <f>Raw_Production!N576</f>
        <v>0.84</v>
      </c>
      <c r="H576" s="6">
        <f t="shared" si="8"/>
        <v>-4.0000000000000036E-2</v>
      </c>
      <c r="I576" s="3">
        <f>Raw_Production!I576</f>
        <v>248</v>
      </c>
      <c r="J576" s="3">
        <f>Raw_Production!J576</f>
        <v>46</v>
      </c>
      <c r="K576" s="3">
        <f>Raw_Production!L576</f>
        <v>58</v>
      </c>
      <c r="L576" s="3">
        <f>Raw_Production!M576</f>
        <v>5</v>
      </c>
      <c r="M576" s="3">
        <f>Raw_Production!F576</f>
        <v>3</v>
      </c>
      <c r="N576" s="3">
        <f>Raw_Production!K576</f>
        <v>779</v>
      </c>
      <c r="O576" s="3">
        <f>Raw_Production!H576</f>
        <v>8.6</v>
      </c>
      <c r="P576" s="3">
        <f>Raw_Production!E576</f>
        <v>38</v>
      </c>
    </row>
    <row r="577" spans="1:16" x14ac:dyDescent="0.3">
      <c r="A577" s="4">
        <f>Raw_Production!A577</f>
        <v>46122</v>
      </c>
      <c r="B577" s="3" t="str">
        <f>Raw_Production!C577</f>
        <v>Finishing</v>
      </c>
      <c r="C577" s="3" t="str">
        <f>Raw_Production!D577</f>
        <v>T05</v>
      </c>
      <c r="D577" s="3" t="str">
        <f>Raw_Production!P577</f>
        <v>ST-103</v>
      </c>
      <c r="E577" s="3" t="str">
        <f>Raw_Production!O577</f>
        <v>Hoodie</v>
      </c>
      <c r="F577" s="6">
        <f>Raw_Production!G577</f>
        <v>0.77</v>
      </c>
      <c r="G577" s="6">
        <f>Raw_Production!N577</f>
        <v>0.68</v>
      </c>
      <c r="H577" s="6">
        <f t="shared" si="8"/>
        <v>-8.9999999999999969E-2</v>
      </c>
      <c r="I577" s="3">
        <f>Raw_Production!I577</f>
        <v>435</v>
      </c>
      <c r="J577" s="3">
        <f>Raw_Production!J577</f>
        <v>135</v>
      </c>
      <c r="K577" s="3">
        <f>Raw_Production!L577</f>
        <v>36</v>
      </c>
      <c r="L577" s="3">
        <f>Raw_Production!M577</f>
        <v>6</v>
      </c>
      <c r="M577" s="3">
        <f>Raw_Production!F577</f>
        <v>1</v>
      </c>
      <c r="N577" s="3">
        <f>Raw_Production!K577</f>
        <v>587</v>
      </c>
      <c r="O577" s="3">
        <f>Raw_Production!H577</f>
        <v>12.1</v>
      </c>
      <c r="P577" s="3">
        <f>Raw_Production!E577</f>
        <v>30</v>
      </c>
    </row>
    <row r="578" spans="1:16" x14ac:dyDescent="0.3">
      <c r="A578" s="4">
        <f>Raw_Production!A578</f>
        <v>46123</v>
      </c>
      <c r="B578" s="3" t="str">
        <f>Raw_Production!C578</f>
        <v>Cutting</v>
      </c>
      <c r="C578" s="3" t="str">
        <f>Raw_Production!D578</f>
        <v>T01</v>
      </c>
      <c r="D578" s="3" t="str">
        <f>Raw_Production!P578</f>
        <v>ST-102</v>
      </c>
      <c r="E578" s="3" t="str">
        <f>Raw_Production!O578</f>
        <v>Polo</v>
      </c>
      <c r="F578" s="6">
        <f>Raw_Production!G578</f>
        <v>0.76</v>
      </c>
      <c r="G578" s="6">
        <f>Raw_Production!N578</f>
        <v>0.82</v>
      </c>
      <c r="H578" s="6">
        <f t="shared" ref="H578:H641" si="9">G578-F578</f>
        <v>5.9999999999999942E-2</v>
      </c>
      <c r="I578" s="3">
        <f>Raw_Production!I578</f>
        <v>338</v>
      </c>
      <c r="J578" s="3">
        <f>Raw_Production!J578</f>
        <v>114</v>
      </c>
      <c r="K578" s="3">
        <f>Raw_Production!L578</f>
        <v>93</v>
      </c>
      <c r="L578" s="3">
        <f>Raw_Production!M578</f>
        <v>2</v>
      </c>
      <c r="M578" s="3">
        <f>Raw_Production!F578</f>
        <v>0</v>
      </c>
      <c r="N578" s="3">
        <f>Raw_Production!K578</f>
        <v>3828</v>
      </c>
      <c r="O578" s="3">
        <f>Raw_Production!H578</f>
        <v>11.2</v>
      </c>
      <c r="P578" s="3">
        <f>Raw_Production!E578</f>
        <v>25</v>
      </c>
    </row>
    <row r="579" spans="1:16" x14ac:dyDescent="0.3">
      <c r="A579" s="4">
        <f>Raw_Production!A579</f>
        <v>46123</v>
      </c>
      <c r="B579" s="3" t="str">
        <f>Raw_Production!C579</f>
        <v>Cutting</v>
      </c>
      <c r="C579" s="3" t="str">
        <f>Raw_Production!D579</f>
        <v>T06</v>
      </c>
      <c r="D579" s="3" t="str">
        <f>Raw_Production!P579</f>
        <v>ST-102</v>
      </c>
      <c r="E579" s="3" t="str">
        <f>Raw_Production!O579</f>
        <v>Polo</v>
      </c>
      <c r="F579" s="6">
        <f>Raw_Production!G579</f>
        <v>0.87</v>
      </c>
      <c r="G579" s="6">
        <f>Raw_Production!N579</f>
        <v>0.89</v>
      </c>
      <c r="H579" s="6">
        <f t="shared" si="9"/>
        <v>2.0000000000000018E-2</v>
      </c>
      <c r="I579" s="3">
        <f>Raw_Production!I579</f>
        <v>320</v>
      </c>
      <c r="J579" s="3">
        <f>Raw_Production!J579</f>
        <v>37</v>
      </c>
      <c r="K579" s="3">
        <f>Raw_Production!L579</f>
        <v>25</v>
      </c>
      <c r="L579" s="3">
        <f>Raw_Production!M579</f>
        <v>0</v>
      </c>
      <c r="M579" s="3">
        <f>Raw_Production!F579</f>
        <v>1</v>
      </c>
      <c r="N579" s="3">
        <f>Raw_Production!K579</f>
        <v>3033</v>
      </c>
      <c r="O579" s="3">
        <f>Raw_Production!H579</f>
        <v>15.7</v>
      </c>
      <c r="P579" s="3">
        <f>Raw_Production!E579</f>
        <v>38</v>
      </c>
    </row>
    <row r="580" spans="1:16" x14ac:dyDescent="0.3">
      <c r="A580" s="4">
        <f>Raw_Production!A580</f>
        <v>46123</v>
      </c>
      <c r="B580" s="3" t="str">
        <f>Raw_Production!C580</f>
        <v>Sewing</v>
      </c>
      <c r="C580" s="3" t="str">
        <f>Raw_Production!D580</f>
        <v>T02</v>
      </c>
      <c r="D580" s="3" t="str">
        <f>Raw_Production!P580</f>
        <v>ST-105</v>
      </c>
      <c r="E580" s="3" t="str">
        <f>Raw_Production!O580</f>
        <v>Jacket</v>
      </c>
      <c r="F580" s="6">
        <f>Raw_Production!G580</f>
        <v>0.73</v>
      </c>
      <c r="G580" s="6">
        <f>Raw_Production!N580</f>
        <v>0.64</v>
      </c>
      <c r="H580" s="6">
        <f t="shared" si="9"/>
        <v>-8.9999999999999969E-2</v>
      </c>
      <c r="I580" s="3">
        <f>Raw_Production!I580</f>
        <v>241</v>
      </c>
      <c r="J580" s="3">
        <f>Raw_Production!J580</f>
        <v>61</v>
      </c>
      <c r="K580" s="3">
        <f>Raw_Production!L580</f>
        <v>4</v>
      </c>
      <c r="L580" s="3">
        <f>Raw_Production!M580</f>
        <v>1</v>
      </c>
      <c r="M580" s="3">
        <f>Raw_Production!F580</f>
        <v>1</v>
      </c>
      <c r="N580" s="3">
        <f>Raw_Production!K580</f>
        <v>3013</v>
      </c>
      <c r="O580" s="3">
        <f>Raw_Production!H580</f>
        <v>17</v>
      </c>
      <c r="P580" s="3">
        <f>Raw_Production!E580</f>
        <v>24</v>
      </c>
    </row>
    <row r="581" spans="1:16" x14ac:dyDescent="0.3">
      <c r="A581" s="4">
        <f>Raw_Production!A581</f>
        <v>46123</v>
      </c>
      <c r="B581" s="3" t="str">
        <f>Raw_Production!C581</f>
        <v>Sewing</v>
      </c>
      <c r="C581" s="3" t="str">
        <f>Raw_Production!D581</f>
        <v>T03</v>
      </c>
      <c r="D581" s="3" t="str">
        <f>Raw_Production!P581</f>
        <v>ST-108</v>
      </c>
      <c r="E581" s="3" t="str">
        <f>Raw_Production!O581</f>
        <v>Hoodie</v>
      </c>
      <c r="F581" s="6">
        <f>Raw_Production!G581</f>
        <v>0.78</v>
      </c>
      <c r="G581" s="6">
        <f>Raw_Production!N581</f>
        <v>0.86</v>
      </c>
      <c r="H581" s="6">
        <f t="shared" si="9"/>
        <v>7.999999999999996E-2</v>
      </c>
      <c r="I581" s="3">
        <f>Raw_Production!I581</f>
        <v>100</v>
      </c>
      <c r="J581" s="3">
        <f>Raw_Production!J581</f>
        <v>18</v>
      </c>
      <c r="K581" s="3">
        <f>Raw_Production!L581</f>
        <v>39</v>
      </c>
      <c r="L581" s="3">
        <f>Raw_Production!M581</f>
        <v>6</v>
      </c>
      <c r="M581" s="3">
        <f>Raw_Production!F581</f>
        <v>0</v>
      </c>
      <c r="N581" s="3">
        <f>Raw_Production!K581</f>
        <v>2260</v>
      </c>
      <c r="O581" s="3">
        <f>Raw_Production!H581</f>
        <v>18</v>
      </c>
      <c r="P581" s="3">
        <f>Raw_Production!E581</f>
        <v>35</v>
      </c>
    </row>
    <row r="582" spans="1:16" x14ac:dyDescent="0.3">
      <c r="A582" s="4">
        <f>Raw_Production!A582</f>
        <v>46123</v>
      </c>
      <c r="B582" s="3" t="str">
        <f>Raw_Production!C582</f>
        <v>Finishing</v>
      </c>
      <c r="C582" s="3" t="str">
        <f>Raw_Production!D582</f>
        <v>T04</v>
      </c>
      <c r="D582" s="3" t="str">
        <f>Raw_Production!P582</f>
        <v>ST-106</v>
      </c>
      <c r="E582" s="3" t="str">
        <f>Raw_Production!O582</f>
        <v>T-Shirt</v>
      </c>
      <c r="F582" s="6">
        <f>Raw_Production!G582</f>
        <v>0.73</v>
      </c>
      <c r="G582" s="6">
        <f>Raw_Production!N582</f>
        <v>0.68</v>
      </c>
      <c r="H582" s="6">
        <f t="shared" si="9"/>
        <v>-4.9999999999999933E-2</v>
      </c>
      <c r="I582" s="3">
        <f>Raw_Production!I582</f>
        <v>342</v>
      </c>
      <c r="J582" s="3">
        <f>Raw_Production!J582</f>
        <v>89</v>
      </c>
      <c r="K582" s="3">
        <f>Raw_Production!L582</f>
        <v>5</v>
      </c>
      <c r="L582" s="3">
        <f>Raw_Production!M582</f>
        <v>1</v>
      </c>
      <c r="M582" s="3">
        <f>Raw_Production!F582</f>
        <v>0</v>
      </c>
      <c r="N582" s="3">
        <f>Raw_Production!K582</f>
        <v>1081</v>
      </c>
      <c r="O582" s="3">
        <f>Raw_Production!H582</f>
        <v>7.5</v>
      </c>
      <c r="P582" s="3">
        <f>Raw_Production!E582</f>
        <v>35</v>
      </c>
    </row>
    <row r="583" spans="1:16" x14ac:dyDescent="0.3">
      <c r="A583" s="4">
        <f>Raw_Production!A583</f>
        <v>46123</v>
      </c>
      <c r="B583" s="3" t="str">
        <f>Raw_Production!C583</f>
        <v>Finishing</v>
      </c>
      <c r="C583" s="3" t="str">
        <f>Raw_Production!D583</f>
        <v>T05</v>
      </c>
      <c r="D583" s="3" t="str">
        <f>Raw_Production!P583</f>
        <v>ST-109</v>
      </c>
      <c r="E583" s="3" t="str">
        <f>Raw_Production!O583</f>
        <v>Shirt</v>
      </c>
      <c r="F583" s="6">
        <f>Raw_Production!G583</f>
        <v>0.83</v>
      </c>
      <c r="G583" s="6">
        <f>Raw_Production!N583</f>
        <v>0.74</v>
      </c>
      <c r="H583" s="6">
        <f t="shared" si="9"/>
        <v>-8.9999999999999969E-2</v>
      </c>
      <c r="I583" s="3">
        <f>Raw_Production!I583</f>
        <v>92</v>
      </c>
      <c r="J583" s="3">
        <f>Raw_Production!J583</f>
        <v>110</v>
      </c>
      <c r="K583" s="3">
        <f>Raw_Production!L583</f>
        <v>21</v>
      </c>
      <c r="L583" s="3">
        <f>Raw_Production!M583</f>
        <v>1</v>
      </c>
      <c r="M583" s="3">
        <f>Raw_Production!F583</f>
        <v>0</v>
      </c>
      <c r="N583" s="3">
        <f>Raw_Production!K583</f>
        <v>269</v>
      </c>
      <c r="O583" s="3">
        <f>Raw_Production!H583</f>
        <v>10.9</v>
      </c>
      <c r="P583" s="3">
        <f>Raw_Production!E583</f>
        <v>25</v>
      </c>
    </row>
    <row r="584" spans="1:16" x14ac:dyDescent="0.3">
      <c r="A584" s="4">
        <f>Raw_Production!A584</f>
        <v>46124</v>
      </c>
      <c r="B584" s="3" t="str">
        <f>Raw_Production!C584</f>
        <v>Cutting</v>
      </c>
      <c r="C584" s="3" t="str">
        <f>Raw_Production!D584</f>
        <v>T01</v>
      </c>
      <c r="D584" s="3" t="str">
        <f>Raw_Production!P584</f>
        <v>ST-101</v>
      </c>
      <c r="E584" s="3" t="str">
        <f>Raw_Production!O584</f>
        <v>T-Shirt</v>
      </c>
      <c r="F584" s="6">
        <f>Raw_Production!G584</f>
        <v>0.73</v>
      </c>
      <c r="G584" s="6">
        <f>Raw_Production!N584</f>
        <v>0.65</v>
      </c>
      <c r="H584" s="6">
        <f t="shared" si="9"/>
        <v>-7.999999999999996E-2</v>
      </c>
      <c r="I584" s="3">
        <f>Raw_Production!I584</f>
        <v>42</v>
      </c>
      <c r="J584" s="3">
        <f>Raw_Production!J584</f>
        <v>84</v>
      </c>
      <c r="K584" s="3">
        <f>Raw_Production!L584</f>
        <v>47</v>
      </c>
      <c r="L584" s="3">
        <f>Raw_Production!M584</f>
        <v>0</v>
      </c>
      <c r="M584" s="3">
        <f>Raw_Production!F584</f>
        <v>1</v>
      </c>
      <c r="N584" s="3">
        <f>Raw_Production!K584</f>
        <v>407</v>
      </c>
      <c r="O584" s="3">
        <f>Raw_Production!H584</f>
        <v>18.399999999999999</v>
      </c>
      <c r="P584" s="3">
        <f>Raw_Production!E584</f>
        <v>25</v>
      </c>
    </row>
    <row r="585" spans="1:16" x14ac:dyDescent="0.3">
      <c r="A585" s="4">
        <f>Raw_Production!A585</f>
        <v>46124</v>
      </c>
      <c r="B585" s="3" t="str">
        <f>Raw_Production!C585</f>
        <v>Cutting</v>
      </c>
      <c r="C585" s="3" t="str">
        <f>Raw_Production!D585</f>
        <v>T06</v>
      </c>
      <c r="D585" s="3" t="str">
        <f>Raw_Production!P585</f>
        <v>ST-102</v>
      </c>
      <c r="E585" s="3" t="str">
        <f>Raw_Production!O585</f>
        <v>Polo</v>
      </c>
      <c r="F585" s="6">
        <f>Raw_Production!G585</f>
        <v>0.75</v>
      </c>
      <c r="G585" s="6">
        <f>Raw_Production!N585</f>
        <v>0.64</v>
      </c>
      <c r="H585" s="6">
        <f t="shared" si="9"/>
        <v>-0.10999999999999999</v>
      </c>
      <c r="I585" s="3">
        <f>Raw_Production!I585</f>
        <v>357</v>
      </c>
      <c r="J585" s="3">
        <f>Raw_Production!J585</f>
        <v>143</v>
      </c>
      <c r="K585" s="3">
        <f>Raw_Production!L585</f>
        <v>75</v>
      </c>
      <c r="L585" s="3">
        <f>Raw_Production!M585</f>
        <v>4</v>
      </c>
      <c r="M585" s="3">
        <f>Raw_Production!F585</f>
        <v>0</v>
      </c>
      <c r="N585" s="3">
        <f>Raw_Production!K585</f>
        <v>3291</v>
      </c>
      <c r="O585" s="3">
        <f>Raw_Production!H585</f>
        <v>17</v>
      </c>
      <c r="P585" s="3">
        <f>Raw_Production!E585</f>
        <v>31</v>
      </c>
    </row>
    <row r="586" spans="1:16" x14ac:dyDescent="0.3">
      <c r="A586" s="4">
        <f>Raw_Production!A586</f>
        <v>46124</v>
      </c>
      <c r="B586" s="3" t="str">
        <f>Raw_Production!C586</f>
        <v>Sewing</v>
      </c>
      <c r="C586" s="3" t="str">
        <f>Raw_Production!D586</f>
        <v>T02</v>
      </c>
      <c r="D586" s="3" t="str">
        <f>Raw_Production!P586</f>
        <v>ST-108</v>
      </c>
      <c r="E586" s="3" t="str">
        <f>Raw_Production!O586</f>
        <v>Hoodie</v>
      </c>
      <c r="F586" s="6">
        <f>Raw_Production!G586</f>
        <v>0.73</v>
      </c>
      <c r="G586" s="6">
        <f>Raw_Production!N586</f>
        <v>0.53</v>
      </c>
      <c r="H586" s="6">
        <f t="shared" si="9"/>
        <v>-0.19999999999999996</v>
      </c>
      <c r="I586" s="3">
        <f>Raw_Production!I586</f>
        <v>156</v>
      </c>
      <c r="J586" s="3">
        <f>Raw_Production!J586</f>
        <v>102</v>
      </c>
      <c r="K586" s="3">
        <f>Raw_Production!L586</f>
        <v>43</v>
      </c>
      <c r="L586" s="3">
        <f>Raw_Production!M586</f>
        <v>5</v>
      </c>
      <c r="M586" s="3">
        <f>Raw_Production!F586</f>
        <v>3</v>
      </c>
      <c r="N586" s="3">
        <f>Raw_Production!K586</f>
        <v>329</v>
      </c>
      <c r="O586" s="3">
        <f>Raw_Production!H586</f>
        <v>13.6</v>
      </c>
      <c r="P586" s="3">
        <f>Raw_Production!E586</f>
        <v>27</v>
      </c>
    </row>
    <row r="587" spans="1:16" x14ac:dyDescent="0.3">
      <c r="A587" s="4">
        <f>Raw_Production!A587</f>
        <v>46124</v>
      </c>
      <c r="B587" s="3" t="str">
        <f>Raw_Production!C587</f>
        <v>Sewing</v>
      </c>
      <c r="C587" s="3" t="str">
        <f>Raw_Production!D587</f>
        <v>T03</v>
      </c>
      <c r="D587" s="3" t="str">
        <f>Raw_Production!P587</f>
        <v>ST-106</v>
      </c>
      <c r="E587" s="3" t="str">
        <f>Raw_Production!O587</f>
        <v>T-Shirt</v>
      </c>
      <c r="F587" s="6">
        <f>Raw_Production!G587</f>
        <v>0.82</v>
      </c>
      <c r="G587" s="6">
        <f>Raw_Production!N587</f>
        <v>0.8</v>
      </c>
      <c r="H587" s="6">
        <f t="shared" si="9"/>
        <v>-1.9999999999999907E-2</v>
      </c>
      <c r="I587" s="3">
        <f>Raw_Production!I587</f>
        <v>110</v>
      </c>
      <c r="J587" s="3">
        <f>Raw_Production!J587</f>
        <v>122</v>
      </c>
      <c r="K587" s="3">
        <f>Raw_Production!L587</f>
        <v>55</v>
      </c>
      <c r="L587" s="3">
        <f>Raw_Production!M587</f>
        <v>4</v>
      </c>
      <c r="M587" s="3">
        <f>Raw_Production!F587</f>
        <v>0</v>
      </c>
      <c r="N587" s="3">
        <f>Raw_Production!K587</f>
        <v>1520</v>
      </c>
      <c r="O587" s="3">
        <f>Raw_Production!H587</f>
        <v>17.5</v>
      </c>
      <c r="P587" s="3">
        <f>Raw_Production!E587</f>
        <v>34</v>
      </c>
    </row>
    <row r="588" spans="1:16" x14ac:dyDescent="0.3">
      <c r="A588" s="4">
        <f>Raw_Production!A588</f>
        <v>46124</v>
      </c>
      <c r="B588" s="3" t="str">
        <f>Raw_Production!C588</f>
        <v>Finishing</v>
      </c>
      <c r="C588" s="3" t="str">
        <f>Raw_Production!D588</f>
        <v>T04</v>
      </c>
      <c r="D588" s="3" t="str">
        <f>Raw_Production!P588</f>
        <v>ST-107</v>
      </c>
      <c r="E588" s="3" t="str">
        <f>Raw_Production!O588</f>
        <v>Polo</v>
      </c>
      <c r="F588" s="6">
        <f>Raw_Production!G588</f>
        <v>0.82</v>
      </c>
      <c r="G588" s="6">
        <f>Raw_Production!N588</f>
        <v>0.76</v>
      </c>
      <c r="H588" s="6">
        <f t="shared" si="9"/>
        <v>-5.9999999999999942E-2</v>
      </c>
      <c r="I588" s="3">
        <f>Raw_Production!I588</f>
        <v>222</v>
      </c>
      <c r="J588" s="3">
        <f>Raw_Production!J588</f>
        <v>32</v>
      </c>
      <c r="K588" s="3">
        <f>Raw_Production!L588</f>
        <v>18</v>
      </c>
      <c r="L588" s="3">
        <f>Raw_Production!M588</f>
        <v>3</v>
      </c>
      <c r="M588" s="3">
        <f>Raw_Production!F588</f>
        <v>2</v>
      </c>
      <c r="N588" s="3">
        <f>Raw_Production!K588</f>
        <v>4218</v>
      </c>
      <c r="O588" s="3">
        <f>Raw_Production!H588</f>
        <v>15</v>
      </c>
      <c r="P588" s="3">
        <f>Raw_Production!E588</f>
        <v>26</v>
      </c>
    </row>
    <row r="589" spans="1:16" x14ac:dyDescent="0.3">
      <c r="A589" s="4">
        <f>Raw_Production!A589</f>
        <v>46124</v>
      </c>
      <c r="B589" s="3" t="str">
        <f>Raw_Production!C589</f>
        <v>Finishing</v>
      </c>
      <c r="C589" s="3" t="str">
        <f>Raw_Production!D589</f>
        <v>T05</v>
      </c>
      <c r="D589" s="3" t="str">
        <f>Raw_Production!P589</f>
        <v>ST-106</v>
      </c>
      <c r="E589" s="3" t="str">
        <f>Raw_Production!O589</f>
        <v>T-Shirt</v>
      </c>
      <c r="F589" s="6">
        <f>Raw_Production!G589</f>
        <v>0.77</v>
      </c>
      <c r="G589" s="6">
        <f>Raw_Production!N589</f>
        <v>0.74</v>
      </c>
      <c r="H589" s="6">
        <f t="shared" si="9"/>
        <v>-3.0000000000000027E-2</v>
      </c>
      <c r="I589" s="3">
        <f>Raw_Production!I589</f>
        <v>241</v>
      </c>
      <c r="J589" s="3">
        <f>Raw_Production!J589</f>
        <v>114</v>
      </c>
      <c r="K589" s="3">
        <f>Raw_Production!L589</f>
        <v>32</v>
      </c>
      <c r="L589" s="3">
        <f>Raw_Production!M589</f>
        <v>3</v>
      </c>
      <c r="M589" s="3">
        <f>Raw_Production!F589</f>
        <v>3</v>
      </c>
      <c r="N589" s="3">
        <f>Raw_Production!K589</f>
        <v>1002</v>
      </c>
      <c r="O589" s="3">
        <f>Raw_Production!H589</f>
        <v>14.5</v>
      </c>
      <c r="P589" s="3">
        <f>Raw_Production!E589</f>
        <v>20</v>
      </c>
    </row>
    <row r="590" spans="1:16" x14ac:dyDescent="0.3">
      <c r="A590" s="4">
        <f>Raw_Production!A590</f>
        <v>46125</v>
      </c>
      <c r="B590" s="3" t="str">
        <f>Raw_Production!C590</f>
        <v>Cutting</v>
      </c>
      <c r="C590" s="3" t="str">
        <f>Raw_Production!D590</f>
        <v>T01</v>
      </c>
      <c r="D590" s="3" t="str">
        <f>Raw_Production!P590</f>
        <v>ST-102</v>
      </c>
      <c r="E590" s="3" t="str">
        <f>Raw_Production!O590</f>
        <v>Polo</v>
      </c>
      <c r="F590" s="6">
        <f>Raw_Production!G590</f>
        <v>0.83</v>
      </c>
      <c r="G590" s="6">
        <f>Raw_Production!N590</f>
        <v>0.84</v>
      </c>
      <c r="H590" s="6">
        <f t="shared" si="9"/>
        <v>1.0000000000000009E-2</v>
      </c>
      <c r="I590" s="3">
        <f>Raw_Production!I590</f>
        <v>54</v>
      </c>
      <c r="J590" s="3">
        <f>Raw_Production!J590</f>
        <v>136</v>
      </c>
      <c r="K590" s="3">
        <f>Raw_Production!L590</f>
        <v>38</v>
      </c>
      <c r="L590" s="3">
        <f>Raw_Production!M590</f>
        <v>6</v>
      </c>
      <c r="M590" s="3">
        <f>Raw_Production!F590</f>
        <v>1</v>
      </c>
      <c r="N590" s="3">
        <f>Raw_Production!K590</f>
        <v>627</v>
      </c>
      <c r="O590" s="3">
        <f>Raw_Production!H590</f>
        <v>14.7</v>
      </c>
      <c r="P590" s="3">
        <f>Raw_Production!E590</f>
        <v>32</v>
      </c>
    </row>
    <row r="591" spans="1:16" x14ac:dyDescent="0.3">
      <c r="A591" s="4">
        <f>Raw_Production!A591</f>
        <v>46125</v>
      </c>
      <c r="B591" s="3" t="str">
        <f>Raw_Production!C591</f>
        <v>Cutting</v>
      </c>
      <c r="C591" s="3" t="str">
        <f>Raw_Production!D591</f>
        <v>T06</v>
      </c>
      <c r="D591" s="3" t="str">
        <f>Raw_Production!P591</f>
        <v>ST-102</v>
      </c>
      <c r="E591" s="3" t="str">
        <f>Raw_Production!O591</f>
        <v>Polo</v>
      </c>
      <c r="F591" s="6">
        <f>Raw_Production!G591</f>
        <v>0.74</v>
      </c>
      <c r="G591" s="6">
        <f>Raw_Production!N591</f>
        <v>0.72</v>
      </c>
      <c r="H591" s="6">
        <f t="shared" si="9"/>
        <v>-2.0000000000000018E-2</v>
      </c>
      <c r="I591" s="3">
        <f>Raw_Production!I591</f>
        <v>439</v>
      </c>
      <c r="J591" s="3">
        <f>Raw_Production!J591</f>
        <v>110</v>
      </c>
      <c r="K591" s="3">
        <f>Raw_Production!L591</f>
        <v>1</v>
      </c>
      <c r="L591" s="3">
        <f>Raw_Production!M591</f>
        <v>5</v>
      </c>
      <c r="M591" s="3">
        <f>Raw_Production!F591</f>
        <v>0</v>
      </c>
      <c r="N591" s="3">
        <f>Raw_Production!K591</f>
        <v>2601</v>
      </c>
      <c r="O591" s="3">
        <f>Raw_Production!H591</f>
        <v>17</v>
      </c>
      <c r="P591" s="3">
        <f>Raw_Production!E591</f>
        <v>34</v>
      </c>
    </row>
    <row r="592" spans="1:16" x14ac:dyDescent="0.3">
      <c r="A592" s="4">
        <f>Raw_Production!A592</f>
        <v>46125</v>
      </c>
      <c r="B592" s="3" t="str">
        <f>Raw_Production!C592</f>
        <v>Sewing</v>
      </c>
      <c r="C592" s="3" t="str">
        <f>Raw_Production!D592</f>
        <v>T02</v>
      </c>
      <c r="D592" s="3" t="str">
        <f>Raw_Production!P592</f>
        <v>ST-102</v>
      </c>
      <c r="E592" s="3" t="str">
        <f>Raw_Production!O592</f>
        <v>Polo</v>
      </c>
      <c r="F592" s="6">
        <f>Raw_Production!G592</f>
        <v>0.89</v>
      </c>
      <c r="G592" s="6">
        <f>Raw_Production!N592</f>
        <v>0.94</v>
      </c>
      <c r="H592" s="6">
        <f t="shared" si="9"/>
        <v>4.9999999999999933E-2</v>
      </c>
      <c r="I592" s="3">
        <f>Raw_Production!I592</f>
        <v>440</v>
      </c>
      <c r="J592" s="3">
        <f>Raw_Production!J592</f>
        <v>47</v>
      </c>
      <c r="K592" s="3">
        <f>Raw_Production!L592</f>
        <v>104</v>
      </c>
      <c r="L592" s="3">
        <f>Raw_Production!M592</f>
        <v>5</v>
      </c>
      <c r="M592" s="3">
        <f>Raw_Production!F592</f>
        <v>0</v>
      </c>
      <c r="N592" s="3">
        <f>Raw_Production!K592</f>
        <v>867</v>
      </c>
      <c r="O592" s="3">
        <f>Raw_Production!H592</f>
        <v>9.1</v>
      </c>
      <c r="P592" s="3">
        <f>Raw_Production!E592</f>
        <v>32</v>
      </c>
    </row>
    <row r="593" spans="1:16" x14ac:dyDescent="0.3">
      <c r="A593" s="4">
        <f>Raw_Production!A593</f>
        <v>46125</v>
      </c>
      <c r="B593" s="3" t="str">
        <f>Raw_Production!C593</f>
        <v>Sewing</v>
      </c>
      <c r="C593" s="3" t="str">
        <f>Raw_Production!D593</f>
        <v>T03</v>
      </c>
      <c r="D593" s="3" t="str">
        <f>Raw_Production!P593</f>
        <v>ST-110</v>
      </c>
      <c r="E593" s="3" t="str">
        <f>Raw_Production!O593</f>
        <v>Jacket</v>
      </c>
      <c r="F593" s="6">
        <f>Raw_Production!G593</f>
        <v>0.87</v>
      </c>
      <c r="G593" s="6">
        <f>Raw_Production!N593</f>
        <v>0.79</v>
      </c>
      <c r="H593" s="6">
        <f t="shared" si="9"/>
        <v>-7.999999999999996E-2</v>
      </c>
      <c r="I593" s="3">
        <f>Raw_Production!I593</f>
        <v>339</v>
      </c>
      <c r="J593" s="3">
        <f>Raw_Production!J593</f>
        <v>138</v>
      </c>
      <c r="K593" s="3">
        <f>Raw_Production!L593</f>
        <v>9</v>
      </c>
      <c r="L593" s="3">
        <f>Raw_Production!M593</f>
        <v>0</v>
      </c>
      <c r="M593" s="3">
        <f>Raw_Production!F593</f>
        <v>1</v>
      </c>
      <c r="N593" s="3">
        <f>Raw_Production!K593</f>
        <v>4074</v>
      </c>
      <c r="O593" s="3">
        <f>Raw_Production!H593</f>
        <v>9.5</v>
      </c>
      <c r="P593" s="3">
        <f>Raw_Production!E593</f>
        <v>36</v>
      </c>
    </row>
    <row r="594" spans="1:16" x14ac:dyDescent="0.3">
      <c r="A594" s="4">
        <f>Raw_Production!A594</f>
        <v>46125</v>
      </c>
      <c r="B594" s="3" t="str">
        <f>Raw_Production!C594</f>
        <v>Finishing</v>
      </c>
      <c r="C594" s="3" t="str">
        <f>Raw_Production!D594</f>
        <v>T04</v>
      </c>
      <c r="D594" s="3" t="str">
        <f>Raw_Production!P594</f>
        <v>ST-107</v>
      </c>
      <c r="E594" s="3" t="str">
        <f>Raw_Production!O594</f>
        <v>Polo</v>
      </c>
      <c r="F594" s="6">
        <f>Raw_Production!G594</f>
        <v>0.84</v>
      </c>
      <c r="G594" s="6">
        <f>Raw_Production!N594</f>
        <v>0.78</v>
      </c>
      <c r="H594" s="6">
        <f t="shared" si="9"/>
        <v>-5.9999999999999942E-2</v>
      </c>
      <c r="I594" s="3">
        <f>Raw_Production!I594</f>
        <v>88</v>
      </c>
      <c r="J594" s="3">
        <f>Raw_Production!J594</f>
        <v>3</v>
      </c>
      <c r="K594" s="3">
        <f>Raw_Production!L594</f>
        <v>69</v>
      </c>
      <c r="L594" s="3">
        <f>Raw_Production!M594</f>
        <v>5</v>
      </c>
      <c r="M594" s="3">
        <f>Raw_Production!F594</f>
        <v>0</v>
      </c>
      <c r="N594" s="3">
        <f>Raw_Production!K594</f>
        <v>118</v>
      </c>
      <c r="O594" s="3">
        <f>Raw_Production!H594</f>
        <v>18.5</v>
      </c>
      <c r="P594" s="3">
        <f>Raw_Production!E594</f>
        <v>30</v>
      </c>
    </row>
    <row r="595" spans="1:16" x14ac:dyDescent="0.3">
      <c r="A595" s="4">
        <f>Raw_Production!A595</f>
        <v>46125</v>
      </c>
      <c r="B595" s="3" t="str">
        <f>Raw_Production!C595</f>
        <v>Finishing</v>
      </c>
      <c r="C595" s="3" t="str">
        <f>Raw_Production!D595</f>
        <v>T05</v>
      </c>
      <c r="D595" s="3" t="str">
        <f>Raw_Production!P595</f>
        <v>ST-109</v>
      </c>
      <c r="E595" s="3" t="str">
        <f>Raw_Production!O595</f>
        <v>Shirt</v>
      </c>
      <c r="F595" s="6">
        <f>Raw_Production!G595</f>
        <v>0.72</v>
      </c>
      <c r="G595" s="6">
        <f>Raw_Production!N595</f>
        <v>0.59</v>
      </c>
      <c r="H595" s="6">
        <f t="shared" si="9"/>
        <v>-0.13</v>
      </c>
      <c r="I595" s="3">
        <f>Raw_Production!I595</f>
        <v>54</v>
      </c>
      <c r="J595" s="3">
        <f>Raw_Production!J595</f>
        <v>14</v>
      </c>
      <c r="K595" s="3">
        <f>Raw_Production!L595</f>
        <v>80</v>
      </c>
      <c r="L595" s="3">
        <f>Raw_Production!M595</f>
        <v>5</v>
      </c>
      <c r="M595" s="3">
        <f>Raw_Production!F595</f>
        <v>1</v>
      </c>
      <c r="N595" s="3">
        <f>Raw_Production!K595</f>
        <v>2879</v>
      </c>
      <c r="O595" s="3">
        <f>Raw_Production!H595</f>
        <v>8.3000000000000007</v>
      </c>
      <c r="P595" s="3">
        <f>Raw_Production!E595</f>
        <v>30</v>
      </c>
    </row>
    <row r="596" spans="1:16" x14ac:dyDescent="0.3">
      <c r="A596" s="4">
        <f>Raw_Production!A596</f>
        <v>46126</v>
      </c>
      <c r="B596" s="3" t="str">
        <f>Raw_Production!C596</f>
        <v>Cutting</v>
      </c>
      <c r="C596" s="3" t="str">
        <f>Raw_Production!D596</f>
        <v>T01</v>
      </c>
      <c r="D596" s="3" t="str">
        <f>Raw_Production!P596</f>
        <v>ST-105</v>
      </c>
      <c r="E596" s="3" t="str">
        <f>Raw_Production!O596</f>
        <v>Jacket</v>
      </c>
      <c r="F596" s="6">
        <f>Raw_Production!G596</f>
        <v>0.75</v>
      </c>
      <c r="G596" s="6">
        <f>Raw_Production!N596</f>
        <v>0.74</v>
      </c>
      <c r="H596" s="6">
        <f t="shared" si="9"/>
        <v>-1.0000000000000009E-2</v>
      </c>
      <c r="I596" s="3">
        <f>Raw_Production!I596</f>
        <v>199</v>
      </c>
      <c r="J596" s="3">
        <f>Raw_Production!J596</f>
        <v>93</v>
      </c>
      <c r="K596" s="3">
        <f>Raw_Production!L596</f>
        <v>45</v>
      </c>
      <c r="L596" s="3">
        <f>Raw_Production!M596</f>
        <v>2</v>
      </c>
      <c r="M596" s="3">
        <f>Raw_Production!F596</f>
        <v>0</v>
      </c>
      <c r="N596" s="3">
        <f>Raw_Production!K596</f>
        <v>3048</v>
      </c>
      <c r="O596" s="3">
        <f>Raw_Production!H596</f>
        <v>9.1999999999999993</v>
      </c>
      <c r="P596" s="3">
        <f>Raw_Production!E596</f>
        <v>38</v>
      </c>
    </row>
    <row r="597" spans="1:16" x14ac:dyDescent="0.3">
      <c r="A597" s="4">
        <f>Raw_Production!A597</f>
        <v>46126</v>
      </c>
      <c r="B597" s="3" t="str">
        <f>Raw_Production!C597</f>
        <v>Cutting</v>
      </c>
      <c r="C597" s="3" t="str">
        <f>Raw_Production!D597</f>
        <v>T06</v>
      </c>
      <c r="D597" s="3" t="str">
        <f>Raw_Production!P597</f>
        <v>ST-105</v>
      </c>
      <c r="E597" s="3" t="str">
        <f>Raw_Production!O597</f>
        <v>Jacket</v>
      </c>
      <c r="F597" s="6">
        <f>Raw_Production!G597</f>
        <v>0.74</v>
      </c>
      <c r="G597" s="6">
        <f>Raw_Production!N597</f>
        <v>0.57999999999999996</v>
      </c>
      <c r="H597" s="6">
        <f t="shared" si="9"/>
        <v>-0.16000000000000003</v>
      </c>
      <c r="I597" s="3">
        <f>Raw_Production!I597</f>
        <v>125</v>
      </c>
      <c r="J597" s="3">
        <f>Raw_Production!J597</f>
        <v>61</v>
      </c>
      <c r="K597" s="3">
        <f>Raw_Production!L597</f>
        <v>26</v>
      </c>
      <c r="L597" s="3">
        <f>Raw_Production!M597</f>
        <v>3</v>
      </c>
      <c r="M597" s="3">
        <f>Raw_Production!F597</f>
        <v>1</v>
      </c>
      <c r="N597" s="3">
        <f>Raw_Production!K597</f>
        <v>4358</v>
      </c>
      <c r="O597" s="3">
        <f>Raw_Production!H597</f>
        <v>12.8</v>
      </c>
      <c r="P597" s="3">
        <f>Raw_Production!E597</f>
        <v>37</v>
      </c>
    </row>
    <row r="598" spans="1:16" x14ac:dyDescent="0.3">
      <c r="A598" s="4">
        <f>Raw_Production!A598</f>
        <v>46126</v>
      </c>
      <c r="B598" s="3" t="str">
        <f>Raw_Production!C598</f>
        <v>Sewing</v>
      </c>
      <c r="C598" s="3" t="str">
        <f>Raw_Production!D598</f>
        <v>T02</v>
      </c>
      <c r="D598" s="3" t="str">
        <f>Raw_Production!P598</f>
        <v>ST-108</v>
      </c>
      <c r="E598" s="3" t="str">
        <f>Raw_Production!O598</f>
        <v>Hoodie</v>
      </c>
      <c r="F598" s="6">
        <f>Raw_Production!G598</f>
        <v>0.85</v>
      </c>
      <c r="G598" s="6">
        <f>Raw_Production!N598</f>
        <v>0.7</v>
      </c>
      <c r="H598" s="6">
        <f t="shared" si="9"/>
        <v>-0.15000000000000002</v>
      </c>
      <c r="I598" s="3">
        <f>Raw_Production!I598</f>
        <v>98</v>
      </c>
      <c r="J598" s="3">
        <f>Raw_Production!J598</f>
        <v>94</v>
      </c>
      <c r="K598" s="3">
        <f>Raw_Production!L598</f>
        <v>34</v>
      </c>
      <c r="L598" s="3">
        <f>Raw_Production!M598</f>
        <v>1</v>
      </c>
      <c r="M598" s="3">
        <f>Raw_Production!F598</f>
        <v>1</v>
      </c>
      <c r="N598" s="3">
        <f>Raw_Production!K598</f>
        <v>4232</v>
      </c>
      <c r="O598" s="3">
        <f>Raw_Production!H598</f>
        <v>12.7</v>
      </c>
      <c r="P598" s="3">
        <f>Raw_Production!E598</f>
        <v>24</v>
      </c>
    </row>
    <row r="599" spans="1:16" x14ac:dyDescent="0.3">
      <c r="A599" s="4">
        <f>Raw_Production!A599</f>
        <v>46126</v>
      </c>
      <c r="B599" s="3" t="str">
        <f>Raw_Production!C599</f>
        <v>Sewing</v>
      </c>
      <c r="C599" s="3" t="str">
        <f>Raw_Production!D599</f>
        <v>T03</v>
      </c>
      <c r="D599" s="3" t="str">
        <f>Raw_Production!P599</f>
        <v>ST-105</v>
      </c>
      <c r="E599" s="3" t="str">
        <f>Raw_Production!O599</f>
        <v>Jacket</v>
      </c>
      <c r="F599" s="6">
        <f>Raw_Production!G599</f>
        <v>0.84</v>
      </c>
      <c r="G599" s="6">
        <f>Raw_Production!N599</f>
        <v>0.65</v>
      </c>
      <c r="H599" s="6">
        <f t="shared" si="9"/>
        <v>-0.18999999999999995</v>
      </c>
      <c r="I599" s="3">
        <f>Raw_Production!I599</f>
        <v>387</v>
      </c>
      <c r="J599" s="3">
        <f>Raw_Production!J599</f>
        <v>106</v>
      </c>
      <c r="K599" s="3">
        <f>Raw_Production!L599</f>
        <v>81</v>
      </c>
      <c r="L599" s="3">
        <f>Raw_Production!M599</f>
        <v>5</v>
      </c>
      <c r="M599" s="3">
        <f>Raw_Production!F599</f>
        <v>2</v>
      </c>
      <c r="N599" s="3">
        <f>Raw_Production!K599</f>
        <v>1916</v>
      </c>
      <c r="O599" s="3">
        <f>Raw_Production!H599</f>
        <v>16.5</v>
      </c>
      <c r="P599" s="3">
        <f>Raw_Production!E599</f>
        <v>23</v>
      </c>
    </row>
    <row r="600" spans="1:16" x14ac:dyDescent="0.3">
      <c r="A600" s="4">
        <f>Raw_Production!A600</f>
        <v>46126</v>
      </c>
      <c r="B600" s="3" t="str">
        <f>Raw_Production!C600</f>
        <v>Finishing</v>
      </c>
      <c r="C600" s="3" t="str">
        <f>Raw_Production!D600</f>
        <v>T04</v>
      </c>
      <c r="D600" s="3" t="str">
        <f>Raw_Production!P600</f>
        <v>ST-101</v>
      </c>
      <c r="E600" s="3" t="str">
        <f>Raw_Production!O600</f>
        <v>T-Shirt</v>
      </c>
      <c r="F600" s="6">
        <f>Raw_Production!G600</f>
        <v>0.79</v>
      </c>
      <c r="G600" s="6">
        <f>Raw_Production!N600</f>
        <v>0.63</v>
      </c>
      <c r="H600" s="6">
        <f t="shared" si="9"/>
        <v>-0.16000000000000003</v>
      </c>
      <c r="I600" s="3">
        <f>Raw_Production!I600</f>
        <v>196</v>
      </c>
      <c r="J600" s="3">
        <f>Raw_Production!J600</f>
        <v>92</v>
      </c>
      <c r="K600" s="3">
        <f>Raw_Production!L600</f>
        <v>9</v>
      </c>
      <c r="L600" s="3">
        <f>Raw_Production!M600</f>
        <v>7</v>
      </c>
      <c r="M600" s="3">
        <f>Raw_Production!F600</f>
        <v>1</v>
      </c>
      <c r="N600" s="3">
        <f>Raw_Production!K600</f>
        <v>1254</v>
      </c>
      <c r="O600" s="3">
        <f>Raw_Production!H600</f>
        <v>17.2</v>
      </c>
      <c r="P600" s="3">
        <f>Raw_Production!E600</f>
        <v>30</v>
      </c>
    </row>
    <row r="601" spans="1:16" x14ac:dyDescent="0.3">
      <c r="A601" s="4">
        <f>Raw_Production!A601</f>
        <v>46126</v>
      </c>
      <c r="B601" s="3" t="str">
        <f>Raw_Production!C601</f>
        <v>Finishing</v>
      </c>
      <c r="C601" s="3" t="str">
        <f>Raw_Production!D601</f>
        <v>T05</v>
      </c>
      <c r="D601" s="3" t="str">
        <f>Raw_Production!P601</f>
        <v>ST-105</v>
      </c>
      <c r="E601" s="3" t="str">
        <f>Raw_Production!O601</f>
        <v>Jacket</v>
      </c>
      <c r="F601" s="6">
        <f>Raw_Production!G601</f>
        <v>0.83</v>
      </c>
      <c r="G601" s="6">
        <f>Raw_Production!N601</f>
        <v>0.74</v>
      </c>
      <c r="H601" s="6">
        <f t="shared" si="9"/>
        <v>-8.9999999999999969E-2</v>
      </c>
      <c r="I601" s="3">
        <f>Raw_Production!I601</f>
        <v>185</v>
      </c>
      <c r="J601" s="3">
        <f>Raw_Production!J601</f>
        <v>98</v>
      </c>
      <c r="K601" s="3">
        <f>Raw_Production!L601</f>
        <v>10</v>
      </c>
      <c r="L601" s="3">
        <f>Raw_Production!M601</f>
        <v>8</v>
      </c>
      <c r="M601" s="3">
        <f>Raw_Production!F601</f>
        <v>2</v>
      </c>
      <c r="N601" s="3">
        <f>Raw_Production!K601</f>
        <v>53</v>
      </c>
      <c r="O601" s="3">
        <f>Raw_Production!H601</f>
        <v>15.9</v>
      </c>
      <c r="P601" s="3">
        <f>Raw_Production!E601</f>
        <v>36</v>
      </c>
    </row>
    <row r="602" spans="1:16" x14ac:dyDescent="0.3">
      <c r="A602" s="4">
        <f>Raw_Production!A602</f>
        <v>46127</v>
      </c>
      <c r="B602" s="3" t="str">
        <f>Raw_Production!C602</f>
        <v>Cutting</v>
      </c>
      <c r="C602" s="3" t="str">
        <f>Raw_Production!D602</f>
        <v>T01</v>
      </c>
      <c r="D602" s="3" t="str">
        <f>Raw_Production!P602</f>
        <v>ST-101</v>
      </c>
      <c r="E602" s="3" t="str">
        <f>Raw_Production!O602</f>
        <v>T-Shirt</v>
      </c>
      <c r="F602" s="6">
        <f>Raw_Production!G602</f>
        <v>0.73</v>
      </c>
      <c r="G602" s="6">
        <f>Raw_Production!N602</f>
        <v>0.57999999999999996</v>
      </c>
      <c r="H602" s="6">
        <f t="shared" si="9"/>
        <v>-0.15000000000000002</v>
      </c>
      <c r="I602" s="3">
        <f>Raw_Production!I602</f>
        <v>199</v>
      </c>
      <c r="J602" s="3">
        <f>Raw_Production!J602</f>
        <v>100</v>
      </c>
      <c r="K602" s="3">
        <f>Raw_Production!L602</f>
        <v>85</v>
      </c>
      <c r="L602" s="3">
        <f>Raw_Production!M602</f>
        <v>7</v>
      </c>
      <c r="M602" s="3">
        <f>Raw_Production!F602</f>
        <v>1</v>
      </c>
      <c r="N602" s="3">
        <f>Raw_Production!K602</f>
        <v>1492</v>
      </c>
      <c r="O602" s="3">
        <f>Raw_Production!H602</f>
        <v>8.3000000000000007</v>
      </c>
      <c r="P602" s="3">
        <f>Raw_Production!E602</f>
        <v>35</v>
      </c>
    </row>
    <row r="603" spans="1:16" x14ac:dyDescent="0.3">
      <c r="A603" s="4">
        <f>Raw_Production!A603</f>
        <v>46127</v>
      </c>
      <c r="B603" s="3" t="str">
        <f>Raw_Production!C603</f>
        <v>Cutting</v>
      </c>
      <c r="C603" s="3" t="str">
        <f>Raw_Production!D603</f>
        <v>T06</v>
      </c>
      <c r="D603" s="3" t="str">
        <f>Raw_Production!P603</f>
        <v>ST-107</v>
      </c>
      <c r="E603" s="3" t="str">
        <f>Raw_Production!O603</f>
        <v>Polo</v>
      </c>
      <c r="F603" s="6">
        <f>Raw_Production!G603</f>
        <v>0.82</v>
      </c>
      <c r="G603" s="6">
        <f>Raw_Production!N603</f>
        <v>0.69</v>
      </c>
      <c r="H603" s="6">
        <f t="shared" si="9"/>
        <v>-0.13</v>
      </c>
      <c r="I603" s="3">
        <f>Raw_Production!I603</f>
        <v>371</v>
      </c>
      <c r="J603" s="3">
        <f>Raw_Production!J603</f>
        <v>130</v>
      </c>
      <c r="K603" s="3">
        <f>Raw_Production!L603</f>
        <v>117</v>
      </c>
      <c r="L603" s="3">
        <f>Raw_Production!M603</f>
        <v>1</v>
      </c>
      <c r="M603" s="3">
        <f>Raw_Production!F603</f>
        <v>2</v>
      </c>
      <c r="N603" s="3">
        <f>Raw_Production!K603</f>
        <v>583</v>
      </c>
      <c r="O603" s="3">
        <f>Raw_Production!H603</f>
        <v>7.9</v>
      </c>
      <c r="P603" s="3">
        <f>Raw_Production!E603</f>
        <v>21</v>
      </c>
    </row>
    <row r="604" spans="1:16" x14ac:dyDescent="0.3">
      <c r="A604" s="4">
        <f>Raw_Production!A604</f>
        <v>46127</v>
      </c>
      <c r="B604" s="3" t="str">
        <f>Raw_Production!C604</f>
        <v>Sewing</v>
      </c>
      <c r="C604" s="3" t="str">
        <f>Raw_Production!D604</f>
        <v>T02</v>
      </c>
      <c r="D604" s="3" t="str">
        <f>Raw_Production!P604</f>
        <v>ST-101</v>
      </c>
      <c r="E604" s="3" t="str">
        <f>Raw_Production!O604</f>
        <v>T-Shirt</v>
      </c>
      <c r="F604" s="6">
        <f>Raw_Production!G604</f>
        <v>0.83</v>
      </c>
      <c r="G604" s="6">
        <f>Raw_Production!N604</f>
        <v>0.78</v>
      </c>
      <c r="H604" s="6">
        <f t="shared" si="9"/>
        <v>-4.9999999999999933E-2</v>
      </c>
      <c r="I604" s="3">
        <f>Raw_Production!I604</f>
        <v>148</v>
      </c>
      <c r="J604" s="3">
        <f>Raw_Production!J604</f>
        <v>47</v>
      </c>
      <c r="K604" s="3">
        <f>Raw_Production!L604</f>
        <v>55</v>
      </c>
      <c r="L604" s="3">
        <f>Raw_Production!M604</f>
        <v>1</v>
      </c>
      <c r="M604" s="3">
        <f>Raw_Production!F604</f>
        <v>0</v>
      </c>
      <c r="N604" s="3">
        <f>Raw_Production!K604</f>
        <v>933</v>
      </c>
      <c r="O604" s="3">
        <f>Raw_Production!H604</f>
        <v>9.6999999999999993</v>
      </c>
      <c r="P604" s="3">
        <f>Raw_Production!E604</f>
        <v>22</v>
      </c>
    </row>
    <row r="605" spans="1:16" x14ac:dyDescent="0.3">
      <c r="A605" s="4">
        <f>Raw_Production!A605</f>
        <v>46127</v>
      </c>
      <c r="B605" s="3" t="str">
        <f>Raw_Production!C605</f>
        <v>Sewing</v>
      </c>
      <c r="C605" s="3" t="str">
        <f>Raw_Production!D605</f>
        <v>T03</v>
      </c>
      <c r="D605" s="3" t="str">
        <f>Raw_Production!P605</f>
        <v>ST-110</v>
      </c>
      <c r="E605" s="3" t="str">
        <f>Raw_Production!O605</f>
        <v>Jacket</v>
      </c>
      <c r="F605" s="6">
        <f>Raw_Production!G605</f>
        <v>0.86</v>
      </c>
      <c r="G605" s="6">
        <f>Raw_Production!N605</f>
        <v>0.74</v>
      </c>
      <c r="H605" s="6">
        <f t="shared" si="9"/>
        <v>-0.12</v>
      </c>
      <c r="I605" s="3">
        <f>Raw_Production!I605</f>
        <v>206</v>
      </c>
      <c r="J605" s="3">
        <f>Raw_Production!J605</f>
        <v>126</v>
      </c>
      <c r="K605" s="3">
        <f>Raw_Production!L605</f>
        <v>1</v>
      </c>
      <c r="L605" s="3">
        <f>Raw_Production!M605</f>
        <v>5</v>
      </c>
      <c r="M605" s="3">
        <f>Raw_Production!F605</f>
        <v>1</v>
      </c>
      <c r="N605" s="3">
        <f>Raw_Production!K605</f>
        <v>1279</v>
      </c>
      <c r="O605" s="3">
        <f>Raw_Production!H605</f>
        <v>13.1</v>
      </c>
      <c r="P605" s="3">
        <f>Raw_Production!E605</f>
        <v>29</v>
      </c>
    </row>
    <row r="606" spans="1:16" x14ac:dyDescent="0.3">
      <c r="A606" s="4">
        <f>Raw_Production!A606</f>
        <v>46127</v>
      </c>
      <c r="B606" s="3" t="str">
        <f>Raw_Production!C606</f>
        <v>Finishing</v>
      </c>
      <c r="C606" s="3" t="str">
        <f>Raw_Production!D606</f>
        <v>T04</v>
      </c>
      <c r="D606" s="3" t="str">
        <f>Raw_Production!P606</f>
        <v>ST-107</v>
      </c>
      <c r="E606" s="3" t="str">
        <f>Raw_Production!O606</f>
        <v>Polo</v>
      </c>
      <c r="F606" s="6">
        <f>Raw_Production!G606</f>
        <v>0.86</v>
      </c>
      <c r="G606" s="6">
        <f>Raw_Production!N606</f>
        <v>0.85</v>
      </c>
      <c r="H606" s="6">
        <f t="shared" si="9"/>
        <v>-1.0000000000000009E-2</v>
      </c>
      <c r="I606" s="3">
        <f>Raw_Production!I606</f>
        <v>389</v>
      </c>
      <c r="J606" s="3">
        <f>Raw_Production!J606</f>
        <v>34</v>
      </c>
      <c r="K606" s="3">
        <f>Raw_Production!L606</f>
        <v>69</v>
      </c>
      <c r="L606" s="3">
        <f>Raw_Production!M606</f>
        <v>5</v>
      </c>
      <c r="M606" s="3">
        <f>Raw_Production!F606</f>
        <v>1</v>
      </c>
      <c r="N606" s="3">
        <f>Raw_Production!K606</f>
        <v>1788</v>
      </c>
      <c r="O606" s="3">
        <f>Raw_Production!H606</f>
        <v>13.6</v>
      </c>
      <c r="P606" s="3">
        <f>Raw_Production!E606</f>
        <v>29</v>
      </c>
    </row>
    <row r="607" spans="1:16" x14ac:dyDescent="0.3">
      <c r="A607" s="4">
        <f>Raw_Production!A607</f>
        <v>46127</v>
      </c>
      <c r="B607" s="3" t="str">
        <f>Raw_Production!C607</f>
        <v>Finishing</v>
      </c>
      <c r="C607" s="3" t="str">
        <f>Raw_Production!D607</f>
        <v>T05</v>
      </c>
      <c r="D607" s="3" t="str">
        <f>Raw_Production!P607</f>
        <v>ST-103</v>
      </c>
      <c r="E607" s="3" t="str">
        <f>Raw_Production!O607</f>
        <v>Hoodie</v>
      </c>
      <c r="F607" s="6">
        <f>Raw_Production!G607</f>
        <v>0.79</v>
      </c>
      <c r="G607" s="6">
        <f>Raw_Production!N607</f>
        <v>0.65</v>
      </c>
      <c r="H607" s="6">
        <f t="shared" si="9"/>
        <v>-0.14000000000000001</v>
      </c>
      <c r="I607" s="3">
        <f>Raw_Production!I607</f>
        <v>142</v>
      </c>
      <c r="J607" s="3">
        <f>Raw_Production!J607</f>
        <v>69</v>
      </c>
      <c r="K607" s="3">
        <f>Raw_Production!L607</f>
        <v>35</v>
      </c>
      <c r="L607" s="3">
        <f>Raw_Production!M607</f>
        <v>3</v>
      </c>
      <c r="M607" s="3">
        <f>Raw_Production!F607</f>
        <v>1</v>
      </c>
      <c r="N607" s="3">
        <f>Raw_Production!K607</f>
        <v>477</v>
      </c>
      <c r="O607" s="3">
        <f>Raw_Production!H607</f>
        <v>14.2</v>
      </c>
      <c r="P607" s="3">
        <f>Raw_Production!E607</f>
        <v>20</v>
      </c>
    </row>
    <row r="608" spans="1:16" x14ac:dyDescent="0.3">
      <c r="A608" s="4">
        <f>Raw_Production!A608</f>
        <v>46128</v>
      </c>
      <c r="B608" s="3" t="str">
        <f>Raw_Production!C608</f>
        <v>Cutting</v>
      </c>
      <c r="C608" s="3" t="str">
        <f>Raw_Production!D608</f>
        <v>T01</v>
      </c>
      <c r="D608" s="3" t="str">
        <f>Raw_Production!P608</f>
        <v>ST-105</v>
      </c>
      <c r="E608" s="3" t="str">
        <f>Raw_Production!O608</f>
        <v>Jacket</v>
      </c>
      <c r="F608" s="6">
        <f>Raw_Production!G608</f>
        <v>0.74</v>
      </c>
      <c r="G608" s="6">
        <f>Raw_Production!N608</f>
        <v>0.55000000000000004</v>
      </c>
      <c r="H608" s="6">
        <f t="shared" si="9"/>
        <v>-0.18999999999999995</v>
      </c>
      <c r="I608" s="3">
        <f>Raw_Production!I608</f>
        <v>154</v>
      </c>
      <c r="J608" s="3">
        <f>Raw_Production!J608</f>
        <v>32</v>
      </c>
      <c r="K608" s="3">
        <f>Raw_Production!L608</f>
        <v>3</v>
      </c>
      <c r="L608" s="3">
        <f>Raw_Production!M608</f>
        <v>1</v>
      </c>
      <c r="M608" s="3">
        <f>Raw_Production!F608</f>
        <v>4</v>
      </c>
      <c r="N608" s="3">
        <f>Raw_Production!K608</f>
        <v>30</v>
      </c>
      <c r="O608" s="3">
        <f>Raw_Production!H608</f>
        <v>18.100000000000001</v>
      </c>
      <c r="P608" s="3">
        <f>Raw_Production!E608</f>
        <v>20</v>
      </c>
    </row>
    <row r="609" spans="1:16" x14ac:dyDescent="0.3">
      <c r="A609" s="4">
        <f>Raw_Production!A609</f>
        <v>46128</v>
      </c>
      <c r="B609" s="3" t="str">
        <f>Raw_Production!C609</f>
        <v>Cutting</v>
      </c>
      <c r="C609" s="3" t="str">
        <f>Raw_Production!D609</f>
        <v>T06</v>
      </c>
      <c r="D609" s="3" t="str">
        <f>Raw_Production!P609</f>
        <v>ST-101</v>
      </c>
      <c r="E609" s="3" t="str">
        <f>Raw_Production!O609</f>
        <v>T-Shirt</v>
      </c>
      <c r="F609" s="6">
        <f>Raw_Production!G609</f>
        <v>0.79</v>
      </c>
      <c r="G609" s="6">
        <f>Raw_Production!N609</f>
        <v>0.73</v>
      </c>
      <c r="H609" s="6">
        <f t="shared" si="9"/>
        <v>-6.0000000000000053E-2</v>
      </c>
      <c r="I609" s="3">
        <f>Raw_Production!I609</f>
        <v>413</v>
      </c>
      <c r="J609" s="3">
        <f>Raw_Production!J609</f>
        <v>107</v>
      </c>
      <c r="K609" s="3">
        <f>Raw_Production!L609</f>
        <v>80</v>
      </c>
      <c r="L609" s="3">
        <f>Raw_Production!M609</f>
        <v>6</v>
      </c>
      <c r="M609" s="3">
        <f>Raw_Production!F609</f>
        <v>2</v>
      </c>
      <c r="N609" s="3">
        <f>Raw_Production!K609</f>
        <v>741</v>
      </c>
      <c r="O609" s="3">
        <f>Raw_Production!H609</f>
        <v>13.9</v>
      </c>
      <c r="P609" s="3">
        <f>Raw_Production!E609</f>
        <v>34</v>
      </c>
    </row>
    <row r="610" spans="1:16" x14ac:dyDescent="0.3">
      <c r="A610" s="4">
        <f>Raw_Production!A610</f>
        <v>46128</v>
      </c>
      <c r="B610" s="3" t="str">
        <f>Raw_Production!C610</f>
        <v>Sewing</v>
      </c>
      <c r="C610" s="3" t="str">
        <f>Raw_Production!D610</f>
        <v>T02</v>
      </c>
      <c r="D610" s="3" t="str">
        <f>Raw_Production!P610</f>
        <v>ST-103</v>
      </c>
      <c r="E610" s="3" t="str">
        <f>Raw_Production!O610</f>
        <v>Hoodie</v>
      </c>
      <c r="F610" s="6">
        <f>Raw_Production!G610</f>
        <v>0.79</v>
      </c>
      <c r="G610" s="6">
        <f>Raw_Production!N610</f>
        <v>0.67</v>
      </c>
      <c r="H610" s="6">
        <f t="shared" si="9"/>
        <v>-0.12</v>
      </c>
      <c r="I610" s="3">
        <f>Raw_Production!I610</f>
        <v>271</v>
      </c>
      <c r="J610" s="3">
        <f>Raw_Production!J610</f>
        <v>66</v>
      </c>
      <c r="K610" s="3">
        <f>Raw_Production!L610</f>
        <v>89</v>
      </c>
      <c r="L610" s="3">
        <f>Raw_Production!M610</f>
        <v>0</v>
      </c>
      <c r="M610" s="3">
        <f>Raw_Production!F610</f>
        <v>1</v>
      </c>
      <c r="N610" s="3">
        <f>Raw_Production!K610</f>
        <v>2915</v>
      </c>
      <c r="O610" s="3">
        <f>Raw_Production!H610</f>
        <v>13.8</v>
      </c>
      <c r="P610" s="3">
        <f>Raw_Production!E610</f>
        <v>20</v>
      </c>
    </row>
    <row r="611" spans="1:16" x14ac:dyDescent="0.3">
      <c r="A611" s="4">
        <f>Raw_Production!A611</f>
        <v>46128</v>
      </c>
      <c r="B611" s="3" t="str">
        <f>Raw_Production!C611</f>
        <v>Sewing</v>
      </c>
      <c r="C611" s="3" t="str">
        <f>Raw_Production!D611</f>
        <v>T03</v>
      </c>
      <c r="D611" s="3" t="str">
        <f>Raw_Production!P611</f>
        <v>ST-106</v>
      </c>
      <c r="E611" s="3" t="str">
        <f>Raw_Production!O611</f>
        <v>T-Shirt</v>
      </c>
      <c r="F611" s="6">
        <f>Raw_Production!G611</f>
        <v>0.85</v>
      </c>
      <c r="G611" s="6">
        <f>Raw_Production!N611</f>
        <v>0.85</v>
      </c>
      <c r="H611" s="6">
        <f t="shared" si="9"/>
        <v>0</v>
      </c>
      <c r="I611" s="3">
        <f>Raw_Production!I611</f>
        <v>192</v>
      </c>
      <c r="J611" s="3">
        <f>Raw_Production!J611</f>
        <v>113</v>
      </c>
      <c r="K611" s="3">
        <f>Raw_Production!L611</f>
        <v>92</v>
      </c>
      <c r="L611" s="3">
        <f>Raw_Production!M611</f>
        <v>1</v>
      </c>
      <c r="M611" s="3">
        <f>Raw_Production!F611</f>
        <v>2</v>
      </c>
      <c r="N611" s="3">
        <f>Raw_Production!K611</f>
        <v>2938</v>
      </c>
      <c r="O611" s="3">
        <f>Raw_Production!H611</f>
        <v>11.7</v>
      </c>
      <c r="P611" s="3">
        <f>Raw_Production!E611</f>
        <v>28</v>
      </c>
    </row>
    <row r="612" spans="1:16" x14ac:dyDescent="0.3">
      <c r="A612" s="4">
        <f>Raw_Production!A612</f>
        <v>46128</v>
      </c>
      <c r="B612" s="3" t="str">
        <f>Raw_Production!C612</f>
        <v>Finishing</v>
      </c>
      <c r="C612" s="3" t="str">
        <f>Raw_Production!D612</f>
        <v>T04</v>
      </c>
      <c r="D612" s="3" t="str">
        <f>Raw_Production!P612</f>
        <v>ST-107</v>
      </c>
      <c r="E612" s="3" t="str">
        <f>Raw_Production!O612</f>
        <v>Polo</v>
      </c>
      <c r="F612" s="6">
        <f>Raw_Production!G612</f>
        <v>0.79</v>
      </c>
      <c r="G612" s="6">
        <f>Raw_Production!N612</f>
        <v>0.71</v>
      </c>
      <c r="H612" s="6">
        <f t="shared" si="9"/>
        <v>-8.0000000000000071E-2</v>
      </c>
      <c r="I612" s="3">
        <f>Raw_Production!I612</f>
        <v>401</v>
      </c>
      <c r="J612" s="3">
        <f>Raw_Production!J612</f>
        <v>126</v>
      </c>
      <c r="K612" s="3">
        <f>Raw_Production!L612</f>
        <v>32</v>
      </c>
      <c r="L612" s="3">
        <f>Raw_Production!M612</f>
        <v>9</v>
      </c>
      <c r="M612" s="3">
        <f>Raw_Production!F612</f>
        <v>3</v>
      </c>
      <c r="N612" s="3">
        <f>Raw_Production!K612</f>
        <v>2220</v>
      </c>
      <c r="O612" s="3">
        <f>Raw_Production!H612</f>
        <v>10.1</v>
      </c>
      <c r="P612" s="3">
        <f>Raw_Production!E612</f>
        <v>38</v>
      </c>
    </row>
    <row r="613" spans="1:16" x14ac:dyDescent="0.3">
      <c r="A613" s="4">
        <f>Raw_Production!A613</f>
        <v>46128</v>
      </c>
      <c r="B613" s="3" t="str">
        <f>Raw_Production!C613</f>
        <v>Finishing</v>
      </c>
      <c r="C613" s="3" t="str">
        <f>Raw_Production!D613</f>
        <v>T05</v>
      </c>
      <c r="D613" s="3" t="str">
        <f>Raw_Production!P613</f>
        <v>ST-110</v>
      </c>
      <c r="E613" s="3" t="str">
        <f>Raw_Production!O613</f>
        <v>Jacket</v>
      </c>
      <c r="F613" s="6">
        <f>Raw_Production!G613</f>
        <v>0.74</v>
      </c>
      <c r="G613" s="6">
        <f>Raw_Production!N613</f>
        <v>0.74</v>
      </c>
      <c r="H613" s="6">
        <f t="shared" si="9"/>
        <v>0</v>
      </c>
      <c r="I613" s="3">
        <f>Raw_Production!I613</f>
        <v>320</v>
      </c>
      <c r="J613" s="3">
        <f>Raw_Production!J613</f>
        <v>105</v>
      </c>
      <c r="K613" s="3">
        <f>Raw_Production!L613</f>
        <v>42</v>
      </c>
      <c r="L613" s="3">
        <f>Raw_Production!M613</f>
        <v>1</v>
      </c>
      <c r="M613" s="3">
        <f>Raw_Production!F613</f>
        <v>1</v>
      </c>
      <c r="N613" s="3">
        <f>Raw_Production!K613</f>
        <v>4333</v>
      </c>
      <c r="O613" s="3">
        <f>Raw_Production!H613</f>
        <v>8.6</v>
      </c>
      <c r="P613" s="3">
        <f>Raw_Production!E613</f>
        <v>20</v>
      </c>
    </row>
    <row r="614" spans="1:16" x14ac:dyDescent="0.3">
      <c r="A614" s="4">
        <f>Raw_Production!A614</f>
        <v>46129</v>
      </c>
      <c r="B614" s="3" t="str">
        <f>Raw_Production!C614</f>
        <v>Cutting</v>
      </c>
      <c r="C614" s="3" t="str">
        <f>Raw_Production!D614</f>
        <v>T01</v>
      </c>
      <c r="D614" s="3" t="str">
        <f>Raw_Production!P614</f>
        <v>ST-108</v>
      </c>
      <c r="E614" s="3" t="str">
        <f>Raw_Production!O614</f>
        <v>Hoodie</v>
      </c>
      <c r="F614" s="6">
        <f>Raw_Production!G614</f>
        <v>0.8</v>
      </c>
      <c r="G614" s="6">
        <f>Raw_Production!N614</f>
        <v>0.79</v>
      </c>
      <c r="H614" s="6">
        <f t="shared" si="9"/>
        <v>-1.0000000000000009E-2</v>
      </c>
      <c r="I614" s="3">
        <f>Raw_Production!I614</f>
        <v>250</v>
      </c>
      <c r="J614" s="3">
        <f>Raw_Production!J614</f>
        <v>128</v>
      </c>
      <c r="K614" s="3">
        <f>Raw_Production!L614</f>
        <v>87</v>
      </c>
      <c r="L614" s="3">
        <f>Raw_Production!M614</f>
        <v>1</v>
      </c>
      <c r="M614" s="3">
        <f>Raw_Production!F614</f>
        <v>0</v>
      </c>
      <c r="N614" s="3">
        <f>Raw_Production!K614</f>
        <v>2007</v>
      </c>
      <c r="O614" s="3">
        <f>Raw_Production!H614</f>
        <v>14.8</v>
      </c>
      <c r="P614" s="3">
        <f>Raw_Production!E614</f>
        <v>35</v>
      </c>
    </row>
    <row r="615" spans="1:16" x14ac:dyDescent="0.3">
      <c r="A615" s="4">
        <f>Raw_Production!A615</f>
        <v>46129</v>
      </c>
      <c r="B615" s="3" t="str">
        <f>Raw_Production!C615</f>
        <v>Cutting</v>
      </c>
      <c r="C615" s="3" t="str">
        <f>Raw_Production!D615</f>
        <v>T06</v>
      </c>
      <c r="D615" s="3" t="str">
        <f>Raw_Production!P615</f>
        <v>ST-106</v>
      </c>
      <c r="E615" s="3" t="str">
        <f>Raw_Production!O615</f>
        <v>T-Shirt</v>
      </c>
      <c r="F615" s="6">
        <f>Raw_Production!G615</f>
        <v>0.84</v>
      </c>
      <c r="G615" s="6">
        <f>Raw_Production!N615</f>
        <v>0.68</v>
      </c>
      <c r="H615" s="6">
        <f t="shared" si="9"/>
        <v>-0.15999999999999992</v>
      </c>
      <c r="I615" s="3">
        <f>Raw_Production!I615</f>
        <v>52</v>
      </c>
      <c r="J615" s="3">
        <f>Raw_Production!J615</f>
        <v>89</v>
      </c>
      <c r="K615" s="3">
        <f>Raw_Production!L615</f>
        <v>27</v>
      </c>
      <c r="L615" s="3">
        <f>Raw_Production!M615</f>
        <v>6</v>
      </c>
      <c r="M615" s="3">
        <f>Raw_Production!F615</f>
        <v>0</v>
      </c>
      <c r="N615" s="3">
        <f>Raw_Production!K615</f>
        <v>237</v>
      </c>
      <c r="O615" s="3">
        <f>Raw_Production!H615</f>
        <v>14.4</v>
      </c>
      <c r="P615" s="3">
        <f>Raw_Production!E615</f>
        <v>29</v>
      </c>
    </row>
    <row r="616" spans="1:16" x14ac:dyDescent="0.3">
      <c r="A616" s="4">
        <f>Raw_Production!A616</f>
        <v>46129</v>
      </c>
      <c r="B616" s="3" t="str">
        <f>Raw_Production!C616</f>
        <v>Sewing</v>
      </c>
      <c r="C616" s="3" t="str">
        <f>Raw_Production!D616</f>
        <v>T02</v>
      </c>
      <c r="D616" s="3" t="str">
        <f>Raw_Production!P616</f>
        <v>ST-107</v>
      </c>
      <c r="E616" s="3" t="str">
        <f>Raw_Production!O616</f>
        <v>Polo</v>
      </c>
      <c r="F616" s="6">
        <f>Raw_Production!G616</f>
        <v>0.78</v>
      </c>
      <c r="G616" s="6">
        <f>Raw_Production!N616</f>
        <v>0.74</v>
      </c>
      <c r="H616" s="6">
        <f t="shared" si="9"/>
        <v>-4.0000000000000036E-2</v>
      </c>
      <c r="I616" s="3">
        <f>Raw_Production!I616</f>
        <v>270</v>
      </c>
      <c r="J616" s="3">
        <f>Raw_Production!J616</f>
        <v>147</v>
      </c>
      <c r="K616" s="3">
        <f>Raw_Production!L616</f>
        <v>3</v>
      </c>
      <c r="L616" s="3">
        <f>Raw_Production!M616</f>
        <v>2</v>
      </c>
      <c r="M616" s="3">
        <f>Raw_Production!F616</f>
        <v>0</v>
      </c>
      <c r="N616" s="3">
        <f>Raw_Production!K616</f>
        <v>3842</v>
      </c>
      <c r="O616" s="3">
        <f>Raw_Production!H616</f>
        <v>10.6</v>
      </c>
      <c r="P616" s="3">
        <f>Raw_Production!E616</f>
        <v>23</v>
      </c>
    </row>
    <row r="617" spans="1:16" x14ac:dyDescent="0.3">
      <c r="A617" s="4">
        <f>Raw_Production!A617</f>
        <v>46129</v>
      </c>
      <c r="B617" s="3" t="str">
        <f>Raw_Production!C617</f>
        <v>Sewing</v>
      </c>
      <c r="C617" s="3" t="str">
        <f>Raw_Production!D617</f>
        <v>T03</v>
      </c>
      <c r="D617" s="3" t="str">
        <f>Raw_Production!P617</f>
        <v>ST-103</v>
      </c>
      <c r="E617" s="3" t="str">
        <f>Raw_Production!O617</f>
        <v>Hoodie</v>
      </c>
      <c r="F617" s="6">
        <f>Raw_Production!G617</f>
        <v>0.73</v>
      </c>
      <c r="G617" s="6">
        <f>Raw_Production!N617</f>
        <v>0.78</v>
      </c>
      <c r="H617" s="6">
        <f t="shared" si="9"/>
        <v>5.0000000000000044E-2</v>
      </c>
      <c r="I617" s="3">
        <f>Raw_Production!I617</f>
        <v>382</v>
      </c>
      <c r="J617" s="3">
        <f>Raw_Production!J617</f>
        <v>39</v>
      </c>
      <c r="K617" s="3">
        <f>Raw_Production!L617</f>
        <v>71</v>
      </c>
      <c r="L617" s="3">
        <f>Raw_Production!M617</f>
        <v>3</v>
      </c>
      <c r="M617" s="3">
        <f>Raw_Production!F617</f>
        <v>0</v>
      </c>
      <c r="N617" s="3">
        <f>Raw_Production!K617</f>
        <v>545</v>
      </c>
      <c r="O617" s="3">
        <f>Raw_Production!H617</f>
        <v>15</v>
      </c>
      <c r="P617" s="3">
        <f>Raw_Production!E617</f>
        <v>25</v>
      </c>
    </row>
    <row r="618" spans="1:16" x14ac:dyDescent="0.3">
      <c r="A618" s="4">
        <f>Raw_Production!A618</f>
        <v>46129</v>
      </c>
      <c r="B618" s="3" t="str">
        <f>Raw_Production!C618</f>
        <v>Finishing</v>
      </c>
      <c r="C618" s="3" t="str">
        <f>Raw_Production!D618</f>
        <v>T04</v>
      </c>
      <c r="D618" s="3" t="str">
        <f>Raw_Production!P618</f>
        <v>ST-109</v>
      </c>
      <c r="E618" s="3" t="str">
        <f>Raw_Production!O618</f>
        <v>Shirt</v>
      </c>
      <c r="F618" s="6">
        <f>Raw_Production!G618</f>
        <v>0.88</v>
      </c>
      <c r="G618" s="6">
        <f>Raw_Production!N618</f>
        <v>0.88</v>
      </c>
      <c r="H618" s="6">
        <f t="shared" si="9"/>
        <v>0</v>
      </c>
      <c r="I618" s="3">
        <f>Raw_Production!I618</f>
        <v>361</v>
      </c>
      <c r="J618" s="3">
        <f>Raw_Production!J618</f>
        <v>100</v>
      </c>
      <c r="K618" s="3">
        <f>Raw_Production!L618</f>
        <v>62</v>
      </c>
      <c r="L618" s="3">
        <f>Raw_Production!M618</f>
        <v>5</v>
      </c>
      <c r="M618" s="3">
        <f>Raw_Production!F618</f>
        <v>2</v>
      </c>
      <c r="N618" s="3">
        <f>Raw_Production!K618</f>
        <v>1652</v>
      </c>
      <c r="O618" s="3">
        <f>Raw_Production!H618</f>
        <v>18.399999999999999</v>
      </c>
      <c r="P618" s="3">
        <f>Raw_Production!E618</f>
        <v>25</v>
      </c>
    </row>
    <row r="619" spans="1:16" x14ac:dyDescent="0.3">
      <c r="A619" s="4">
        <f>Raw_Production!A619</f>
        <v>46129</v>
      </c>
      <c r="B619" s="3" t="str">
        <f>Raw_Production!C619</f>
        <v>Finishing</v>
      </c>
      <c r="C619" s="3" t="str">
        <f>Raw_Production!D619</f>
        <v>T05</v>
      </c>
      <c r="D619" s="3" t="str">
        <f>Raw_Production!P619</f>
        <v>ST-110</v>
      </c>
      <c r="E619" s="3" t="str">
        <f>Raw_Production!O619</f>
        <v>Jacket</v>
      </c>
      <c r="F619" s="6">
        <f>Raw_Production!G619</f>
        <v>0.73</v>
      </c>
      <c r="G619" s="6">
        <f>Raw_Production!N619</f>
        <v>0.56999999999999995</v>
      </c>
      <c r="H619" s="6">
        <f t="shared" si="9"/>
        <v>-0.16000000000000003</v>
      </c>
      <c r="I619" s="3">
        <f>Raw_Production!I619</f>
        <v>352</v>
      </c>
      <c r="J619" s="3">
        <f>Raw_Production!J619</f>
        <v>67</v>
      </c>
      <c r="K619" s="3">
        <f>Raw_Production!L619</f>
        <v>66</v>
      </c>
      <c r="L619" s="3">
        <f>Raw_Production!M619</f>
        <v>0</v>
      </c>
      <c r="M619" s="3">
        <f>Raw_Production!F619</f>
        <v>0</v>
      </c>
      <c r="N619" s="3">
        <f>Raw_Production!K619</f>
        <v>3562</v>
      </c>
      <c r="O619" s="3">
        <f>Raw_Production!H619</f>
        <v>8.1</v>
      </c>
      <c r="P619" s="3">
        <f>Raw_Production!E619</f>
        <v>36</v>
      </c>
    </row>
    <row r="620" spans="1:16" x14ac:dyDescent="0.3">
      <c r="A620" s="4">
        <f>Raw_Production!A620</f>
        <v>46130</v>
      </c>
      <c r="B620" s="3" t="str">
        <f>Raw_Production!C620</f>
        <v>Cutting</v>
      </c>
      <c r="C620" s="3" t="str">
        <f>Raw_Production!D620</f>
        <v>T01</v>
      </c>
      <c r="D620" s="3" t="str">
        <f>Raw_Production!P620</f>
        <v>ST-103</v>
      </c>
      <c r="E620" s="3" t="str">
        <f>Raw_Production!O620</f>
        <v>Hoodie</v>
      </c>
      <c r="F620" s="6">
        <f>Raw_Production!G620</f>
        <v>0.89</v>
      </c>
      <c r="G620" s="6">
        <f>Raw_Production!N620</f>
        <v>0.66</v>
      </c>
      <c r="H620" s="6">
        <f t="shared" si="9"/>
        <v>-0.22999999999999998</v>
      </c>
      <c r="I620" s="3">
        <f>Raw_Production!I620</f>
        <v>201</v>
      </c>
      <c r="J620" s="3">
        <f>Raw_Production!J620</f>
        <v>49</v>
      </c>
      <c r="K620" s="3">
        <f>Raw_Production!L620</f>
        <v>95</v>
      </c>
      <c r="L620" s="3">
        <f>Raw_Production!M620</f>
        <v>1</v>
      </c>
      <c r="M620" s="3">
        <f>Raw_Production!F620</f>
        <v>4</v>
      </c>
      <c r="N620" s="3">
        <f>Raw_Production!K620</f>
        <v>4467</v>
      </c>
      <c r="O620" s="3">
        <f>Raw_Production!H620</f>
        <v>11.7</v>
      </c>
      <c r="P620" s="3">
        <f>Raw_Production!E620</f>
        <v>20</v>
      </c>
    </row>
    <row r="621" spans="1:16" x14ac:dyDescent="0.3">
      <c r="A621" s="4">
        <f>Raw_Production!A621</f>
        <v>46130</v>
      </c>
      <c r="B621" s="3" t="str">
        <f>Raw_Production!C621</f>
        <v>Cutting</v>
      </c>
      <c r="C621" s="3" t="str">
        <f>Raw_Production!D621</f>
        <v>T06</v>
      </c>
      <c r="D621" s="3" t="str">
        <f>Raw_Production!P621</f>
        <v>ST-102</v>
      </c>
      <c r="E621" s="3" t="str">
        <f>Raw_Production!O621</f>
        <v>Polo</v>
      </c>
      <c r="F621" s="6">
        <f>Raw_Production!G621</f>
        <v>0.81</v>
      </c>
      <c r="G621" s="6">
        <f>Raw_Production!N621</f>
        <v>0.85</v>
      </c>
      <c r="H621" s="6">
        <f t="shared" si="9"/>
        <v>3.9999999999999925E-2</v>
      </c>
      <c r="I621" s="3">
        <f>Raw_Production!I621</f>
        <v>118</v>
      </c>
      <c r="J621" s="3">
        <f>Raw_Production!J621</f>
        <v>64</v>
      </c>
      <c r="K621" s="3">
        <f>Raw_Production!L621</f>
        <v>7</v>
      </c>
      <c r="L621" s="3">
        <f>Raw_Production!M621</f>
        <v>4</v>
      </c>
      <c r="M621" s="3">
        <f>Raw_Production!F621</f>
        <v>0</v>
      </c>
      <c r="N621" s="3">
        <f>Raw_Production!K621</f>
        <v>546</v>
      </c>
      <c r="O621" s="3">
        <f>Raw_Production!H621</f>
        <v>18.2</v>
      </c>
      <c r="P621" s="3">
        <f>Raw_Production!E621</f>
        <v>20</v>
      </c>
    </row>
    <row r="622" spans="1:16" x14ac:dyDescent="0.3">
      <c r="A622" s="4">
        <f>Raw_Production!A622</f>
        <v>46130</v>
      </c>
      <c r="B622" s="3" t="str">
        <f>Raw_Production!C622</f>
        <v>Sewing</v>
      </c>
      <c r="C622" s="3" t="str">
        <f>Raw_Production!D622</f>
        <v>T02</v>
      </c>
      <c r="D622" s="3" t="str">
        <f>Raw_Production!P622</f>
        <v>ST-104</v>
      </c>
      <c r="E622" s="3" t="str">
        <f>Raw_Production!O622</f>
        <v>Shirt</v>
      </c>
      <c r="F622" s="6">
        <f>Raw_Production!G622</f>
        <v>0.79</v>
      </c>
      <c r="G622" s="6">
        <f>Raw_Production!N622</f>
        <v>0.7</v>
      </c>
      <c r="H622" s="6">
        <f t="shared" si="9"/>
        <v>-9.000000000000008E-2</v>
      </c>
      <c r="I622" s="3">
        <f>Raw_Production!I622</f>
        <v>38</v>
      </c>
      <c r="J622" s="3">
        <f>Raw_Production!J622</f>
        <v>20</v>
      </c>
      <c r="K622" s="3">
        <f>Raw_Production!L622</f>
        <v>49</v>
      </c>
      <c r="L622" s="3">
        <f>Raw_Production!M622</f>
        <v>4</v>
      </c>
      <c r="M622" s="3">
        <f>Raw_Production!F622</f>
        <v>1</v>
      </c>
      <c r="N622" s="3">
        <f>Raw_Production!K622</f>
        <v>4378</v>
      </c>
      <c r="O622" s="3">
        <f>Raw_Production!H622</f>
        <v>7.7</v>
      </c>
      <c r="P622" s="3">
        <f>Raw_Production!E622</f>
        <v>24</v>
      </c>
    </row>
    <row r="623" spans="1:16" x14ac:dyDescent="0.3">
      <c r="A623" s="4">
        <f>Raw_Production!A623</f>
        <v>46130</v>
      </c>
      <c r="B623" s="3" t="str">
        <f>Raw_Production!C623</f>
        <v>Sewing</v>
      </c>
      <c r="C623" s="3" t="str">
        <f>Raw_Production!D623</f>
        <v>T03</v>
      </c>
      <c r="D623" s="3" t="str">
        <f>Raw_Production!P623</f>
        <v>ST-106</v>
      </c>
      <c r="E623" s="3" t="str">
        <f>Raw_Production!O623</f>
        <v>T-Shirt</v>
      </c>
      <c r="F623" s="6">
        <f>Raw_Production!G623</f>
        <v>0.82</v>
      </c>
      <c r="G623" s="6">
        <f>Raw_Production!N623</f>
        <v>0.72</v>
      </c>
      <c r="H623" s="6">
        <f t="shared" si="9"/>
        <v>-9.9999999999999978E-2</v>
      </c>
      <c r="I623" s="3">
        <f>Raw_Production!I623</f>
        <v>67</v>
      </c>
      <c r="J623" s="3">
        <f>Raw_Production!J623</f>
        <v>20</v>
      </c>
      <c r="K623" s="3">
        <f>Raw_Production!L623</f>
        <v>112</v>
      </c>
      <c r="L623" s="3">
        <f>Raw_Production!M623</f>
        <v>4</v>
      </c>
      <c r="M623" s="3">
        <f>Raw_Production!F623</f>
        <v>0</v>
      </c>
      <c r="N623" s="3">
        <f>Raw_Production!K623</f>
        <v>1464</v>
      </c>
      <c r="O623" s="3">
        <f>Raw_Production!H623</f>
        <v>7.8</v>
      </c>
      <c r="P623" s="3">
        <f>Raw_Production!E623</f>
        <v>21</v>
      </c>
    </row>
    <row r="624" spans="1:16" x14ac:dyDescent="0.3">
      <c r="A624" s="4">
        <f>Raw_Production!A624</f>
        <v>46130</v>
      </c>
      <c r="B624" s="3" t="str">
        <f>Raw_Production!C624</f>
        <v>Finishing</v>
      </c>
      <c r="C624" s="3" t="str">
        <f>Raw_Production!D624</f>
        <v>T04</v>
      </c>
      <c r="D624" s="3" t="str">
        <f>Raw_Production!P624</f>
        <v>ST-106</v>
      </c>
      <c r="E624" s="3" t="str">
        <f>Raw_Production!O624</f>
        <v>T-Shirt</v>
      </c>
      <c r="F624" s="6">
        <f>Raw_Production!G624</f>
        <v>0.72</v>
      </c>
      <c r="G624" s="6">
        <f>Raw_Production!N624</f>
        <v>0.56000000000000005</v>
      </c>
      <c r="H624" s="6">
        <f t="shared" si="9"/>
        <v>-0.15999999999999992</v>
      </c>
      <c r="I624" s="3">
        <f>Raw_Production!I624</f>
        <v>386</v>
      </c>
      <c r="J624" s="3">
        <f>Raw_Production!J624</f>
        <v>140</v>
      </c>
      <c r="K624" s="3">
        <f>Raw_Production!L624</f>
        <v>116</v>
      </c>
      <c r="L624" s="3">
        <f>Raw_Production!M624</f>
        <v>5</v>
      </c>
      <c r="M624" s="3">
        <f>Raw_Production!F624</f>
        <v>3</v>
      </c>
      <c r="N624" s="3">
        <f>Raw_Production!K624</f>
        <v>2632</v>
      </c>
      <c r="O624" s="3">
        <f>Raw_Production!H624</f>
        <v>13.1</v>
      </c>
      <c r="P624" s="3">
        <f>Raw_Production!E624</f>
        <v>26</v>
      </c>
    </row>
    <row r="625" spans="1:16" x14ac:dyDescent="0.3">
      <c r="A625" s="4">
        <f>Raw_Production!A625</f>
        <v>46130</v>
      </c>
      <c r="B625" s="3" t="str">
        <f>Raw_Production!C625</f>
        <v>Finishing</v>
      </c>
      <c r="C625" s="3" t="str">
        <f>Raw_Production!D625</f>
        <v>T05</v>
      </c>
      <c r="D625" s="3" t="str">
        <f>Raw_Production!P625</f>
        <v>ST-102</v>
      </c>
      <c r="E625" s="3" t="str">
        <f>Raw_Production!O625</f>
        <v>Polo</v>
      </c>
      <c r="F625" s="6">
        <f>Raw_Production!G625</f>
        <v>0.88</v>
      </c>
      <c r="G625" s="6">
        <f>Raw_Production!N625</f>
        <v>0.71</v>
      </c>
      <c r="H625" s="6">
        <f t="shared" si="9"/>
        <v>-0.17000000000000004</v>
      </c>
      <c r="I625" s="3">
        <f>Raw_Production!I625</f>
        <v>158</v>
      </c>
      <c r="J625" s="3">
        <f>Raw_Production!J625</f>
        <v>107</v>
      </c>
      <c r="K625" s="3">
        <f>Raw_Production!L625</f>
        <v>55</v>
      </c>
      <c r="L625" s="3">
        <f>Raw_Production!M625</f>
        <v>9</v>
      </c>
      <c r="M625" s="3">
        <f>Raw_Production!F625</f>
        <v>3</v>
      </c>
      <c r="N625" s="3">
        <f>Raw_Production!K625</f>
        <v>3478</v>
      </c>
      <c r="O625" s="3">
        <f>Raw_Production!H625</f>
        <v>13</v>
      </c>
      <c r="P625" s="3">
        <f>Raw_Production!E625</f>
        <v>36</v>
      </c>
    </row>
    <row r="626" spans="1:16" x14ac:dyDescent="0.3">
      <c r="A626" s="4">
        <f>Raw_Production!A626</f>
        <v>46131</v>
      </c>
      <c r="B626" s="3" t="str">
        <f>Raw_Production!C626</f>
        <v>Cutting</v>
      </c>
      <c r="C626" s="3" t="str">
        <f>Raw_Production!D626</f>
        <v>T01</v>
      </c>
      <c r="D626" s="3" t="str">
        <f>Raw_Production!P626</f>
        <v>ST-105</v>
      </c>
      <c r="E626" s="3" t="str">
        <f>Raw_Production!O626</f>
        <v>Jacket</v>
      </c>
      <c r="F626" s="6">
        <f>Raw_Production!G626</f>
        <v>0.85</v>
      </c>
      <c r="G626" s="6">
        <f>Raw_Production!N626</f>
        <v>0.88</v>
      </c>
      <c r="H626" s="6">
        <f t="shared" si="9"/>
        <v>3.0000000000000027E-2</v>
      </c>
      <c r="I626" s="3">
        <f>Raw_Production!I626</f>
        <v>409</v>
      </c>
      <c r="J626" s="3">
        <f>Raw_Production!J626</f>
        <v>55</v>
      </c>
      <c r="K626" s="3">
        <f>Raw_Production!L626</f>
        <v>120</v>
      </c>
      <c r="L626" s="3">
        <f>Raw_Production!M626</f>
        <v>5</v>
      </c>
      <c r="M626" s="3">
        <f>Raw_Production!F626</f>
        <v>0</v>
      </c>
      <c r="N626" s="3">
        <f>Raw_Production!K626</f>
        <v>3678</v>
      </c>
      <c r="O626" s="3">
        <f>Raw_Production!H626</f>
        <v>13.7</v>
      </c>
      <c r="P626" s="3">
        <f>Raw_Production!E626</f>
        <v>25</v>
      </c>
    </row>
    <row r="627" spans="1:16" x14ac:dyDescent="0.3">
      <c r="A627" s="4">
        <f>Raw_Production!A627</f>
        <v>46131</v>
      </c>
      <c r="B627" s="3" t="str">
        <f>Raw_Production!C627</f>
        <v>Cutting</v>
      </c>
      <c r="C627" s="3" t="str">
        <f>Raw_Production!D627</f>
        <v>T06</v>
      </c>
      <c r="D627" s="3" t="str">
        <f>Raw_Production!P627</f>
        <v>ST-102</v>
      </c>
      <c r="E627" s="3" t="str">
        <f>Raw_Production!O627</f>
        <v>Polo</v>
      </c>
      <c r="F627" s="6">
        <f>Raw_Production!G627</f>
        <v>0.76</v>
      </c>
      <c r="G627" s="6">
        <f>Raw_Production!N627</f>
        <v>0.74</v>
      </c>
      <c r="H627" s="6">
        <f t="shared" si="9"/>
        <v>-2.0000000000000018E-2</v>
      </c>
      <c r="I627" s="3">
        <f>Raw_Production!I627</f>
        <v>240</v>
      </c>
      <c r="J627" s="3">
        <f>Raw_Production!J627</f>
        <v>38</v>
      </c>
      <c r="K627" s="3">
        <f>Raw_Production!L627</f>
        <v>65</v>
      </c>
      <c r="L627" s="3">
        <f>Raw_Production!M627</f>
        <v>1</v>
      </c>
      <c r="M627" s="3">
        <f>Raw_Production!F627</f>
        <v>0</v>
      </c>
      <c r="N627" s="3">
        <f>Raw_Production!K627</f>
        <v>2077</v>
      </c>
      <c r="O627" s="3">
        <f>Raw_Production!H627</f>
        <v>13.1</v>
      </c>
      <c r="P627" s="3">
        <f>Raw_Production!E627</f>
        <v>22</v>
      </c>
    </row>
    <row r="628" spans="1:16" x14ac:dyDescent="0.3">
      <c r="A628" s="4">
        <f>Raw_Production!A628</f>
        <v>46131</v>
      </c>
      <c r="B628" s="3" t="str">
        <f>Raw_Production!C628</f>
        <v>Sewing</v>
      </c>
      <c r="C628" s="3" t="str">
        <f>Raw_Production!D628</f>
        <v>T02</v>
      </c>
      <c r="D628" s="3" t="str">
        <f>Raw_Production!P628</f>
        <v>ST-104</v>
      </c>
      <c r="E628" s="3" t="str">
        <f>Raw_Production!O628</f>
        <v>Shirt</v>
      </c>
      <c r="F628" s="6">
        <f>Raw_Production!G628</f>
        <v>0.82</v>
      </c>
      <c r="G628" s="6">
        <f>Raw_Production!N628</f>
        <v>0.85</v>
      </c>
      <c r="H628" s="6">
        <f t="shared" si="9"/>
        <v>3.0000000000000027E-2</v>
      </c>
      <c r="I628" s="3">
        <f>Raw_Production!I628</f>
        <v>369</v>
      </c>
      <c r="J628" s="3">
        <f>Raw_Production!J628</f>
        <v>20</v>
      </c>
      <c r="K628" s="3">
        <f>Raw_Production!L628</f>
        <v>1</v>
      </c>
      <c r="L628" s="3">
        <f>Raw_Production!M628</f>
        <v>3</v>
      </c>
      <c r="M628" s="3">
        <f>Raw_Production!F628</f>
        <v>1</v>
      </c>
      <c r="N628" s="3">
        <f>Raw_Production!K628</f>
        <v>3948</v>
      </c>
      <c r="O628" s="3">
        <f>Raw_Production!H628</f>
        <v>14.4</v>
      </c>
      <c r="P628" s="3">
        <f>Raw_Production!E628</f>
        <v>31</v>
      </c>
    </row>
    <row r="629" spans="1:16" x14ac:dyDescent="0.3">
      <c r="A629" s="4">
        <f>Raw_Production!A629</f>
        <v>46131</v>
      </c>
      <c r="B629" s="3" t="str">
        <f>Raw_Production!C629</f>
        <v>Sewing</v>
      </c>
      <c r="C629" s="3" t="str">
        <f>Raw_Production!D629</f>
        <v>T03</v>
      </c>
      <c r="D629" s="3" t="str">
        <f>Raw_Production!P629</f>
        <v>ST-107</v>
      </c>
      <c r="E629" s="3" t="str">
        <f>Raw_Production!O629</f>
        <v>Polo</v>
      </c>
      <c r="F629" s="6">
        <f>Raw_Production!G629</f>
        <v>0.86</v>
      </c>
      <c r="G629" s="6">
        <f>Raw_Production!N629</f>
        <v>0.69</v>
      </c>
      <c r="H629" s="6">
        <f t="shared" si="9"/>
        <v>-0.17000000000000004</v>
      </c>
      <c r="I629" s="3">
        <f>Raw_Production!I629</f>
        <v>413</v>
      </c>
      <c r="J629" s="3">
        <f>Raw_Production!J629</f>
        <v>88</v>
      </c>
      <c r="K629" s="3">
        <f>Raw_Production!L629</f>
        <v>69</v>
      </c>
      <c r="L629" s="3">
        <f>Raw_Production!M629</f>
        <v>5</v>
      </c>
      <c r="M629" s="3">
        <f>Raw_Production!F629</f>
        <v>1</v>
      </c>
      <c r="N629" s="3">
        <f>Raw_Production!K629</f>
        <v>1437</v>
      </c>
      <c r="O629" s="3">
        <f>Raw_Production!H629</f>
        <v>16.2</v>
      </c>
      <c r="P629" s="3">
        <f>Raw_Production!E629</f>
        <v>20</v>
      </c>
    </row>
    <row r="630" spans="1:16" x14ac:dyDescent="0.3">
      <c r="A630" s="4">
        <f>Raw_Production!A630</f>
        <v>46131</v>
      </c>
      <c r="B630" s="3" t="str">
        <f>Raw_Production!C630</f>
        <v>Finishing</v>
      </c>
      <c r="C630" s="3" t="str">
        <f>Raw_Production!D630</f>
        <v>T04</v>
      </c>
      <c r="D630" s="3" t="str">
        <f>Raw_Production!P630</f>
        <v>ST-105</v>
      </c>
      <c r="E630" s="3" t="str">
        <f>Raw_Production!O630</f>
        <v>Jacket</v>
      </c>
      <c r="F630" s="6">
        <f>Raw_Production!G630</f>
        <v>0.88</v>
      </c>
      <c r="G630" s="6">
        <f>Raw_Production!N630</f>
        <v>0.81</v>
      </c>
      <c r="H630" s="6">
        <f t="shared" si="9"/>
        <v>-6.9999999999999951E-2</v>
      </c>
      <c r="I630" s="3">
        <f>Raw_Production!I630</f>
        <v>53</v>
      </c>
      <c r="J630" s="3">
        <f>Raw_Production!J630</f>
        <v>116</v>
      </c>
      <c r="K630" s="3">
        <f>Raw_Production!L630</f>
        <v>104</v>
      </c>
      <c r="L630" s="3">
        <f>Raw_Production!M630</f>
        <v>8</v>
      </c>
      <c r="M630" s="3">
        <f>Raw_Production!F630</f>
        <v>4</v>
      </c>
      <c r="N630" s="3">
        <f>Raw_Production!K630</f>
        <v>1080</v>
      </c>
      <c r="O630" s="3">
        <f>Raw_Production!H630</f>
        <v>10.3</v>
      </c>
      <c r="P630" s="3">
        <f>Raw_Production!E630</f>
        <v>38</v>
      </c>
    </row>
    <row r="631" spans="1:16" x14ac:dyDescent="0.3">
      <c r="A631" s="4">
        <f>Raw_Production!A631</f>
        <v>46131</v>
      </c>
      <c r="B631" s="3" t="str">
        <f>Raw_Production!C631</f>
        <v>Finishing</v>
      </c>
      <c r="C631" s="3" t="str">
        <f>Raw_Production!D631</f>
        <v>T05</v>
      </c>
      <c r="D631" s="3" t="str">
        <f>Raw_Production!P631</f>
        <v>ST-109</v>
      </c>
      <c r="E631" s="3" t="str">
        <f>Raw_Production!O631</f>
        <v>Shirt</v>
      </c>
      <c r="F631" s="6">
        <f>Raw_Production!G631</f>
        <v>0.81</v>
      </c>
      <c r="G631" s="6">
        <f>Raw_Production!N631</f>
        <v>0.71</v>
      </c>
      <c r="H631" s="6">
        <f t="shared" si="9"/>
        <v>-0.10000000000000009</v>
      </c>
      <c r="I631" s="3">
        <f>Raw_Production!I631</f>
        <v>98</v>
      </c>
      <c r="J631" s="3">
        <f>Raw_Production!J631</f>
        <v>36</v>
      </c>
      <c r="K631" s="3">
        <f>Raw_Production!L631</f>
        <v>75</v>
      </c>
      <c r="L631" s="3">
        <f>Raw_Production!M631</f>
        <v>2</v>
      </c>
      <c r="M631" s="3">
        <f>Raw_Production!F631</f>
        <v>2</v>
      </c>
      <c r="N631" s="3">
        <f>Raw_Production!K631</f>
        <v>3006</v>
      </c>
      <c r="O631" s="3">
        <f>Raw_Production!H631</f>
        <v>8</v>
      </c>
      <c r="P631" s="3">
        <f>Raw_Production!E631</f>
        <v>24</v>
      </c>
    </row>
    <row r="632" spans="1:16" x14ac:dyDescent="0.3">
      <c r="A632" s="4">
        <f>Raw_Production!A632</f>
        <v>46132</v>
      </c>
      <c r="B632" s="3" t="str">
        <f>Raw_Production!C632</f>
        <v>Cutting</v>
      </c>
      <c r="C632" s="3" t="str">
        <f>Raw_Production!D632</f>
        <v>T01</v>
      </c>
      <c r="D632" s="3" t="str">
        <f>Raw_Production!P632</f>
        <v>ST-104</v>
      </c>
      <c r="E632" s="3" t="str">
        <f>Raw_Production!O632</f>
        <v>Shirt</v>
      </c>
      <c r="F632" s="6">
        <f>Raw_Production!G632</f>
        <v>0.85</v>
      </c>
      <c r="G632" s="6">
        <f>Raw_Production!N632</f>
        <v>0.87</v>
      </c>
      <c r="H632" s="6">
        <f t="shared" si="9"/>
        <v>2.0000000000000018E-2</v>
      </c>
      <c r="I632" s="3">
        <f>Raw_Production!I632</f>
        <v>248</v>
      </c>
      <c r="J632" s="3">
        <f>Raw_Production!J632</f>
        <v>113</v>
      </c>
      <c r="K632" s="3">
        <f>Raw_Production!L632</f>
        <v>30</v>
      </c>
      <c r="L632" s="3">
        <f>Raw_Production!M632</f>
        <v>5</v>
      </c>
      <c r="M632" s="3">
        <f>Raw_Production!F632</f>
        <v>4</v>
      </c>
      <c r="N632" s="3">
        <f>Raw_Production!K632</f>
        <v>2319</v>
      </c>
      <c r="O632" s="3">
        <f>Raw_Production!H632</f>
        <v>10.5</v>
      </c>
      <c r="P632" s="3">
        <f>Raw_Production!E632</f>
        <v>29</v>
      </c>
    </row>
    <row r="633" spans="1:16" x14ac:dyDescent="0.3">
      <c r="A633" s="4">
        <f>Raw_Production!A633</f>
        <v>46132</v>
      </c>
      <c r="B633" s="3" t="str">
        <f>Raw_Production!C633</f>
        <v>Cutting</v>
      </c>
      <c r="C633" s="3" t="str">
        <f>Raw_Production!D633</f>
        <v>T06</v>
      </c>
      <c r="D633" s="3" t="str">
        <f>Raw_Production!P633</f>
        <v>ST-103</v>
      </c>
      <c r="E633" s="3" t="str">
        <f>Raw_Production!O633</f>
        <v>Hoodie</v>
      </c>
      <c r="F633" s="6">
        <f>Raw_Production!G633</f>
        <v>0.85</v>
      </c>
      <c r="G633" s="6">
        <f>Raw_Production!N633</f>
        <v>0.65</v>
      </c>
      <c r="H633" s="6">
        <f t="shared" si="9"/>
        <v>-0.19999999999999996</v>
      </c>
      <c r="I633" s="3">
        <f>Raw_Production!I633</f>
        <v>324</v>
      </c>
      <c r="J633" s="3">
        <f>Raw_Production!J633</f>
        <v>78</v>
      </c>
      <c r="K633" s="3">
        <f>Raw_Production!L633</f>
        <v>109</v>
      </c>
      <c r="L633" s="3">
        <f>Raw_Production!M633</f>
        <v>2</v>
      </c>
      <c r="M633" s="3">
        <f>Raw_Production!F633</f>
        <v>1</v>
      </c>
      <c r="N633" s="3">
        <f>Raw_Production!K633</f>
        <v>4499</v>
      </c>
      <c r="O633" s="3">
        <f>Raw_Production!H633</f>
        <v>16.600000000000001</v>
      </c>
      <c r="P633" s="3">
        <f>Raw_Production!E633</f>
        <v>31</v>
      </c>
    </row>
    <row r="634" spans="1:16" x14ac:dyDescent="0.3">
      <c r="A634" s="4">
        <f>Raw_Production!A634</f>
        <v>46132</v>
      </c>
      <c r="B634" s="3" t="str">
        <f>Raw_Production!C634</f>
        <v>Sewing</v>
      </c>
      <c r="C634" s="3" t="str">
        <f>Raw_Production!D634</f>
        <v>T02</v>
      </c>
      <c r="D634" s="3" t="str">
        <f>Raw_Production!P634</f>
        <v>ST-102</v>
      </c>
      <c r="E634" s="3" t="str">
        <f>Raw_Production!O634</f>
        <v>Polo</v>
      </c>
      <c r="F634" s="6">
        <f>Raw_Production!G634</f>
        <v>0.86</v>
      </c>
      <c r="G634" s="6">
        <f>Raw_Production!N634</f>
        <v>0.74</v>
      </c>
      <c r="H634" s="6">
        <f t="shared" si="9"/>
        <v>-0.12</v>
      </c>
      <c r="I634" s="3">
        <f>Raw_Production!I634</f>
        <v>170</v>
      </c>
      <c r="J634" s="3">
        <f>Raw_Production!J634</f>
        <v>117</v>
      </c>
      <c r="K634" s="3">
        <f>Raw_Production!L634</f>
        <v>99</v>
      </c>
      <c r="L634" s="3">
        <f>Raw_Production!M634</f>
        <v>4</v>
      </c>
      <c r="M634" s="3">
        <f>Raw_Production!F634</f>
        <v>1</v>
      </c>
      <c r="N634" s="3">
        <f>Raw_Production!K634</f>
        <v>2663</v>
      </c>
      <c r="O634" s="3">
        <f>Raw_Production!H634</f>
        <v>11</v>
      </c>
      <c r="P634" s="3">
        <f>Raw_Production!E634</f>
        <v>30</v>
      </c>
    </row>
    <row r="635" spans="1:16" x14ac:dyDescent="0.3">
      <c r="A635" s="4">
        <f>Raw_Production!A635</f>
        <v>46132</v>
      </c>
      <c r="B635" s="3" t="str">
        <f>Raw_Production!C635</f>
        <v>Sewing</v>
      </c>
      <c r="C635" s="3" t="str">
        <f>Raw_Production!D635</f>
        <v>T03</v>
      </c>
      <c r="D635" s="3" t="str">
        <f>Raw_Production!P635</f>
        <v>ST-109</v>
      </c>
      <c r="E635" s="3" t="str">
        <f>Raw_Production!O635</f>
        <v>Shirt</v>
      </c>
      <c r="F635" s="6">
        <f>Raw_Production!G635</f>
        <v>0.75</v>
      </c>
      <c r="G635" s="6">
        <f>Raw_Production!N635</f>
        <v>0.81</v>
      </c>
      <c r="H635" s="6">
        <f t="shared" si="9"/>
        <v>6.0000000000000053E-2</v>
      </c>
      <c r="I635" s="3">
        <f>Raw_Production!I635</f>
        <v>440</v>
      </c>
      <c r="J635" s="3">
        <f>Raw_Production!J635</f>
        <v>139</v>
      </c>
      <c r="K635" s="3">
        <f>Raw_Production!L635</f>
        <v>37</v>
      </c>
      <c r="L635" s="3">
        <f>Raw_Production!M635</f>
        <v>3</v>
      </c>
      <c r="M635" s="3">
        <f>Raw_Production!F635</f>
        <v>1</v>
      </c>
      <c r="N635" s="3">
        <f>Raw_Production!K635</f>
        <v>2406</v>
      </c>
      <c r="O635" s="3">
        <f>Raw_Production!H635</f>
        <v>11.7</v>
      </c>
      <c r="P635" s="3">
        <f>Raw_Production!E635</f>
        <v>32</v>
      </c>
    </row>
    <row r="636" spans="1:16" x14ac:dyDescent="0.3">
      <c r="A636" s="4">
        <f>Raw_Production!A636</f>
        <v>46132</v>
      </c>
      <c r="B636" s="3" t="str">
        <f>Raw_Production!C636</f>
        <v>Finishing</v>
      </c>
      <c r="C636" s="3" t="str">
        <f>Raw_Production!D636</f>
        <v>T04</v>
      </c>
      <c r="D636" s="3" t="str">
        <f>Raw_Production!P636</f>
        <v>ST-108</v>
      </c>
      <c r="E636" s="3" t="str">
        <f>Raw_Production!O636</f>
        <v>Hoodie</v>
      </c>
      <c r="F636" s="6">
        <f>Raw_Production!G636</f>
        <v>0.77</v>
      </c>
      <c r="G636" s="6">
        <f>Raw_Production!N636</f>
        <v>0.63</v>
      </c>
      <c r="H636" s="6">
        <f t="shared" si="9"/>
        <v>-0.14000000000000001</v>
      </c>
      <c r="I636" s="3">
        <f>Raw_Production!I636</f>
        <v>421</v>
      </c>
      <c r="J636" s="3">
        <f>Raw_Production!J636</f>
        <v>10</v>
      </c>
      <c r="K636" s="3">
        <f>Raw_Production!L636</f>
        <v>85</v>
      </c>
      <c r="L636" s="3">
        <f>Raw_Production!M636</f>
        <v>2</v>
      </c>
      <c r="M636" s="3">
        <f>Raw_Production!F636</f>
        <v>0</v>
      </c>
      <c r="N636" s="3">
        <f>Raw_Production!K636</f>
        <v>2972</v>
      </c>
      <c r="O636" s="3">
        <f>Raw_Production!H636</f>
        <v>10.3</v>
      </c>
      <c r="P636" s="3">
        <f>Raw_Production!E636</f>
        <v>24</v>
      </c>
    </row>
    <row r="637" spans="1:16" x14ac:dyDescent="0.3">
      <c r="A637" s="4">
        <f>Raw_Production!A637</f>
        <v>46132</v>
      </c>
      <c r="B637" s="3" t="str">
        <f>Raw_Production!C637</f>
        <v>Finishing</v>
      </c>
      <c r="C637" s="3" t="str">
        <f>Raw_Production!D637</f>
        <v>T05</v>
      </c>
      <c r="D637" s="3" t="str">
        <f>Raw_Production!P637</f>
        <v>ST-110</v>
      </c>
      <c r="E637" s="3" t="str">
        <f>Raw_Production!O637</f>
        <v>Jacket</v>
      </c>
      <c r="F637" s="6">
        <f>Raw_Production!G637</f>
        <v>0.75</v>
      </c>
      <c r="G637" s="6">
        <f>Raw_Production!N637</f>
        <v>0.6</v>
      </c>
      <c r="H637" s="6">
        <f t="shared" si="9"/>
        <v>-0.15000000000000002</v>
      </c>
      <c r="I637" s="3">
        <f>Raw_Production!I637</f>
        <v>56</v>
      </c>
      <c r="J637" s="3">
        <f>Raw_Production!J637</f>
        <v>44</v>
      </c>
      <c r="K637" s="3">
        <f>Raw_Production!L637</f>
        <v>79</v>
      </c>
      <c r="L637" s="3">
        <f>Raw_Production!M637</f>
        <v>5</v>
      </c>
      <c r="M637" s="3">
        <f>Raw_Production!F637</f>
        <v>0</v>
      </c>
      <c r="N637" s="3">
        <f>Raw_Production!K637</f>
        <v>3268</v>
      </c>
      <c r="O637" s="3">
        <f>Raw_Production!H637</f>
        <v>12.3</v>
      </c>
      <c r="P637" s="3">
        <f>Raw_Production!E637</f>
        <v>35</v>
      </c>
    </row>
    <row r="638" spans="1:16" x14ac:dyDescent="0.3">
      <c r="A638" s="4">
        <f>Raw_Production!A638</f>
        <v>46133</v>
      </c>
      <c r="B638" s="3" t="str">
        <f>Raw_Production!C638</f>
        <v>Cutting</v>
      </c>
      <c r="C638" s="3" t="str">
        <f>Raw_Production!D638</f>
        <v>T01</v>
      </c>
      <c r="D638" s="3" t="str">
        <f>Raw_Production!P638</f>
        <v>ST-106</v>
      </c>
      <c r="E638" s="3" t="str">
        <f>Raw_Production!O638</f>
        <v>T-Shirt</v>
      </c>
      <c r="F638" s="6">
        <f>Raw_Production!G638</f>
        <v>0.77</v>
      </c>
      <c r="G638" s="6">
        <f>Raw_Production!N638</f>
        <v>0.71</v>
      </c>
      <c r="H638" s="6">
        <f t="shared" si="9"/>
        <v>-6.0000000000000053E-2</v>
      </c>
      <c r="I638" s="3">
        <f>Raw_Production!I638</f>
        <v>262</v>
      </c>
      <c r="J638" s="3">
        <f>Raw_Production!J638</f>
        <v>93</v>
      </c>
      <c r="K638" s="3">
        <f>Raw_Production!L638</f>
        <v>61</v>
      </c>
      <c r="L638" s="3">
        <f>Raw_Production!M638</f>
        <v>8</v>
      </c>
      <c r="M638" s="3">
        <f>Raw_Production!F638</f>
        <v>0</v>
      </c>
      <c r="N638" s="3">
        <f>Raw_Production!K638</f>
        <v>3234</v>
      </c>
      <c r="O638" s="3">
        <f>Raw_Production!H638</f>
        <v>10.3</v>
      </c>
      <c r="P638" s="3">
        <f>Raw_Production!E638</f>
        <v>32</v>
      </c>
    </row>
    <row r="639" spans="1:16" x14ac:dyDescent="0.3">
      <c r="A639" s="4">
        <f>Raw_Production!A639</f>
        <v>46133</v>
      </c>
      <c r="B639" s="3" t="str">
        <f>Raw_Production!C639</f>
        <v>Cutting</v>
      </c>
      <c r="C639" s="3" t="str">
        <f>Raw_Production!D639</f>
        <v>T06</v>
      </c>
      <c r="D639" s="3" t="str">
        <f>Raw_Production!P639</f>
        <v>ST-102</v>
      </c>
      <c r="E639" s="3" t="str">
        <f>Raw_Production!O639</f>
        <v>Polo</v>
      </c>
      <c r="F639" s="6">
        <f>Raw_Production!G639</f>
        <v>0.75</v>
      </c>
      <c r="G639" s="6">
        <f>Raw_Production!N639</f>
        <v>0.72</v>
      </c>
      <c r="H639" s="6">
        <f t="shared" si="9"/>
        <v>-3.0000000000000027E-2</v>
      </c>
      <c r="I639" s="3">
        <f>Raw_Production!I639</f>
        <v>139</v>
      </c>
      <c r="J639" s="3">
        <f>Raw_Production!J639</f>
        <v>68</v>
      </c>
      <c r="K639" s="3">
        <f>Raw_Production!L639</f>
        <v>46</v>
      </c>
      <c r="L639" s="3">
        <f>Raw_Production!M639</f>
        <v>6</v>
      </c>
      <c r="M639" s="3">
        <f>Raw_Production!F639</f>
        <v>0</v>
      </c>
      <c r="N639" s="3">
        <f>Raw_Production!K639</f>
        <v>1718</v>
      </c>
      <c r="O639" s="3">
        <f>Raw_Production!H639</f>
        <v>16.600000000000001</v>
      </c>
      <c r="P639" s="3">
        <f>Raw_Production!E639</f>
        <v>34</v>
      </c>
    </row>
    <row r="640" spans="1:16" x14ac:dyDescent="0.3">
      <c r="A640" s="4">
        <f>Raw_Production!A640</f>
        <v>46133</v>
      </c>
      <c r="B640" s="3" t="str">
        <f>Raw_Production!C640</f>
        <v>Sewing</v>
      </c>
      <c r="C640" s="3" t="str">
        <f>Raw_Production!D640</f>
        <v>T02</v>
      </c>
      <c r="D640" s="3" t="str">
        <f>Raw_Production!P640</f>
        <v>ST-103</v>
      </c>
      <c r="E640" s="3" t="str">
        <f>Raw_Production!O640</f>
        <v>Hoodie</v>
      </c>
      <c r="F640" s="6">
        <f>Raw_Production!G640</f>
        <v>0.83</v>
      </c>
      <c r="G640" s="6">
        <f>Raw_Production!N640</f>
        <v>0.87</v>
      </c>
      <c r="H640" s="6">
        <f t="shared" si="9"/>
        <v>4.0000000000000036E-2</v>
      </c>
      <c r="I640" s="3">
        <f>Raw_Production!I640</f>
        <v>143</v>
      </c>
      <c r="J640" s="3">
        <f>Raw_Production!J640</f>
        <v>128</v>
      </c>
      <c r="K640" s="3">
        <f>Raw_Production!L640</f>
        <v>90</v>
      </c>
      <c r="L640" s="3">
        <f>Raw_Production!M640</f>
        <v>1</v>
      </c>
      <c r="M640" s="3">
        <f>Raw_Production!F640</f>
        <v>0</v>
      </c>
      <c r="N640" s="3">
        <f>Raw_Production!K640</f>
        <v>896</v>
      </c>
      <c r="O640" s="3">
        <f>Raw_Production!H640</f>
        <v>12.2</v>
      </c>
      <c r="P640" s="3">
        <f>Raw_Production!E640</f>
        <v>34</v>
      </c>
    </row>
    <row r="641" spans="1:16" x14ac:dyDescent="0.3">
      <c r="A641" s="4">
        <f>Raw_Production!A641</f>
        <v>46133</v>
      </c>
      <c r="B641" s="3" t="str">
        <f>Raw_Production!C641</f>
        <v>Sewing</v>
      </c>
      <c r="C641" s="3" t="str">
        <f>Raw_Production!D641</f>
        <v>T03</v>
      </c>
      <c r="D641" s="3" t="str">
        <f>Raw_Production!P641</f>
        <v>ST-102</v>
      </c>
      <c r="E641" s="3" t="str">
        <f>Raw_Production!O641</f>
        <v>Polo</v>
      </c>
      <c r="F641" s="6">
        <f>Raw_Production!G641</f>
        <v>0.8</v>
      </c>
      <c r="G641" s="6">
        <f>Raw_Production!N641</f>
        <v>0.82</v>
      </c>
      <c r="H641" s="6">
        <f t="shared" si="9"/>
        <v>1.9999999999999907E-2</v>
      </c>
      <c r="I641" s="3">
        <f>Raw_Production!I641</f>
        <v>316</v>
      </c>
      <c r="J641" s="3">
        <f>Raw_Production!J641</f>
        <v>35</v>
      </c>
      <c r="K641" s="3">
        <f>Raw_Production!L641</f>
        <v>91</v>
      </c>
      <c r="L641" s="3">
        <f>Raw_Production!M641</f>
        <v>7</v>
      </c>
      <c r="M641" s="3">
        <f>Raw_Production!F641</f>
        <v>0</v>
      </c>
      <c r="N641" s="3">
        <f>Raw_Production!K641</f>
        <v>1733</v>
      </c>
      <c r="O641" s="3">
        <f>Raw_Production!H641</f>
        <v>18.2</v>
      </c>
      <c r="P641" s="3">
        <f>Raw_Production!E641</f>
        <v>36</v>
      </c>
    </row>
    <row r="642" spans="1:16" x14ac:dyDescent="0.3">
      <c r="A642" s="4">
        <f>Raw_Production!A642</f>
        <v>46133</v>
      </c>
      <c r="B642" s="3" t="str">
        <f>Raw_Production!C642</f>
        <v>Finishing</v>
      </c>
      <c r="C642" s="3" t="str">
        <f>Raw_Production!D642</f>
        <v>T04</v>
      </c>
      <c r="D642" s="3" t="str">
        <f>Raw_Production!P642</f>
        <v>ST-109</v>
      </c>
      <c r="E642" s="3" t="str">
        <f>Raw_Production!O642</f>
        <v>Shirt</v>
      </c>
      <c r="F642" s="6">
        <f>Raw_Production!G642</f>
        <v>0.89</v>
      </c>
      <c r="G642" s="6">
        <f>Raw_Production!N642</f>
        <v>0.93</v>
      </c>
      <c r="H642" s="6">
        <f t="shared" ref="H642:H705" si="10">G642-F642</f>
        <v>4.0000000000000036E-2</v>
      </c>
      <c r="I642" s="3">
        <f>Raw_Production!I642</f>
        <v>413</v>
      </c>
      <c r="J642" s="3">
        <f>Raw_Production!J642</f>
        <v>14</v>
      </c>
      <c r="K642" s="3">
        <f>Raw_Production!L642</f>
        <v>65</v>
      </c>
      <c r="L642" s="3">
        <f>Raw_Production!M642</f>
        <v>2</v>
      </c>
      <c r="M642" s="3">
        <f>Raw_Production!F642</f>
        <v>2</v>
      </c>
      <c r="N642" s="3">
        <f>Raw_Production!K642</f>
        <v>2760</v>
      </c>
      <c r="O642" s="3">
        <f>Raw_Production!H642</f>
        <v>17.2</v>
      </c>
      <c r="P642" s="3">
        <f>Raw_Production!E642</f>
        <v>32</v>
      </c>
    </row>
    <row r="643" spans="1:16" x14ac:dyDescent="0.3">
      <c r="A643" s="4">
        <f>Raw_Production!A643</f>
        <v>46133</v>
      </c>
      <c r="B643" s="3" t="str">
        <f>Raw_Production!C643</f>
        <v>Finishing</v>
      </c>
      <c r="C643" s="3" t="str">
        <f>Raw_Production!D643</f>
        <v>T05</v>
      </c>
      <c r="D643" s="3" t="str">
        <f>Raw_Production!P643</f>
        <v>ST-106</v>
      </c>
      <c r="E643" s="3" t="str">
        <f>Raw_Production!O643</f>
        <v>T-Shirt</v>
      </c>
      <c r="F643" s="6">
        <f>Raw_Production!G643</f>
        <v>0.84</v>
      </c>
      <c r="G643" s="6">
        <f>Raw_Production!N643</f>
        <v>0.74</v>
      </c>
      <c r="H643" s="6">
        <f t="shared" si="10"/>
        <v>-9.9999999999999978E-2</v>
      </c>
      <c r="I643" s="3">
        <f>Raw_Production!I643</f>
        <v>396</v>
      </c>
      <c r="J643" s="3">
        <f>Raw_Production!J643</f>
        <v>3</v>
      </c>
      <c r="K643" s="3">
        <f>Raw_Production!L643</f>
        <v>30</v>
      </c>
      <c r="L643" s="3">
        <f>Raw_Production!M643</f>
        <v>6</v>
      </c>
      <c r="M643" s="3">
        <f>Raw_Production!F643</f>
        <v>0</v>
      </c>
      <c r="N643" s="3">
        <f>Raw_Production!K643</f>
        <v>2341</v>
      </c>
      <c r="O643" s="3">
        <f>Raw_Production!H643</f>
        <v>7.8</v>
      </c>
      <c r="P643" s="3">
        <f>Raw_Production!E643</f>
        <v>27</v>
      </c>
    </row>
    <row r="644" spans="1:16" x14ac:dyDescent="0.3">
      <c r="A644" s="4">
        <f>Raw_Production!A644</f>
        <v>46134</v>
      </c>
      <c r="B644" s="3" t="str">
        <f>Raw_Production!C644</f>
        <v>Cutting</v>
      </c>
      <c r="C644" s="3" t="str">
        <f>Raw_Production!D644</f>
        <v>T01</v>
      </c>
      <c r="D644" s="3" t="str">
        <f>Raw_Production!P644</f>
        <v>ST-101</v>
      </c>
      <c r="E644" s="3" t="str">
        <f>Raw_Production!O644</f>
        <v>T-Shirt</v>
      </c>
      <c r="F644" s="6">
        <f>Raw_Production!G644</f>
        <v>0.82</v>
      </c>
      <c r="G644" s="6">
        <f>Raw_Production!N644</f>
        <v>0.68</v>
      </c>
      <c r="H644" s="6">
        <f t="shared" si="10"/>
        <v>-0.1399999999999999</v>
      </c>
      <c r="I644" s="3">
        <f>Raw_Production!I644</f>
        <v>269</v>
      </c>
      <c r="J644" s="3">
        <f>Raw_Production!J644</f>
        <v>16</v>
      </c>
      <c r="K644" s="3">
        <f>Raw_Production!L644</f>
        <v>87</v>
      </c>
      <c r="L644" s="3">
        <f>Raw_Production!M644</f>
        <v>3</v>
      </c>
      <c r="M644" s="3">
        <f>Raw_Production!F644</f>
        <v>0</v>
      </c>
      <c r="N644" s="3">
        <f>Raw_Production!K644</f>
        <v>2607</v>
      </c>
      <c r="O644" s="3">
        <f>Raw_Production!H644</f>
        <v>8</v>
      </c>
      <c r="P644" s="3">
        <f>Raw_Production!E644</f>
        <v>24</v>
      </c>
    </row>
    <row r="645" spans="1:16" x14ac:dyDescent="0.3">
      <c r="A645" s="4">
        <f>Raw_Production!A645</f>
        <v>46134</v>
      </c>
      <c r="B645" s="3" t="str">
        <f>Raw_Production!C645</f>
        <v>Cutting</v>
      </c>
      <c r="C645" s="3" t="str">
        <f>Raw_Production!D645</f>
        <v>T06</v>
      </c>
      <c r="D645" s="3" t="str">
        <f>Raw_Production!P645</f>
        <v>ST-103</v>
      </c>
      <c r="E645" s="3" t="str">
        <f>Raw_Production!O645</f>
        <v>Hoodie</v>
      </c>
      <c r="F645" s="6">
        <f>Raw_Production!G645</f>
        <v>0.74</v>
      </c>
      <c r="G645" s="6">
        <f>Raw_Production!N645</f>
        <v>0.57999999999999996</v>
      </c>
      <c r="H645" s="6">
        <f t="shared" si="10"/>
        <v>-0.16000000000000003</v>
      </c>
      <c r="I645" s="3">
        <f>Raw_Production!I645</f>
        <v>404</v>
      </c>
      <c r="J645" s="3">
        <f>Raw_Production!J645</f>
        <v>140</v>
      </c>
      <c r="K645" s="3">
        <f>Raw_Production!L645</f>
        <v>35</v>
      </c>
      <c r="L645" s="3">
        <f>Raw_Production!M645</f>
        <v>6</v>
      </c>
      <c r="M645" s="3">
        <f>Raw_Production!F645</f>
        <v>0</v>
      </c>
      <c r="N645" s="3">
        <f>Raw_Production!K645</f>
        <v>2860</v>
      </c>
      <c r="O645" s="3">
        <f>Raw_Production!H645</f>
        <v>16.3</v>
      </c>
      <c r="P645" s="3">
        <f>Raw_Production!E645</f>
        <v>27</v>
      </c>
    </row>
    <row r="646" spans="1:16" x14ac:dyDescent="0.3">
      <c r="A646" s="4">
        <f>Raw_Production!A646</f>
        <v>46134</v>
      </c>
      <c r="B646" s="3" t="str">
        <f>Raw_Production!C646</f>
        <v>Sewing</v>
      </c>
      <c r="C646" s="3" t="str">
        <f>Raw_Production!D646</f>
        <v>T02</v>
      </c>
      <c r="D646" s="3" t="str">
        <f>Raw_Production!P646</f>
        <v>ST-109</v>
      </c>
      <c r="E646" s="3" t="str">
        <f>Raw_Production!O646</f>
        <v>Shirt</v>
      </c>
      <c r="F646" s="6">
        <f>Raw_Production!G646</f>
        <v>0.89</v>
      </c>
      <c r="G646" s="6">
        <f>Raw_Production!N646</f>
        <v>0.73</v>
      </c>
      <c r="H646" s="6">
        <f t="shared" si="10"/>
        <v>-0.16000000000000003</v>
      </c>
      <c r="I646" s="3">
        <f>Raw_Production!I646</f>
        <v>31</v>
      </c>
      <c r="J646" s="3">
        <f>Raw_Production!J646</f>
        <v>103</v>
      </c>
      <c r="K646" s="3">
        <f>Raw_Production!L646</f>
        <v>97</v>
      </c>
      <c r="L646" s="3">
        <f>Raw_Production!M646</f>
        <v>3</v>
      </c>
      <c r="M646" s="3">
        <f>Raw_Production!F646</f>
        <v>0</v>
      </c>
      <c r="N646" s="3">
        <f>Raw_Production!K646</f>
        <v>545</v>
      </c>
      <c r="O646" s="3">
        <f>Raw_Production!H646</f>
        <v>11.8</v>
      </c>
      <c r="P646" s="3">
        <f>Raw_Production!E646</f>
        <v>31</v>
      </c>
    </row>
    <row r="647" spans="1:16" x14ac:dyDescent="0.3">
      <c r="A647" s="4">
        <f>Raw_Production!A647</f>
        <v>46134</v>
      </c>
      <c r="B647" s="3" t="str">
        <f>Raw_Production!C647</f>
        <v>Sewing</v>
      </c>
      <c r="C647" s="3" t="str">
        <f>Raw_Production!D647</f>
        <v>T03</v>
      </c>
      <c r="D647" s="3" t="str">
        <f>Raw_Production!P647</f>
        <v>ST-108</v>
      </c>
      <c r="E647" s="3" t="str">
        <f>Raw_Production!O647</f>
        <v>Hoodie</v>
      </c>
      <c r="F647" s="6">
        <f>Raw_Production!G647</f>
        <v>0.86</v>
      </c>
      <c r="G647" s="6">
        <f>Raw_Production!N647</f>
        <v>0.7</v>
      </c>
      <c r="H647" s="6">
        <f t="shared" si="10"/>
        <v>-0.16000000000000003</v>
      </c>
      <c r="I647" s="3">
        <f>Raw_Production!I647</f>
        <v>374</v>
      </c>
      <c r="J647" s="3">
        <f>Raw_Production!J647</f>
        <v>92</v>
      </c>
      <c r="K647" s="3">
        <f>Raw_Production!L647</f>
        <v>109</v>
      </c>
      <c r="L647" s="3">
        <f>Raw_Production!M647</f>
        <v>1</v>
      </c>
      <c r="M647" s="3">
        <f>Raw_Production!F647</f>
        <v>0</v>
      </c>
      <c r="N647" s="3">
        <f>Raw_Production!K647</f>
        <v>2669</v>
      </c>
      <c r="O647" s="3">
        <f>Raw_Production!H647</f>
        <v>14.5</v>
      </c>
      <c r="P647" s="3">
        <f>Raw_Production!E647</f>
        <v>30</v>
      </c>
    </row>
    <row r="648" spans="1:16" x14ac:dyDescent="0.3">
      <c r="A648" s="4">
        <f>Raw_Production!A648</f>
        <v>46134</v>
      </c>
      <c r="B648" s="3" t="str">
        <f>Raw_Production!C648</f>
        <v>Finishing</v>
      </c>
      <c r="C648" s="3" t="str">
        <f>Raw_Production!D648</f>
        <v>T04</v>
      </c>
      <c r="D648" s="3" t="str">
        <f>Raw_Production!P648</f>
        <v>ST-102</v>
      </c>
      <c r="E648" s="3" t="str">
        <f>Raw_Production!O648</f>
        <v>Polo</v>
      </c>
      <c r="F648" s="6">
        <f>Raw_Production!G648</f>
        <v>0.78</v>
      </c>
      <c r="G648" s="6">
        <f>Raw_Production!N648</f>
        <v>0.64</v>
      </c>
      <c r="H648" s="6">
        <f t="shared" si="10"/>
        <v>-0.14000000000000001</v>
      </c>
      <c r="I648" s="3">
        <f>Raw_Production!I648</f>
        <v>197</v>
      </c>
      <c r="J648" s="3">
        <f>Raw_Production!J648</f>
        <v>23</v>
      </c>
      <c r="K648" s="3">
        <f>Raw_Production!L648</f>
        <v>81</v>
      </c>
      <c r="L648" s="3">
        <f>Raw_Production!M648</f>
        <v>5</v>
      </c>
      <c r="M648" s="3">
        <f>Raw_Production!F648</f>
        <v>0</v>
      </c>
      <c r="N648" s="3">
        <f>Raw_Production!K648</f>
        <v>3366</v>
      </c>
      <c r="O648" s="3">
        <f>Raw_Production!H648</f>
        <v>9.1</v>
      </c>
      <c r="P648" s="3">
        <f>Raw_Production!E648</f>
        <v>30</v>
      </c>
    </row>
    <row r="649" spans="1:16" x14ac:dyDescent="0.3">
      <c r="A649" s="4">
        <f>Raw_Production!A649</f>
        <v>46134</v>
      </c>
      <c r="B649" s="3" t="str">
        <f>Raw_Production!C649</f>
        <v>Finishing</v>
      </c>
      <c r="C649" s="3" t="str">
        <f>Raw_Production!D649</f>
        <v>T05</v>
      </c>
      <c r="D649" s="3" t="str">
        <f>Raw_Production!P649</f>
        <v>ST-107</v>
      </c>
      <c r="E649" s="3" t="str">
        <f>Raw_Production!O649</f>
        <v>Polo</v>
      </c>
      <c r="F649" s="6">
        <f>Raw_Production!G649</f>
        <v>0.73</v>
      </c>
      <c r="G649" s="6">
        <f>Raw_Production!N649</f>
        <v>0.71</v>
      </c>
      <c r="H649" s="6">
        <f t="shared" si="10"/>
        <v>-2.0000000000000018E-2</v>
      </c>
      <c r="I649" s="3">
        <f>Raw_Production!I649</f>
        <v>330</v>
      </c>
      <c r="J649" s="3">
        <f>Raw_Production!J649</f>
        <v>123</v>
      </c>
      <c r="K649" s="3">
        <f>Raw_Production!L649</f>
        <v>1</v>
      </c>
      <c r="L649" s="3">
        <f>Raw_Production!M649</f>
        <v>0</v>
      </c>
      <c r="M649" s="3">
        <f>Raw_Production!F649</f>
        <v>0</v>
      </c>
      <c r="N649" s="3">
        <f>Raw_Production!K649</f>
        <v>1487</v>
      </c>
      <c r="O649" s="3">
        <f>Raw_Production!H649</f>
        <v>16.399999999999999</v>
      </c>
      <c r="P649" s="3">
        <f>Raw_Production!E649</f>
        <v>23</v>
      </c>
    </row>
    <row r="650" spans="1:16" x14ac:dyDescent="0.3">
      <c r="A650" s="4">
        <f>Raw_Production!A650</f>
        <v>46135</v>
      </c>
      <c r="B650" s="3" t="str">
        <f>Raw_Production!C650</f>
        <v>Cutting</v>
      </c>
      <c r="C650" s="3" t="str">
        <f>Raw_Production!D650</f>
        <v>T01</v>
      </c>
      <c r="D650" s="3" t="str">
        <f>Raw_Production!P650</f>
        <v>ST-110</v>
      </c>
      <c r="E650" s="3" t="str">
        <f>Raw_Production!O650</f>
        <v>Jacket</v>
      </c>
      <c r="F650" s="6">
        <f>Raw_Production!G650</f>
        <v>0.77</v>
      </c>
      <c r="G650" s="6">
        <f>Raw_Production!N650</f>
        <v>0.7</v>
      </c>
      <c r="H650" s="6">
        <f t="shared" si="10"/>
        <v>-7.0000000000000062E-2</v>
      </c>
      <c r="I650" s="3">
        <f>Raw_Production!I650</f>
        <v>222</v>
      </c>
      <c r="J650" s="3">
        <f>Raw_Production!J650</f>
        <v>48</v>
      </c>
      <c r="K650" s="3">
        <f>Raw_Production!L650</f>
        <v>101</v>
      </c>
      <c r="L650" s="3">
        <f>Raw_Production!M650</f>
        <v>7</v>
      </c>
      <c r="M650" s="3">
        <f>Raw_Production!F650</f>
        <v>2</v>
      </c>
      <c r="N650" s="3">
        <f>Raw_Production!K650</f>
        <v>3210</v>
      </c>
      <c r="O650" s="3">
        <f>Raw_Production!H650</f>
        <v>8.3000000000000007</v>
      </c>
      <c r="P650" s="3">
        <f>Raw_Production!E650</f>
        <v>37</v>
      </c>
    </row>
    <row r="651" spans="1:16" x14ac:dyDescent="0.3">
      <c r="A651" s="4">
        <f>Raw_Production!A651</f>
        <v>46135</v>
      </c>
      <c r="B651" s="3" t="str">
        <f>Raw_Production!C651</f>
        <v>Cutting</v>
      </c>
      <c r="C651" s="3" t="str">
        <f>Raw_Production!D651</f>
        <v>T06</v>
      </c>
      <c r="D651" s="3" t="str">
        <f>Raw_Production!P651</f>
        <v>ST-104</v>
      </c>
      <c r="E651" s="3" t="str">
        <f>Raw_Production!O651</f>
        <v>Shirt</v>
      </c>
      <c r="F651" s="6">
        <f>Raw_Production!G651</f>
        <v>0.75</v>
      </c>
      <c r="G651" s="6">
        <f>Raw_Production!N651</f>
        <v>0.64</v>
      </c>
      <c r="H651" s="6">
        <f t="shared" si="10"/>
        <v>-0.10999999999999999</v>
      </c>
      <c r="I651" s="3">
        <f>Raw_Production!I651</f>
        <v>88</v>
      </c>
      <c r="J651" s="3">
        <f>Raw_Production!J651</f>
        <v>145</v>
      </c>
      <c r="K651" s="3">
        <f>Raw_Production!L651</f>
        <v>73</v>
      </c>
      <c r="L651" s="3">
        <f>Raw_Production!M651</f>
        <v>0</v>
      </c>
      <c r="M651" s="3">
        <f>Raw_Production!F651</f>
        <v>2</v>
      </c>
      <c r="N651" s="3">
        <f>Raw_Production!K651</f>
        <v>1071</v>
      </c>
      <c r="O651" s="3">
        <f>Raw_Production!H651</f>
        <v>14.2</v>
      </c>
      <c r="P651" s="3">
        <f>Raw_Production!E651</f>
        <v>32</v>
      </c>
    </row>
    <row r="652" spans="1:16" x14ac:dyDescent="0.3">
      <c r="A652" s="4">
        <f>Raw_Production!A652</f>
        <v>46135</v>
      </c>
      <c r="B652" s="3" t="str">
        <f>Raw_Production!C652</f>
        <v>Sewing</v>
      </c>
      <c r="C652" s="3" t="str">
        <f>Raw_Production!D652</f>
        <v>T02</v>
      </c>
      <c r="D652" s="3" t="str">
        <f>Raw_Production!P652</f>
        <v>ST-102</v>
      </c>
      <c r="E652" s="3" t="str">
        <f>Raw_Production!O652</f>
        <v>Polo</v>
      </c>
      <c r="F652" s="6">
        <f>Raw_Production!G652</f>
        <v>0.81</v>
      </c>
      <c r="G652" s="6">
        <f>Raw_Production!N652</f>
        <v>0.68</v>
      </c>
      <c r="H652" s="6">
        <f t="shared" si="10"/>
        <v>-0.13</v>
      </c>
      <c r="I652" s="3">
        <f>Raw_Production!I652</f>
        <v>32</v>
      </c>
      <c r="J652" s="3">
        <f>Raw_Production!J652</f>
        <v>117</v>
      </c>
      <c r="K652" s="3">
        <f>Raw_Production!L652</f>
        <v>4</v>
      </c>
      <c r="L652" s="3">
        <f>Raw_Production!M652</f>
        <v>5</v>
      </c>
      <c r="M652" s="3">
        <f>Raw_Production!F652</f>
        <v>0</v>
      </c>
      <c r="N652" s="3">
        <f>Raw_Production!K652</f>
        <v>2072</v>
      </c>
      <c r="O652" s="3">
        <f>Raw_Production!H652</f>
        <v>18.3</v>
      </c>
      <c r="P652" s="3">
        <f>Raw_Production!E652</f>
        <v>28</v>
      </c>
    </row>
    <row r="653" spans="1:16" x14ac:dyDescent="0.3">
      <c r="A653" s="4">
        <f>Raw_Production!A653</f>
        <v>46135</v>
      </c>
      <c r="B653" s="3" t="str">
        <f>Raw_Production!C653</f>
        <v>Sewing</v>
      </c>
      <c r="C653" s="3" t="str">
        <f>Raw_Production!D653</f>
        <v>T03</v>
      </c>
      <c r="D653" s="3" t="str">
        <f>Raw_Production!P653</f>
        <v>ST-102</v>
      </c>
      <c r="E653" s="3" t="str">
        <f>Raw_Production!O653</f>
        <v>Polo</v>
      </c>
      <c r="F653" s="6">
        <f>Raw_Production!G653</f>
        <v>0.86</v>
      </c>
      <c r="G653" s="6">
        <f>Raw_Production!N653</f>
        <v>0.82</v>
      </c>
      <c r="H653" s="6">
        <f t="shared" si="10"/>
        <v>-4.0000000000000036E-2</v>
      </c>
      <c r="I653" s="3">
        <f>Raw_Production!I653</f>
        <v>177</v>
      </c>
      <c r="J653" s="3">
        <f>Raw_Production!J653</f>
        <v>139</v>
      </c>
      <c r="K653" s="3">
        <f>Raw_Production!L653</f>
        <v>70</v>
      </c>
      <c r="L653" s="3">
        <f>Raw_Production!M653</f>
        <v>5</v>
      </c>
      <c r="M653" s="3">
        <f>Raw_Production!F653</f>
        <v>2</v>
      </c>
      <c r="N653" s="3">
        <f>Raw_Production!K653</f>
        <v>640</v>
      </c>
      <c r="O653" s="3">
        <f>Raw_Production!H653</f>
        <v>17.2</v>
      </c>
      <c r="P653" s="3">
        <f>Raw_Production!E653</f>
        <v>30</v>
      </c>
    </row>
    <row r="654" spans="1:16" x14ac:dyDescent="0.3">
      <c r="A654" s="4">
        <f>Raw_Production!A654</f>
        <v>46135</v>
      </c>
      <c r="B654" s="3" t="str">
        <f>Raw_Production!C654</f>
        <v>Finishing</v>
      </c>
      <c r="C654" s="3" t="str">
        <f>Raw_Production!D654</f>
        <v>T04</v>
      </c>
      <c r="D654" s="3" t="str">
        <f>Raw_Production!P654</f>
        <v>ST-103</v>
      </c>
      <c r="E654" s="3" t="str">
        <f>Raw_Production!O654</f>
        <v>Hoodie</v>
      </c>
      <c r="F654" s="6">
        <f>Raw_Production!G654</f>
        <v>0.87</v>
      </c>
      <c r="G654" s="6">
        <f>Raw_Production!N654</f>
        <v>0.88</v>
      </c>
      <c r="H654" s="6">
        <f t="shared" si="10"/>
        <v>1.0000000000000009E-2</v>
      </c>
      <c r="I654" s="3">
        <f>Raw_Production!I654</f>
        <v>115</v>
      </c>
      <c r="J654" s="3">
        <f>Raw_Production!J654</f>
        <v>70</v>
      </c>
      <c r="K654" s="3">
        <f>Raw_Production!L654</f>
        <v>96</v>
      </c>
      <c r="L654" s="3">
        <f>Raw_Production!M654</f>
        <v>4</v>
      </c>
      <c r="M654" s="3">
        <f>Raw_Production!F654</f>
        <v>0</v>
      </c>
      <c r="N654" s="3">
        <f>Raw_Production!K654</f>
        <v>3042</v>
      </c>
      <c r="O654" s="3">
        <f>Raw_Production!H654</f>
        <v>11.5</v>
      </c>
      <c r="P654" s="3">
        <f>Raw_Production!E654</f>
        <v>27</v>
      </c>
    </row>
    <row r="655" spans="1:16" x14ac:dyDescent="0.3">
      <c r="A655" s="4">
        <f>Raw_Production!A655</f>
        <v>46135</v>
      </c>
      <c r="B655" s="3" t="str">
        <f>Raw_Production!C655</f>
        <v>Finishing</v>
      </c>
      <c r="C655" s="3" t="str">
        <f>Raw_Production!D655</f>
        <v>T05</v>
      </c>
      <c r="D655" s="3" t="str">
        <f>Raw_Production!P655</f>
        <v>ST-105</v>
      </c>
      <c r="E655" s="3" t="str">
        <f>Raw_Production!O655</f>
        <v>Jacket</v>
      </c>
      <c r="F655" s="6">
        <f>Raw_Production!G655</f>
        <v>0.75</v>
      </c>
      <c r="G655" s="6">
        <f>Raw_Production!N655</f>
        <v>0.73</v>
      </c>
      <c r="H655" s="6">
        <f t="shared" si="10"/>
        <v>-2.0000000000000018E-2</v>
      </c>
      <c r="I655" s="3">
        <f>Raw_Production!I655</f>
        <v>339</v>
      </c>
      <c r="J655" s="3">
        <f>Raw_Production!J655</f>
        <v>30</v>
      </c>
      <c r="K655" s="3">
        <f>Raw_Production!L655</f>
        <v>76</v>
      </c>
      <c r="L655" s="3">
        <f>Raw_Production!M655</f>
        <v>1</v>
      </c>
      <c r="M655" s="3">
        <f>Raw_Production!F655</f>
        <v>0</v>
      </c>
      <c r="N655" s="3">
        <f>Raw_Production!K655</f>
        <v>499</v>
      </c>
      <c r="O655" s="3">
        <f>Raw_Production!H655</f>
        <v>13.6</v>
      </c>
      <c r="P655" s="3">
        <f>Raw_Production!E655</f>
        <v>24</v>
      </c>
    </row>
    <row r="656" spans="1:16" x14ac:dyDescent="0.3">
      <c r="A656" s="4">
        <f>Raw_Production!A656</f>
        <v>46136</v>
      </c>
      <c r="B656" s="3" t="str">
        <f>Raw_Production!C656</f>
        <v>Cutting</v>
      </c>
      <c r="C656" s="3" t="str">
        <f>Raw_Production!D656</f>
        <v>T01</v>
      </c>
      <c r="D656" s="3" t="str">
        <f>Raw_Production!P656</f>
        <v>ST-106</v>
      </c>
      <c r="E656" s="3" t="str">
        <f>Raw_Production!O656</f>
        <v>T-Shirt</v>
      </c>
      <c r="F656" s="6">
        <f>Raw_Production!G656</f>
        <v>0.89</v>
      </c>
      <c r="G656" s="6">
        <f>Raw_Production!N656</f>
        <v>0.79</v>
      </c>
      <c r="H656" s="6">
        <f t="shared" si="10"/>
        <v>-9.9999999999999978E-2</v>
      </c>
      <c r="I656" s="3">
        <f>Raw_Production!I656</f>
        <v>152</v>
      </c>
      <c r="J656" s="3">
        <f>Raw_Production!J656</f>
        <v>56</v>
      </c>
      <c r="K656" s="3">
        <f>Raw_Production!L656</f>
        <v>76</v>
      </c>
      <c r="L656" s="3">
        <f>Raw_Production!M656</f>
        <v>4</v>
      </c>
      <c r="M656" s="3">
        <f>Raw_Production!F656</f>
        <v>0</v>
      </c>
      <c r="N656" s="3">
        <f>Raw_Production!K656</f>
        <v>1641</v>
      </c>
      <c r="O656" s="3">
        <f>Raw_Production!H656</f>
        <v>10.6</v>
      </c>
      <c r="P656" s="3">
        <f>Raw_Production!E656</f>
        <v>25</v>
      </c>
    </row>
    <row r="657" spans="1:16" x14ac:dyDescent="0.3">
      <c r="A657" s="4">
        <f>Raw_Production!A657</f>
        <v>46136</v>
      </c>
      <c r="B657" s="3" t="str">
        <f>Raw_Production!C657</f>
        <v>Cutting</v>
      </c>
      <c r="C657" s="3" t="str">
        <f>Raw_Production!D657</f>
        <v>T06</v>
      </c>
      <c r="D657" s="3" t="str">
        <f>Raw_Production!P657</f>
        <v>ST-110</v>
      </c>
      <c r="E657" s="3" t="str">
        <f>Raw_Production!O657</f>
        <v>Jacket</v>
      </c>
      <c r="F657" s="6">
        <f>Raw_Production!G657</f>
        <v>0.73</v>
      </c>
      <c r="G657" s="6">
        <f>Raw_Production!N657</f>
        <v>0.67</v>
      </c>
      <c r="H657" s="6">
        <f t="shared" si="10"/>
        <v>-5.9999999999999942E-2</v>
      </c>
      <c r="I657" s="3">
        <f>Raw_Production!I657</f>
        <v>268</v>
      </c>
      <c r="J657" s="3">
        <f>Raw_Production!J657</f>
        <v>53</v>
      </c>
      <c r="K657" s="3">
        <f>Raw_Production!L657</f>
        <v>28</v>
      </c>
      <c r="L657" s="3">
        <f>Raw_Production!M657</f>
        <v>0</v>
      </c>
      <c r="M657" s="3">
        <f>Raw_Production!F657</f>
        <v>0</v>
      </c>
      <c r="N657" s="3">
        <f>Raw_Production!K657</f>
        <v>396</v>
      </c>
      <c r="O657" s="3">
        <f>Raw_Production!H657</f>
        <v>15</v>
      </c>
      <c r="P657" s="3">
        <f>Raw_Production!E657</f>
        <v>21</v>
      </c>
    </row>
    <row r="658" spans="1:16" x14ac:dyDescent="0.3">
      <c r="A658" s="4">
        <f>Raw_Production!A658</f>
        <v>46136</v>
      </c>
      <c r="B658" s="3" t="str">
        <f>Raw_Production!C658</f>
        <v>Sewing</v>
      </c>
      <c r="C658" s="3" t="str">
        <f>Raw_Production!D658</f>
        <v>T02</v>
      </c>
      <c r="D658" s="3" t="str">
        <f>Raw_Production!P658</f>
        <v>ST-106</v>
      </c>
      <c r="E658" s="3" t="str">
        <f>Raw_Production!O658</f>
        <v>T-Shirt</v>
      </c>
      <c r="F658" s="6">
        <f>Raw_Production!G658</f>
        <v>0.78</v>
      </c>
      <c r="G658" s="6">
        <f>Raw_Production!N658</f>
        <v>0.79</v>
      </c>
      <c r="H658" s="6">
        <f t="shared" si="10"/>
        <v>1.0000000000000009E-2</v>
      </c>
      <c r="I658" s="3">
        <f>Raw_Production!I658</f>
        <v>301</v>
      </c>
      <c r="J658" s="3">
        <f>Raw_Production!J658</f>
        <v>118</v>
      </c>
      <c r="K658" s="3">
        <f>Raw_Production!L658</f>
        <v>3</v>
      </c>
      <c r="L658" s="3">
        <f>Raw_Production!M658</f>
        <v>4</v>
      </c>
      <c r="M658" s="3">
        <f>Raw_Production!F658</f>
        <v>1</v>
      </c>
      <c r="N658" s="3">
        <f>Raw_Production!K658</f>
        <v>1182</v>
      </c>
      <c r="O658" s="3">
        <f>Raw_Production!H658</f>
        <v>15</v>
      </c>
      <c r="P658" s="3">
        <f>Raw_Production!E658</f>
        <v>24</v>
      </c>
    </row>
    <row r="659" spans="1:16" x14ac:dyDescent="0.3">
      <c r="A659" s="4">
        <f>Raw_Production!A659</f>
        <v>46136</v>
      </c>
      <c r="B659" s="3" t="str">
        <f>Raw_Production!C659</f>
        <v>Sewing</v>
      </c>
      <c r="C659" s="3" t="str">
        <f>Raw_Production!D659</f>
        <v>T03</v>
      </c>
      <c r="D659" s="3" t="str">
        <f>Raw_Production!P659</f>
        <v>ST-110</v>
      </c>
      <c r="E659" s="3" t="str">
        <f>Raw_Production!O659</f>
        <v>Jacket</v>
      </c>
      <c r="F659" s="6">
        <f>Raw_Production!G659</f>
        <v>0.75</v>
      </c>
      <c r="G659" s="6">
        <f>Raw_Production!N659</f>
        <v>0.65</v>
      </c>
      <c r="H659" s="6">
        <f t="shared" si="10"/>
        <v>-9.9999999999999978E-2</v>
      </c>
      <c r="I659" s="3">
        <f>Raw_Production!I659</f>
        <v>271</v>
      </c>
      <c r="J659" s="3">
        <f>Raw_Production!J659</f>
        <v>10</v>
      </c>
      <c r="K659" s="3">
        <f>Raw_Production!L659</f>
        <v>116</v>
      </c>
      <c r="L659" s="3">
        <f>Raw_Production!M659</f>
        <v>5</v>
      </c>
      <c r="M659" s="3">
        <f>Raw_Production!F659</f>
        <v>0</v>
      </c>
      <c r="N659" s="3">
        <f>Raw_Production!K659</f>
        <v>4041</v>
      </c>
      <c r="O659" s="3">
        <f>Raw_Production!H659</f>
        <v>16.7</v>
      </c>
      <c r="P659" s="3">
        <f>Raw_Production!E659</f>
        <v>23</v>
      </c>
    </row>
    <row r="660" spans="1:16" x14ac:dyDescent="0.3">
      <c r="A660" s="4">
        <f>Raw_Production!A660</f>
        <v>46136</v>
      </c>
      <c r="B660" s="3" t="str">
        <f>Raw_Production!C660</f>
        <v>Finishing</v>
      </c>
      <c r="C660" s="3" t="str">
        <f>Raw_Production!D660</f>
        <v>T04</v>
      </c>
      <c r="D660" s="3" t="str">
        <f>Raw_Production!P660</f>
        <v>ST-106</v>
      </c>
      <c r="E660" s="3" t="str">
        <f>Raw_Production!O660</f>
        <v>T-Shirt</v>
      </c>
      <c r="F660" s="6">
        <f>Raw_Production!G660</f>
        <v>0.73</v>
      </c>
      <c r="G660" s="6">
        <f>Raw_Production!N660</f>
        <v>0.64</v>
      </c>
      <c r="H660" s="6">
        <f t="shared" si="10"/>
        <v>-8.9999999999999969E-2</v>
      </c>
      <c r="I660" s="3">
        <f>Raw_Production!I660</f>
        <v>249</v>
      </c>
      <c r="J660" s="3">
        <f>Raw_Production!J660</f>
        <v>32</v>
      </c>
      <c r="K660" s="3">
        <f>Raw_Production!L660</f>
        <v>107</v>
      </c>
      <c r="L660" s="3">
        <f>Raw_Production!M660</f>
        <v>2</v>
      </c>
      <c r="M660" s="3">
        <f>Raw_Production!F660</f>
        <v>0</v>
      </c>
      <c r="N660" s="3">
        <f>Raw_Production!K660</f>
        <v>2616</v>
      </c>
      <c r="O660" s="3">
        <f>Raw_Production!H660</f>
        <v>8.6999999999999993</v>
      </c>
      <c r="P660" s="3">
        <f>Raw_Production!E660</f>
        <v>33</v>
      </c>
    </row>
    <row r="661" spans="1:16" x14ac:dyDescent="0.3">
      <c r="A661" s="4">
        <f>Raw_Production!A661</f>
        <v>46136</v>
      </c>
      <c r="B661" s="3" t="str">
        <f>Raw_Production!C661</f>
        <v>Finishing</v>
      </c>
      <c r="C661" s="3" t="str">
        <f>Raw_Production!D661</f>
        <v>T05</v>
      </c>
      <c r="D661" s="3" t="str">
        <f>Raw_Production!P661</f>
        <v>ST-101</v>
      </c>
      <c r="E661" s="3" t="str">
        <f>Raw_Production!O661</f>
        <v>T-Shirt</v>
      </c>
      <c r="F661" s="6">
        <f>Raw_Production!G661</f>
        <v>0.8</v>
      </c>
      <c r="G661" s="6">
        <f>Raw_Production!N661</f>
        <v>0.78</v>
      </c>
      <c r="H661" s="6">
        <f t="shared" si="10"/>
        <v>-2.0000000000000018E-2</v>
      </c>
      <c r="I661" s="3">
        <f>Raw_Production!I661</f>
        <v>288</v>
      </c>
      <c r="J661" s="3">
        <f>Raw_Production!J661</f>
        <v>42</v>
      </c>
      <c r="K661" s="3">
        <f>Raw_Production!L661</f>
        <v>52</v>
      </c>
      <c r="L661" s="3">
        <f>Raw_Production!M661</f>
        <v>2</v>
      </c>
      <c r="M661" s="3">
        <f>Raw_Production!F661</f>
        <v>0</v>
      </c>
      <c r="N661" s="3">
        <f>Raw_Production!K661</f>
        <v>2018</v>
      </c>
      <c r="O661" s="3">
        <f>Raw_Production!H661</f>
        <v>17.399999999999999</v>
      </c>
      <c r="P661" s="3">
        <f>Raw_Production!E661</f>
        <v>26</v>
      </c>
    </row>
    <row r="662" spans="1:16" x14ac:dyDescent="0.3">
      <c r="A662" s="4">
        <f>Raw_Production!A662</f>
        <v>46137</v>
      </c>
      <c r="B662" s="3" t="str">
        <f>Raw_Production!C662</f>
        <v>Cutting</v>
      </c>
      <c r="C662" s="3" t="str">
        <f>Raw_Production!D662</f>
        <v>T01</v>
      </c>
      <c r="D662" s="3" t="str">
        <f>Raw_Production!P662</f>
        <v>ST-107</v>
      </c>
      <c r="E662" s="3" t="str">
        <f>Raw_Production!O662</f>
        <v>Polo</v>
      </c>
      <c r="F662" s="6">
        <f>Raw_Production!G662</f>
        <v>0.73</v>
      </c>
      <c r="G662" s="6">
        <f>Raw_Production!N662</f>
        <v>0.65</v>
      </c>
      <c r="H662" s="6">
        <f t="shared" si="10"/>
        <v>-7.999999999999996E-2</v>
      </c>
      <c r="I662" s="3">
        <f>Raw_Production!I662</f>
        <v>260</v>
      </c>
      <c r="J662" s="3">
        <f>Raw_Production!J662</f>
        <v>65</v>
      </c>
      <c r="K662" s="3">
        <f>Raw_Production!L662</f>
        <v>23</v>
      </c>
      <c r="L662" s="3">
        <f>Raw_Production!M662</f>
        <v>2</v>
      </c>
      <c r="M662" s="3">
        <f>Raw_Production!F662</f>
        <v>0</v>
      </c>
      <c r="N662" s="3">
        <f>Raw_Production!K662</f>
        <v>3974</v>
      </c>
      <c r="O662" s="3">
        <f>Raw_Production!H662</f>
        <v>8.8000000000000007</v>
      </c>
      <c r="P662" s="3">
        <f>Raw_Production!E662</f>
        <v>24</v>
      </c>
    </row>
    <row r="663" spans="1:16" x14ac:dyDescent="0.3">
      <c r="A663" s="4">
        <f>Raw_Production!A663</f>
        <v>46137</v>
      </c>
      <c r="B663" s="3" t="str">
        <f>Raw_Production!C663</f>
        <v>Cutting</v>
      </c>
      <c r="C663" s="3" t="str">
        <f>Raw_Production!D663</f>
        <v>T06</v>
      </c>
      <c r="D663" s="3" t="str">
        <f>Raw_Production!P663</f>
        <v>ST-101</v>
      </c>
      <c r="E663" s="3" t="str">
        <f>Raw_Production!O663</f>
        <v>T-Shirt</v>
      </c>
      <c r="F663" s="6">
        <f>Raw_Production!G663</f>
        <v>0.73</v>
      </c>
      <c r="G663" s="6">
        <f>Raw_Production!N663</f>
        <v>0.6</v>
      </c>
      <c r="H663" s="6">
        <f t="shared" si="10"/>
        <v>-0.13</v>
      </c>
      <c r="I663" s="3">
        <f>Raw_Production!I663</f>
        <v>218</v>
      </c>
      <c r="J663" s="3">
        <f>Raw_Production!J663</f>
        <v>119</v>
      </c>
      <c r="K663" s="3">
        <f>Raw_Production!L663</f>
        <v>82</v>
      </c>
      <c r="L663" s="3">
        <f>Raw_Production!M663</f>
        <v>6</v>
      </c>
      <c r="M663" s="3">
        <f>Raw_Production!F663</f>
        <v>0</v>
      </c>
      <c r="N663" s="3">
        <f>Raw_Production!K663</f>
        <v>747</v>
      </c>
      <c r="O663" s="3">
        <f>Raw_Production!H663</f>
        <v>12.1</v>
      </c>
      <c r="P663" s="3">
        <f>Raw_Production!E663</f>
        <v>38</v>
      </c>
    </row>
    <row r="664" spans="1:16" x14ac:dyDescent="0.3">
      <c r="A664" s="4">
        <f>Raw_Production!A664</f>
        <v>46137</v>
      </c>
      <c r="B664" s="3" t="str">
        <f>Raw_Production!C664</f>
        <v>Sewing</v>
      </c>
      <c r="C664" s="3" t="str">
        <f>Raw_Production!D664</f>
        <v>T02</v>
      </c>
      <c r="D664" s="3" t="str">
        <f>Raw_Production!P664</f>
        <v>ST-108</v>
      </c>
      <c r="E664" s="3" t="str">
        <f>Raw_Production!O664</f>
        <v>Hoodie</v>
      </c>
      <c r="F664" s="6">
        <f>Raw_Production!G664</f>
        <v>0.8</v>
      </c>
      <c r="G664" s="6">
        <f>Raw_Production!N664</f>
        <v>0.62</v>
      </c>
      <c r="H664" s="6">
        <f t="shared" si="10"/>
        <v>-0.18000000000000005</v>
      </c>
      <c r="I664" s="3">
        <f>Raw_Production!I664</f>
        <v>53</v>
      </c>
      <c r="J664" s="3">
        <f>Raw_Production!J664</f>
        <v>93</v>
      </c>
      <c r="K664" s="3">
        <f>Raw_Production!L664</f>
        <v>93</v>
      </c>
      <c r="L664" s="3">
        <f>Raw_Production!M664</f>
        <v>5</v>
      </c>
      <c r="M664" s="3">
        <f>Raw_Production!F664</f>
        <v>0</v>
      </c>
      <c r="N664" s="3">
        <f>Raw_Production!K664</f>
        <v>3095</v>
      </c>
      <c r="O664" s="3">
        <f>Raw_Production!H664</f>
        <v>15.1</v>
      </c>
      <c r="P664" s="3">
        <f>Raw_Production!E664</f>
        <v>28</v>
      </c>
    </row>
    <row r="665" spans="1:16" x14ac:dyDescent="0.3">
      <c r="A665" s="4">
        <f>Raw_Production!A665</f>
        <v>46137</v>
      </c>
      <c r="B665" s="3" t="str">
        <f>Raw_Production!C665</f>
        <v>Sewing</v>
      </c>
      <c r="C665" s="3" t="str">
        <f>Raw_Production!D665</f>
        <v>T03</v>
      </c>
      <c r="D665" s="3" t="str">
        <f>Raw_Production!P665</f>
        <v>ST-106</v>
      </c>
      <c r="E665" s="3" t="str">
        <f>Raw_Production!O665</f>
        <v>T-Shirt</v>
      </c>
      <c r="F665" s="6">
        <f>Raw_Production!G665</f>
        <v>0.84</v>
      </c>
      <c r="G665" s="6">
        <f>Raw_Production!N665</f>
        <v>0.75</v>
      </c>
      <c r="H665" s="6">
        <f t="shared" si="10"/>
        <v>-8.9999999999999969E-2</v>
      </c>
      <c r="I665" s="3">
        <f>Raw_Production!I665</f>
        <v>432</v>
      </c>
      <c r="J665" s="3">
        <f>Raw_Production!J665</f>
        <v>16</v>
      </c>
      <c r="K665" s="3">
        <f>Raw_Production!L665</f>
        <v>105</v>
      </c>
      <c r="L665" s="3">
        <f>Raw_Production!M665</f>
        <v>8</v>
      </c>
      <c r="M665" s="3">
        <f>Raw_Production!F665</f>
        <v>1</v>
      </c>
      <c r="N665" s="3">
        <f>Raw_Production!K665</f>
        <v>4232</v>
      </c>
      <c r="O665" s="3">
        <f>Raw_Production!H665</f>
        <v>13</v>
      </c>
      <c r="P665" s="3">
        <f>Raw_Production!E665</f>
        <v>37</v>
      </c>
    </row>
    <row r="666" spans="1:16" x14ac:dyDescent="0.3">
      <c r="A666" s="4">
        <f>Raw_Production!A666</f>
        <v>46137</v>
      </c>
      <c r="B666" s="3" t="str">
        <f>Raw_Production!C666</f>
        <v>Finishing</v>
      </c>
      <c r="C666" s="3" t="str">
        <f>Raw_Production!D666</f>
        <v>T04</v>
      </c>
      <c r="D666" s="3" t="str">
        <f>Raw_Production!P666</f>
        <v>ST-108</v>
      </c>
      <c r="E666" s="3" t="str">
        <f>Raw_Production!O666</f>
        <v>Hoodie</v>
      </c>
      <c r="F666" s="6">
        <f>Raw_Production!G666</f>
        <v>0.75</v>
      </c>
      <c r="G666" s="6">
        <f>Raw_Production!N666</f>
        <v>0.63</v>
      </c>
      <c r="H666" s="6">
        <f t="shared" si="10"/>
        <v>-0.12</v>
      </c>
      <c r="I666" s="3">
        <f>Raw_Production!I666</f>
        <v>140</v>
      </c>
      <c r="J666" s="3">
        <f>Raw_Production!J666</f>
        <v>70</v>
      </c>
      <c r="K666" s="3">
        <f>Raw_Production!L666</f>
        <v>46</v>
      </c>
      <c r="L666" s="3">
        <f>Raw_Production!M666</f>
        <v>6</v>
      </c>
      <c r="M666" s="3">
        <f>Raw_Production!F666</f>
        <v>0</v>
      </c>
      <c r="N666" s="3">
        <f>Raw_Production!K666</f>
        <v>2382</v>
      </c>
      <c r="O666" s="3">
        <f>Raw_Production!H666</f>
        <v>15.6</v>
      </c>
      <c r="P666" s="3">
        <f>Raw_Production!E666</f>
        <v>37</v>
      </c>
    </row>
    <row r="667" spans="1:16" x14ac:dyDescent="0.3">
      <c r="A667" s="4">
        <f>Raw_Production!A667</f>
        <v>46137</v>
      </c>
      <c r="B667" s="3" t="str">
        <f>Raw_Production!C667</f>
        <v>Finishing</v>
      </c>
      <c r="C667" s="3" t="str">
        <f>Raw_Production!D667</f>
        <v>T05</v>
      </c>
      <c r="D667" s="3" t="str">
        <f>Raw_Production!P667</f>
        <v>ST-105</v>
      </c>
      <c r="E667" s="3" t="str">
        <f>Raw_Production!O667</f>
        <v>Jacket</v>
      </c>
      <c r="F667" s="6">
        <f>Raw_Production!G667</f>
        <v>0.83</v>
      </c>
      <c r="G667" s="6">
        <f>Raw_Production!N667</f>
        <v>0.65</v>
      </c>
      <c r="H667" s="6">
        <f t="shared" si="10"/>
        <v>-0.17999999999999994</v>
      </c>
      <c r="I667" s="3">
        <f>Raw_Production!I667</f>
        <v>390</v>
      </c>
      <c r="J667" s="3">
        <f>Raw_Production!J667</f>
        <v>30</v>
      </c>
      <c r="K667" s="3">
        <f>Raw_Production!L667</f>
        <v>108</v>
      </c>
      <c r="L667" s="3">
        <f>Raw_Production!M667</f>
        <v>5</v>
      </c>
      <c r="M667" s="3">
        <f>Raw_Production!F667</f>
        <v>1</v>
      </c>
      <c r="N667" s="3">
        <f>Raw_Production!K667</f>
        <v>1498</v>
      </c>
      <c r="O667" s="3">
        <f>Raw_Production!H667</f>
        <v>17.3</v>
      </c>
      <c r="P667" s="3">
        <f>Raw_Production!E667</f>
        <v>20</v>
      </c>
    </row>
    <row r="668" spans="1:16" x14ac:dyDescent="0.3">
      <c r="A668" s="4">
        <f>Raw_Production!A668</f>
        <v>46138</v>
      </c>
      <c r="B668" s="3" t="str">
        <f>Raw_Production!C668</f>
        <v>Cutting</v>
      </c>
      <c r="C668" s="3" t="str">
        <f>Raw_Production!D668</f>
        <v>T01</v>
      </c>
      <c r="D668" s="3" t="str">
        <f>Raw_Production!P668</f>
        <v>ST-103</v>
      </c>
      <c r="E668" s="3" t="str">
        <f>Raw_Production!O668</f>
        <v>Hoodie</v>
      </c>
      <c r="F668" s="6">
        <f>Raw_Production!G668</f>
        <v>0.73</v>
      </c>
      <c r="G668" s="6">
        <f>Raw_Production!N668</f>
        <v>0.67</v>
      </c>
      <c r="H668" s="6">
        <f t="shared" si="10"/>
        <v>-5.9999999999999942E-2</v>
      </c>
      <c r="I668" s="3">
        <f>Raw_Production!I668</f>
        <v>158</v>
      </c>
      <c r="J668" s="3">
        <f>Raw_Production!J668</f>
        <v>148</v>
      </c>
      <c r="K668" s="3">
        <f>Raw_Production!L668</f>
        <v>69</v>
      </c>
      <c r="L668" s="3">
        <f>Raw_Production!M668</f>
        <v>0</v>
      </c>
      <c r="M668" s="3">
        <f>Raw_Production!F668</f>
        <v>0</v>
      </c>
      <c r="N668" s="3">
        <f>Raw_Production!K668</f>
        <v>1982</v>
      </c>
      <c r="O668" s="3">
        <f>Raw_Production!H668</f>
        <v>14.8</v>
      </c>
      <c r="P668" s="3">
        <f>Raw_Production!E668</f>
        <v>21</v>
      </c>
    </row>
    <row r="669" spans="1:16" x14ac:dyDescent="0.3">
      <c r="A669" s="4">
        <f>Raw_Production!A669</f>
        <v>46138</v>
      </c>
      <c r="B669" s="3" t="str">
        <f>Raw_Production!C669</f>
        <v>Cutting</v>
      </c>
      <c r="C669" s="3" t="str">
        <f>Raw_Production!D669</f>
        <v>T06</v>
      </c>
      <c r="D669" s="3" t="str">
        <f>Raw_Production!P669</f>
        <v>ST-102</v>
      </c>
      <c r="E669" s="3" t="str">
        <f>Raw_Production!O669</f>
        <v>Polo</v>
      </c>
      <c r="F669" s="6">
        <f>Raw_Production!G669</f>
        <v>0.83</v>
      </c>
      <c r="G669" s="6">
        <f>Raw_Production!N669</f>
        <v>0.71</v>
      </c>
      <c r="H669" s="6">
        <f t="shared" si="10"/>
        <v>-0.12</v>
      </c>
      <c r="I669" s="3">
        <f>Raw_Production!I669</f>
        <v>301</v>
      </c>
      <c r="J669" s="3">
        <f>Raw_Production!J669</f>
        <v>58</v>
      </c>
      <c r="K669" s="3">
        <f>Raw_Production!L669</f>
        <v>99</v>
      </c>
      <c r="L669" s="3">
        <f>Raw_Production!M669</f>
        <v>2</v>
      </c>
      <c r="M669" s="3">
        <f>Raw_Production!F669</f>
        <v>2</v>
      </c>
      <c r="N669" s="3">
        <f>Raw_Production!K669</f>
        <v>4394</v>
      </c>
      <c r="O669" s="3">
        <f>Raw_Production!H669</f>
        <v>10.1</v>
      </c>
      <c r="P669" s="3">
        <f>Raw_Production!E669</f>
        <v>32</v>
      </c>
    </row>
    <row r="670" spans="1:16" x14ac:dyDescent="0.3">
      <c r="A670" s="4">
        <f>Raw_Production!A670</f>
        <v>46138</v>
      </c>
      <c r="B670" s="3" t="str">
        <f>Raw_Production!C670</f>
        <v>Sewing</v>
      </c>
      <c r="C670" s="3" t="str">
        <f>Raw_Production!D670</f>
        <v>T02</v>
      </c>
      <c r="D670" s="3" t="str">
        <f>Raw_Production!P670</f>
        <v>ST-101</v>
      </c>
      <c r="E670" s="3" t="str">
        <f>Raw_Production!O670</f>
        <v>T-Shirt</v>
      </c>
      <c r="F670" s="6">
        <f>Raw_Production!G670</f>
        <v>0.72</v>
      </c>
      <c r="G670" s="6">
        <f>Raw_Production!N670</f>
        <v>0.61</v>
      </c>
      <c r="H670" s="6">
        <f t="shared" si="10"/>
        <v>-0.10999999999999999</v>
      </c>
      <c r="I670" s="3">
        <f>Raw_Production!I670</f>
        <v>363</v>
      </c>
      <c r="J670" s="3">
        <f>Raw_Production!J670</f>
        <v>72</v>
      </c>
      <c r="K670" s="3">
        <f>Raw_Production!L670</f>
        <v>92</v>
      </c>
      <c r="L670" s="3">
        <f>Raw_Production!M670</f>
        <v>7</v>
      </c>
      <c r="M670" s="3">
        <f>Raw_Production!F670</f>
        <v>2</v>
      </c>
      <c r="N670" s="3">
        <f>Raw_Production!K670</f>
        <v>158</v>
      </c>
      <c r="O670" s="3">
        <f>Raw_Production!H670</f>
        <v>16.7</v>
      </c>
      <c r="P670" s="3">
        <f>Raw_Production!E670</f>
        <v>37</v>
      </c>
    </row>
    <row r="671" spans="1:16" x14ac:dyDescent="0.3">
      <c r="A671" s="4">
        <f>Raw_Production!A671</f>
        <v>46138</v>
      </c>
      <c r="B671" s="3" t="str">
        <f>Raw_Production!C671</f>
        <v>Sewing</v>
      </c>
      <c r="C671" s="3" t="str">
        <f>Raw_Production!D671</f>
        <v>T03</v>
      </c>
      <c r="D671" s="3" t="str">
        <f>Raw_Production!P671</f>
        <v>ST-105</v>
      </c>
      <c r="E671" s="3" t="str">
        <f>Raw_Production!O671</f>
        <v>Jacket</v>
      </c>
      <c r="F671" s="6">
        <f>Raw_Production!G671</f>
        <v>0.86</v>
      </c>
      <c r="G671" s="6">
        <f>Raw_Production!N671</f>
        <v>0.93</v>
      </c>
      <c r="H671" s="6">
        <f t="shared" si="10"/>
        <v>7.0000000000000062E-2</v>
      </c>
      <c r="I671" s="3">
        <f>Raw_Production!I671</f>
        <v>209</v>
      </c>
      <c r="J671" s="3">
        <f>Raw_Production!J671</f>
        <v>113</v>
      </c>
      <c r="K671" s="3">
        <f>Raw_Production!L671</f>
        <v>72</v>
      </c>
      <c r="L671" s="3">
        <f>Raw_Production!M671</f>
        <v>5</v>
      </c>
      <c r="M671" s="3">
        <f>Raw_Production!F671</f>
        <v>0</v>
      </c>
      <c r="N671" s="3">
        <f>Raw_Production!K671</f>
        <v>2021</v>
      </c>
      <c r="O671" s="3">
        <f>Raw_Production!H671</f>
        <v>17</v>
      </c>
      <c r="P671" s="3">
        <f>Raw_Production!E671</f>
        <v>27</v>
      </c>
    </row>
    <row r="672" spans="1:16" x14ac:dyDescent="0.3">
      <c r="A672" s="4">
        <f>Raw_Production!A672</f>
        <v>46138</v>
      </c>
      <c r="B672" s="3" t="str">
        <f>Raw_Production!C672</f>
        <v>Finishing</v>
      </c>
      <c r="C672" s="3" t="str">
        <f>Raw_Production!D672</f>
        <v>T04</v>
      </c>
      <c r="D672" s="3" t="str">
        <f>Raw_Production!P672</f>
        <v>ST-105</v>
      </c>
      <c r="E672" s="3" t="str">
        <f>Raw_Production!O672</f>
        <v>Jacket</v>
      </c>
      <c r="F672" s="6">
        <f>Raw_Production!G672</f>
        <v>0.81</v>
      </c>
      <c r="G672" s="6">
        <f>Raw_Production!N672</f>
        <v>0.87</v>
      </c>
      <c r="H672" s="6">
        <f t="shared" si="10"/>
        <v>5.9999999999999942E-2</v>
      </c>
      <c r="I672" s="3">
        <f>Raw_Production!I672</f>
        <v>186</v>
      </c>
      <c r="J672" s="3">
        <f>Raw_Production!J672</f>
        <v>118</v>
      </c>
      <c r="K672" s="3">
        <f>Raw_Production!L672</f>
        <v>51</v>
      </c>
      <c r="L672" s="3">
        <f>Raw_Production!M672</f>
        <v>5</v>
      </c>
      <c r="M672" s="3">
        <f>Raw_Production!F672</f>
        <v>0</v>
      </c>
      <c r="N672" s="3">
        <f>Raw_Production!K672</f>
        <v>3428</v>
      </c>
      <c r="O672" s="3">
        <f>Raw_Production!H672</f>
        <v>11.6</v>
      </c>
      <c r="P672" s="3">
        <f>Raw_Production!E672</f>
        <v>20</v>
      </c>
    </row>
    <row r="673" spans="1:16" x14ac:dyDescent="0.3">
      <c r="A673" s="4">
        <f>Raw_Production!A673</f>
        <v>46138</v>
      </c>
      <c r="B673" s="3" t="str">
        <f>Raw_Production!C673</f>
        <v>Finishing</v>
      </c>
      <c r="C673" s="3" t="str">
        <f>Raw_Production!D673</f>
        <v>T05</v>
      </c>
      <c r="D673" s="3" t="str">
        <f>Raw_Production!P673</f>
        <v>ST-107</v>
      </c>
      <c r="E673" s="3" t="str">
        <f>Raw_Production!O673</f>
        <v>Polo</v>
      </c>
      <c r="F673" s="6">
        <f>Raw_Production!G673</f>
        <v>0.73</v>
      </c>
      <c r="G673" s="6">
        <f>Raw_Production!N673</f>
        <v>0.67</v>
      </c>
      <c r="H673" s="6">
        <f t="shared" si="10"/>
        <v>-5.9999999999999942E-2</v>
      </c>
      <c r="I673" s="3">
        <f>Raw_Production!I673</f>
        <v>387</v>
      </c>
      <c r="J673" s="3">
        <f>Raw_Production!J673</f>
        <v>40</v>
      </c>
      <c r="K673" s="3">
        <f>Raw_Production!L673</f>
        <v>15</v>
      </c>
      <c r="L673" s="3">
        <f>Raw_Production!M673</f>
        <v>5</v>
      </c>
      <c r="M673" s="3">
        <f>Raw_Production!F673</f>
        <v>2</v>
      </c>
      <c r="N673" s="3">
        <f>Raw_Production!K673</f>
        <v>278</v>
      </c>
      <c r="O673" s="3">
        <f>Raw_Production!H673</f>
        <v>10</v>
      </c>
      <c r="P673" s="3">
        <f>Raw_Production!E673</f>
        <v>20</v>
      </c>
    </row>
    <row r="674" spans="1:16" x14ac:dyDescent="0.3">
      <c r="A674" s="4">
        <f>Raw_Production!A674</f>
        <v>46139</v>
      </c>
      <c r="B674" s="3" t="str">
        <f>Raw_Production!C674</f>
        <v>Cutting</v>
      </c>
      <c r="C674" s="3" t="str">
        <f>Raw_Production!D674</f>
        <v>T01</v>
      </c>
      <c r="D674" s="3" t="str">
        <f>Raw_Production!P674</f>
        <v>ST-104</v>
      </c>
      <c r="E674" s="3" t="str">
        <f>Raw_Production!O674</f>
        <v>Shirt</v>
      </c>
      <c r="F674" s="6">
        <f>Raw_Production!G674</f>
        <v>0.76</v>
      </c>
      <c r="G674" s="6">
        <f>Raw_Production!N674</f>
        <v>0.61</v>
      </c>
      <c r="H674" s="6">
        <f t="shared" si="10"/>
        <v>-0.15000000000000002</v>
      </c>
      <c r="I674" s="3">
        <f>Raw_Production!I674</f>
        <v>303</v>
      </c>
      <c r="J674" s="3">
        <f>Raw_Production!J674</f>
        <v>53</v>
      </c>
      <c r="K674" s="3">
        <f>Raw_Production!L674</f>
        <v>20</v>
      </c>
      <c r="L674" s="3">
        <f>Raw_Production!M674</f>
        <v>3</v>
      </c>
      <c r="M674" s="3">
        <f>Raw_Production!F674</f>
        <v>1</v>
      </c>
      <c r="N674" s="3">
        <f>Raw_Production!K674</f>
        <v>2201</v>
      </c>
      <c r="O674" s="3">
        <f>Raw_Production!H674</f>
        <v>17.8</v>
      </c>
      <c r="P674" s="3">
        <f>Raw_Production!E674</f>
        <v>34</v>
      </c>
    </row>
    <row r="675" spans="1:16" x14ac:dyDescent="0.3">
      <c r="A675" s="4">
        <f>Raw_Production!A675</f>
        <v>46139</v>
      </c>
      <c r="B675" s="3" t="str">
        <f>Raw_Production!C675</f>
        <v>Cutting</v>
      </c>
      <c r="C675" s="3" t="str">
        <f>Raw_Production!D675</f>
        <v>T06</v>
      </c>
      <c r="D675" s="3" t="str">
        <f>Raw_Production!P675</f>
        <v>ST-110</v>
      </c>
      <c r="E675" s="3" t="str">
        <f>Raw_Production!O675</f>
        <v>Jacket</v>
      </c>
      <c r="F675" s="6">
        <f>Raw_Production!G675</f>
        <v>0.85</v>
      </c>
      <c r="G675" s="6">
        <f>Raw_Production!N675</f>
        <v>0.69</v>
      </c>
      <c r="H675" s="6">
        <f t="shared" si="10"/>
        <v>-0.16000000000000003</v>
      </c>
      <c r="I675" s="3">
        <f>Raw_Production!I675</f>
        <v>202</v>
      </c>
      <c r="J675" s="3">
        <f>Raw_Production!J675</f>
        <v>145</v>
      </c>
      <c r="K675" s="3">
        <f>Raw_Production!L675</f>
        <v>94</v>
      </c>
      <c r="L675" s="3">
        <f>Raw_Production!M675</f>
        <v>7</v>
      </c>
      <c r="M675" s="3">
        <f>Raw_Production!F675</f>
        <v>2</v>
      </c>
      <c r="N675" s="3">
        <f>Raw_Production!K675</f>
        <v>2292</v>
      </c>
      <c r="O675" s="3">
        <f>Raw_Production!H675</f>
        <v>9.6</v>
      </c>
      <c r="P675" s="3">
        <f>Raw_Production!E675</f>
        <v>31</v>
      </c>
    </row>
    <row r="676" spans="1:16" x14ac:dyDescent="0.3">
      <c r="A676" s="4">
        <f>Raw_Production!A676</f>
        <v>46139</v>
      </c>
      <c r="B676" s="3" t="str">
        <f>Raw_Production!C676</f>
        <v>Sewing</v>
      </c>
      <c r="C676" s="3" t="str">
        <f>Raw_Production!D676</f>
        <v>T02</v>
      </c>
      <c r="D676" s="3" t="str">
        <f>Raw_Production!P676</f>
        <v>ST-103</v>
      </c>
      <c r="E676" s="3" t="str">
        <f>Raw_Production!O676</f>
        <v>Hoodie</v>
      </c>
      <c r="F676" s="6">
        <f>Raw_Production!G676</f>
        <v>0.75</v>
      </c>
      <c r="G676" s="6">
        <f>Raw_Production!N676</f>
        <v>0.68</v>
      </c>
      <c r="H676" s="6">
        <f t="shared" si="10"/>
        <v>-6.9999999999999951E-2</v>
      </c>
      <c r="I676" s="3">
        <f>Raw_Production!I676</f>
        <v>403</v>
      </c>
      <c r="J676" s="3">
        <f>Raw_Production!J676</f>
        <v>11</v>
      </c>
      <c r="K676" s="3">
        <f>Raw_Production!L676</f>
        <v>6</v>
      </c>
      <c r="L676" s="3">
        <f>Raw_Production!M676</f>
        <v>1</v>
      </c>
      <c r="M676" s="3">
        <f>Raw_Production!F676</f>
        <v>1</v>
      </c>
      <c r="N676" s="3">
        <f>Raw_Production!K676</f>
        <v>629</v>
      </c>
      <c r="O676" s="3">
        <f>Raw_Production!H676</f>
        <v>17</v>
      </c>
      <c r="P676" s="3">
        <f>Raw_Production!E676</f>
        <v>23</v>
      </c>
    </row>
    <row r="677" spans="1:16" x14ac:dyDescent="0.3">
      <c r="A677" s="4">
        <f>Raw_Production!A677</f>
        <v>46139</v>
      </c>
      <c r="B677" s="3" t="str">
        <f>Raw_Production!C677</f>
        <v>Sewing</v>
      </c>
      <c r="C677" s="3" t="str">
        <f>Raw_Production!D677</f>
        <v>T03</v>
      </c>
      <c r="D677" s="3" t="str">
        <f>Raw_Production!P677</f>
        <v>ST-106</v>
      </c>
      <c r="E677" s="3" t="str">
        <f>Raw_Production!O677</f>
        <v>T-Shirt</v>
      </c>
      <c r="F677" s="6">
        <f>Raw_Production!G677</f>
        <v>0.82</v>
      </c>
      <c r="G677" s="6">
        <f>Raw_Production!N677</f>
        <v>0.77</v>
      </c>
      <c r="H677" s="6">
        <f t="shared" si="10"/>
        <v>-4.9999999999999933E-2</v>
      </c>
      <c r="I677" s="3">
        <f>Raw_Production!I677</f>
        <v>418</v>
      </c>
      <c r="J677" s="3">
        <f>Raw_Production!J677</f>
        <v>91</v>
      </c>
      <c r="K677" s="3">
        <f>Raw_Production!L677</f>
        <v>57</v>
      </c>
      <c r="L677" s="3">
        <f>Raw_Production!M677</f>
        <v>5</v>
      </c>
      <c r="M677" s="3">
        <f>Raw_Production!F677</f>
        <v>4</v>
      </c>
      <c r="N677" s="3">
        <f>Raw_Production!K677</f>
        <v>4133</v>
      </c>
      <c r="O677" s="3">
        <f>Raw_Production!H677</f>
        <v>9.1</v>
      </c>
      <c r="P677" s="3">
        <f>Raw_Production!E677</f>
        <v>35</v>
      </c>
    </row>
    <row r="678" spans="1:16" x14ac:dyDescent="0.3">
      <c r="A678" s="4">
        <f>Raw_Production!A678</f>
        <v>46139</v>
      </c>
      <c r="B678" s="3" t="str">
        <f>Raw_Production!C678</f>
        <v>Finishing</v>
      </c>
      <c r="C678" s="3" t="str">
        <f>Raw_Production!D678</f>
        <v>T04</v>
      </c>
      <c r="D678" s="3" t="str">
        <f>Raw_Production!P678</f>
        <v>ST-103</v>
      </c>
      <c r="E678" s="3" t="str">
        <f>Raw_Production!O678</f>
        <v>Hoodie</v>
      </c>
      <c r="F678" s="6">
        <f>Raw_Production!G678</f>
        <v>0.78</v>
      </c>
      <c r="G678" s="6">
        <f>Raw_Production!N678</f>
        <v>0.62</v>
      </c>
      <c r="H678" s="6">
        <f t="shared" si="10"/>
        <v>-0.16000000000000003</v>
      </c>
      <c r="I678" s="3">
        <f>Raw_Production!I678</f>
        <v>236</v>
      </c>
      <c r="J678" s="3">
        <f>Raw_Production!J678</f>
        <v>46</v>
      </c>
      <c r="K678" s="3">
        <f>Raw_Production!L678</f>
        <v>75</v>
      </c>
      <c r="L678" s="3">
        <f>Raw_Production!M678</f>
        <v>3</v>
      </c>
      <c r="M678" s="3">
        <f>Raw_Production!F678</f>
        <v>1</v>
      </c>
      <c r="N678" s="3">
        <f>Raw_Production!K678</f>
        <v>1893</v>
      </c>
      <c r="O678" s="3">
        <f>Raw_Production!H678</f>
        <v>15.3</v>
      </c>
      <c r="P678" s="3">
        <f>Raw_Production!E678</f>
        <v>32</v>
      </c>
    </row>
    <row r="679" spans="1:16" x14ac:dyDescent="0.3">
      <c r="A679" s="4">
        <f>Raw_Production!A679</f>
        <v>46139</v>
      </c>
      <c r="B679" s="3" t="str">
        <f>Raw_Production!C679</f>
        <v>Finishing</v>
      </c>
      <c r="C679" s="3" t="str">
        <f>Raw_Production!D679</f>
        <v>T05</v>
      </c>
      <c r="D679" s="3" t="str">
        <f>Raw_Production!P679</f>
        <v>ST-105</v>
      </c>
      <c r="E679" s="3" t="str">
        <f>Raw_Production!O679</f>
        <v>Jacket</v>
      </c>
      <c r="F679" s="6">
        <f>Raw_Production!G679</f>
        <v>0.86</v>
      </c>
      <c r="G679" s="6">
        <f>Raw_Production!N679</f>
        <v>0.82</v>
      </c>
      <c r="H679" s="6">
        <f t="shared" si="10"/>
        <v>-4.0000000000000036E-2</v>
      </c>
      <c r="I679" s="3">
        <f>Raw_Production!I679</f>
        <v>327</v>
      </c>
      <c r="J679" s="3">
        <f>Raw_Production!J679</f>
        <v>33</v>
      </c>
      <c r="K679" s="3">
        <f>Raw_Production!L679</f>
        <v>11</v>
      </c>
      <c r="L679" s="3">
        <f>Raw_Production!M679</f>
        <v>5</v>
      </c>
      <c r="M679" s="3">
        <f>Raw_Production!F679</f>
        <v>0</v>
      </c>
      <c r="N679" s="3">
        <f>Raw_Production!K679</f>
        <v>1546</v>
      </c>
      <c r="O679" s="3">
        <f>Raw_Production!H679</f>
        <v>15.7</v>
      </c>
      <c r="P679" s="3">
        <f>Raw_Production!E679</f>
        <v>28</v>
      </c>
    </row>
    <row r="680" spans="1:16" x14ac:dyDescent="0.3">
      <c r="A680" s="4">
        <f>Raw_Production!A680</f>
        <v>46140</v>
      </c>
      <c r="B680" s="3" t="str">
        <f>Raw_Production!C680</f>
        <v>Cutting</v>
      </c>
      <c r="C680" s="3" t="str">
        <f>Raw_Production!D680</f>
        <v>T01</v>
      </c>
      <c r="D680" s="3" t="str">
        <f>Raw_Production!P680</f>
        <v>ST-103</v>
      </c>
      <c r="E680" s="3" t="str">
        <f>Raw_Production!O680</f>
        <v>Hoodie</v>
      </c>
      <c r="F680" s="6">
        <f>Raw_Production!G680</f>
        <v>0.86</v>
      </c>
      <c r="G680" s="6">
        <f>Raw_Production!N680</f>
        <v>0.84</v>
      </c>
      <c r="H680" s="6">
        <f t="shared" si="10"/>
        <v>-2.0000000000000018E-2</v>
      </c>
      <c r="I680" s="3">
        <f>Raw_Production!I680</f>
        <v>448</v>
      </c>
      <c r="J680" s="3">
        <f>Raw_Production!J680</f>
        <v>11</v>
      </c>
      <c r="K680" s="3">
        <f>Raw_Production!L680</f>
        <v>109</v>
      </c>
      <c r="L680" s="3">
        <f>Raw_Production!M680</f>
        <v>2</v>
      </c>
      <c r="M680" s="3">
        <f>Raw_Production!F680</f>
        <v>2</v>
      </c>
      <c r="N680" s="3">
        <f>Raw_Production!K680</f>
        <v>1646</v>
      </c>
      <c r="O680" s="3">
        <f>Raw_Production!H680</f>
        <v>9.1</v>
      </c>
      <c r="P680" s="3">
        <f>Raw_Production!E680</f>
        <v>20</v>
      </c>
    </row>
    <row r="681" spans="1:16" x14ac:dyDescent="0.3">
      <c r="A681" s="4">
        <f>Raw_Production!A681</f>
        <v>46140</v>
      </c>
      <c r="B681" s="3" t="str">
        <f>Raw_Production!C681</f>
        <v>Cutting</v>
      </c>
      <c r="C681" s="3" t="str">
        <f>Raw_Production!D681</f>
        <v>T06</v>
      </c>
      <c r="D681" s="3" t="str">
        <f>Raw_Production!P681</f>
        <v>ST-107</v>
      </c>
      <c r="E681" s="3" t="str">
        <f>Raw_Production!O681</f>
        <v>Polo</v>
      </c>
      <c r="F681" s="6">
        <f>Raw_Production!G681</f>
        <v>0.89</v>
      </c>
      <c r="G681" s="6">
        <f>Raw_Production!N681</f>
        <v>0.84</v>
      </c>
      <c r="H681" s="6">
        <f t="shared" si="10"/>
        <v>-5.0000000000000044E-2</v>
      </c>
      <c r="I681" s="3">
        <f>Raw_Production!I681</f>
        <v>136</v>
      </c>
      <c r="J681" s="3">
        <f>Raw_Production!J681</f>
        <v>52</v>
      </c>
      <c r="K681" s="3">
        <f>Raw_Production!L681</f>
        <v>9</v>
      </c>
      <c r="L681" s="3">
        <f>Raw_Production!M681</f>
        <v>0</v>
      </c>
      <c r="M681" s="3">
        <f>Raw_Production!F681</f>
        <v>0</v>
      </c>
      <c r="N681" s="3">
        <f>Raw_Production!K681</f>
        <v>592</v>
      </c>
      <c r="O681" s="3">
        <f>Raw_Production!H681</f>
        <v>16.8</v>
      </c>
      <c r="P681" s="3">
        <f>Raw_Production!E681</f>
        <v>25</v>
      </c>
    </row>
    <row r="682" spans="1:16" x14ac:dyDescent="0.3">
      <c r="A682" s="4">
        <f>Raw_Production!A682</f>
        <v>46140</v>
      </c>
      <c r="B682" s="3" t="str">
        <f>Raw_Production!C682</f>
        <v>Sewing</v>
      </c>
      <c r="C682" s="3" t="str">
        <f>Raw_Production!D682</f>
        <v>T02</v>
      </c>
      <c r="D682" s="3" t="str">
        <f>Raw_Production!P682</f>
        <v>ST-108</v>
      </c>
      <c r="E682" s="3" t="str">
        <f>Raw_Production!O682</f>
        <v>Hoodie</v>
      </c>
      <c r="F682" s="6">
        <f>Raw_Production!G682</f>
        <v>0.87</v>
      </c>
      <c r="G682" s="6">
        <f>Raw_Production!N682</f>
        <v>0.69</v>
      </c>
      <c r="H682" s="6">
        <f t="shared" si="10"/>
        <v>-0.18000000000000005</v>
      </c>
      <c r="I682" s="3">
        <f>Raw_Production!I682</f>
        <v>255</v>
      </c>
      <c r="J682" s="3">
        <f>Raw_Production!J682</f>
        <v>57</v>
      </c>
      <c r="K682" s="3">
        <f>Raw_Production!L682</f>
        <v>78</v>
      </c>
      <c r="L682" s="3">
        <f>Raw_Production!M682</f>
        <v>1</v>
      </c>
      <c r="M682" s="3">
        <f>Raw_Production!F682</f>
        <v>0</v>
      </c>
      <c r="N682" s="3">
        <f>Raw_Production!K682</f>
        <v>3529</v>
      </c>
      <c r="O682" s="3">
        <f>Raw_Production!H682</f>
        <v>10.5</v>
      </c>
      <c r="P682" s="3">
        <f>Raw_Production!E682</f>
        <v>27</v>
      </c>
    </row>
    <row r="683" spans="1:16" x14ac:dyDescent="0.3">
      <c r="A683" s="4">
        <f>Raw_Production!A683</f>
        <v>46140</v>
      </c>
      <c r="B683" s="3" t="str">
        <f>Raw_Production!C683</f>
        <v>Sewing</v>
      </c>
      <c r="C683" s="3" t="str">
        <f>Raw_Production!D683</f>
        <v>T03</v>
      </c>
      <c r="D683" s="3" t="str">
        <f>Raw_Production!P683</f>
        <v>ST-105</v>
      </c>
      <c r="E683" s="3" t="str">
        <f>Raw_Production!O683</f>
        <v>Jacket</v>
      </c>
      <c r="F683" s="6">
        <f>Raw_Production!G683</f>
        <v>0.73</v>
      </c>
      <c r="G683" s="6">
        <f>Raw_Production!N683</f>
        <v>0.64</v>
      </c>
      <c r="H683" s="6">
        <f t="shared" si="10"/>
        <v>-8.9999999999999969E-2</v>
      </c>
      <c r="I683" s="3">
        <f>Raw_Production!I683</f>
        <v>364</v>
      </c>
      <c r="J683" s="3">
        <f>Raw_Production!J683</f>
        <v>10</v>
      </c>
      <c r="K683" s="3">
        <f>Raw_Production!L683</f>
        <v>116</v>
      </c>
      <c r="L683" s="3">
        <f>Raw_Production!M683</f>
        <v>5</v>
      </c>
      <c r="M683" s="3">
        <f>Raw_Production!F683</f>
        <v>1</v>
      </c>
      <c r="N683" s="3">
        <f>Raw_Production!K683</f>
        <v>2787</v>
      </c>
      <c r="O683" s="3">
        <f>Raw_Production!H683</f>
        <v>10.199999999999999</v>
      </c>
      <c r="P683" s="3">
        <f>Raw_Production!E683</f>
        <v>33</v>
      </c>
    </row>
    <row r="684" spans="1:16" x14ac:dyDescent="0.3">
      <c r="A684" s="4">
        <f>Raw_Production!A684</f>
        <v>46140</v>
      </c>
      <c r="B684" s="3" t="str">
        <f>Raw_Production!C684</f>
        <v>Finishing</v>
      </c>
      <c r="C684" s="3" t="str">
        <f>Raw_Production!D684</f>
        <v>T04</v>
      </c>
      <c r="D684" s="3" t="str">
        <f>Raw_Production!P684</f>
        <v>ST-103</v>
      </c>
      <c r="E684" s="3" t="str">
        <f>Raw_Production!O684</f>
        <v>Hoodie</v>
      </c>
      <c r="F684" s="6">
        <f>Raw_Production!G684</f>
        <v>0.78</v>
      </c>
      <c r="G684" s="6">
        <f>Raw_Production!N684</f>
        <v>0.66</v>
      </c>
      <c r="H684" s="6">
        <f t="shared" si="10"/>
        <v>-0.12</v>
      </c>
      <c r="I684" s="3">
        <f>Raw_Production!I684</f>
        <v>202</v>
      </c>
      <c r="J684" s="3">
        <f>Raw_Production!J684</f>
        <v>117</v>
      </c>
      <c r="K684" s="3">
        <f>Raw_Production!L684</f>
        <v>109</v>
      </c>
      <c r="L684" s="3">
        <f>Raw_Production!M684</f>
        <v>6</v>
      </c>
      <c r="M684" s="3">
        <f>Raw_Production!F684</f>
        <v>2</v>
      </c>
      <c r="N684" s="3">
        <f>Raw_Production!K684</f>
        <v>3878</v>
      </c>
      <c r="O684" s="3">
        <f>Raw_Production!H684</f>
        <v>9.3000000000000007</v>
      </c>
      <c r="P684" s="3">
        <f>Raw_Production!E684</f>
        <v>27</v>
      </c>
    </row>
    <row r="685" spans="1:16" x14ac:dyDescent="0.3">
      <c r="A685" s="4">
        <f>Raw_Production!A685</f>
        <v>46140</v>
      </c>
      <c r="B685" s="3" t="str">
        <f>Raw_Production!C685</f>
        <v>Finishing</v>
      </c>
      <c r="C685" s="3" t="str">
        <f>Raw_Production!D685</f>
        <v>T05</v>
      </c>
      <c r="D685" s="3" t="str">
        <f>Raw_Production!P685</f>
        <v>ST-104</v>
      </c>
      <c r="E685" s="3" t="str">
        <f>Raw_Production!O685</f>
        <v>Shirt</v>
      </c>
      <c r="F685" s="6">
        <f>Raw_Production!G685</f>
        <v>0.76</v>
      </c>
      <c r="G685" s="6">
        <f>Raw_Production!N685</f>
        <v>0.78</v>
      </c>
      <c r="H685" s="6">
        <f t="shared" si="10"/>
        <v>2.0000000000000018E-2</v>
      </c>
      <c r="I685" s="3">
        <f>Raw_Production!I685</f>
        <v>109</v>
      </c>
      <c r="J685" s="3">
        <f>Raw_Production!J685</f>
        <v>44</v>
      </c>
      <c r="K685" s="3">
        <f>Raw_Production!L685</f>
        <v>72</v>
      </c>
      <c r="L685" s="3">
        <f>Raw_Production!M685</f>
        <v>7</v>
      </c>
      <c r="M685" s="3">
        <f>Raw_Production!F685</f>
        <v>0</v>
      </c>
      <c r="N685" s="3">
        <f>Raw_Production!K685</f>
        <v>1108</v>
      </c>
      <c r="O685" s="3">
        <f>Raw_Production!H685</f>
        <v>11.5</v>
      </c>
      <c r="P685" s="3">
        <f>Raw_Production!E685</f>
        <v>32</v>
      </c>
    </row>
    <row r="686" spans="1:16" x14ac:dyDescent="0.3">
      <c r="A686" s="4">
        <f>Raw_Production!A686</f>
        <v>46141</v>
      </c>
      <c r="B686" s="3" t="str">
        <f>Raw_Production!C686</f>
        <v>Cutting</v>
      </c>
      <c r="C686" s="3" t="str">
        <f>Raw_Production!D686</f>
        <v>T01</v>
      </c>
      <c r="D686" s="3" t="str">
        <f>Raw_Production!P686</f>
        <v>ST-101</v>
      </c>
      <c r="E686" s="3" t="str">
        <f>Raw_Production!O686</f>
        <v>T-Shirt</v>
      </c>
      <c r="F686" s="6">
        <f>Raw_Production!G686</f>
        <v>0.87</v>
      </c>
      <c r="G686" s="6">
        <f>Raw_Production!N686</f>
        <v>0.89</v>
      </c>
      <c r="H686" s="6">
        <f t="shared" si="10"/>
        <v>2.0000000000000018E-2</v>
      </c>
      <c r="I686" s="3">
        <f>Raw_Production!I686</f>
        <v>440</v>
      </c>
      <c r="J686" s="3">
        <f>Raw_Production!J686</f>
        <v>2</v>
      </c>
      <c r="K686" s="3">
        <f>Raw_Production!L686</f>
        <v>101</v>
      </c>
      <c r="L686" s="3">
        <f>Raw_Production!M686</f>
        <v>7</v>
      </c>
      <c r="M686" s="3">
        <f>Raw_Production!F686</f>
        <v>1</v>
      </c>
      <c r="N686" s="3">
        <f>Raw_Production!K686</f>
        <v>1326</v>
      </c>
      <c r="O686" s="3">
        <f>Raw_Production!H686</f>
        <v>13.3</v>
      </c>
      <c r="P686" s="3">
        <f>Raw_Production!E686</f>
        <v>29</v>
      </c>
    </row>
    <row r="687" spans="1:16" x14ac:dyDescent="0.3">
      <c r="A687" s="4">
        <f>Raw_Production!A687</f>
        <v>46141</v>
      </c>
      <c r="B687" s="3" t="str">
        <f>Raw_Production!C687</f>
        <v>Cutting</v>
      </c>
      <c r="C687" s="3" t="str">
        <f>Raw_Production!D687</f>
        <v>T06</v>
      </c>
      <c r="D687" s="3" t="str">
        <f>Raw_Production!P687</f>
        <v>ST-103</v>
      </c>
      <c r="E687" s="3" t="str">
        <f>Raw_Production!O687</f>
        <v>Hoodie</v>
      </c>
      <c r="F687" s="6">
        <f>Raw_Production!G687</f>
        <v>0.74</v>
      </c>
      <c r="G687" s="6">
        <f>Raw_Production!N687</f>
        <v>0.69</v>
      </c>
      <c r="H687" s="6">
        <f t="shared" si="10"/>
        <v>-5.0000000000000044E-2</v>
      </c>
      <c r="I687" s="3">
        <f>Raw_Production!I687</f>
        <v>247</v>
      </c>
      <c r="J687" s="3">
        <f>Raw_Production!J687</f>
        <v>7</v>
      </c>
      <c r="K687" s="3">
        <f>Raw_Production!L687</f>
        <v>95</v>
      </c>
      <c r="L687" s="3">
        <f>Raw_Production!M687</f>
        <v>7</v>
      </c>
      <c r="M687" s="3">
        <f>Raw_Production!F687</f>
        <v>1</v>
      </c>
      <c r="N687" s="3">
        <f>Raw_Production!K687</f>
        <v>2389</v>
      </c>
      <c r="O687" s="3">
        <f>Raw_Production!H687</f>
        <v>8.6</v>
      </c>
      <c r="P687" s="3">
        <f>Raw_Production!E687</f>
        <v>31</v>
      </c>
    </row>
    <row r="688" spans="1:16" x14ac:dyDescent="0.3">
      <c r="A688" s="4">
        <f>Raw_Production!A688</f>
        <v>46141</v>
      </c>
      <c r="B688" s="3" t="str">
        <f>Raw_Production!C688</f>
        <v>Sewing</v>
      </c>
      <c r="C688" s="3" t="str">
        <f>Raw_Production!D688</f>
        <v>T02</v>
      </c>
      <c r="D688" s="3" t="str">
        <f>Raw_Production!P688</f>
        <v>ST-103</v>
      </c>
      <c r="E688" s="3" t="str">
        <f>Raw_Production!O688</f>
        <v>Hoodie</v>
      </c>
      <c r="F688" s="6">
        <f>Raw_Production!G688</f>
        <v>0.8</v>
      </c>
      <c r="G688" s="6">
        <f>Raw_Production!N688</f>
        <v>0.73</v>
      </c>
      <c r="H688" s="6">
        <f t="shared" si="10"/>
        <v>-7.0000000000000062E-2</v>
      </c>
      <c r="I688" s="3">
        <f>Raw_Production!I688</f>
        <v>369</v>
      </c>
      <c r="J688" s="3">
        <f>Raw_Production!J688</f>
        <v>139</v>
      </c>
      <c r="K688" s="3">
        <f>Raw_Production!L688</f>
        <v>69</v>
      </c>
      <c r="L688" s="3">
        <f>Raw_Production!M688</f>
        <v>4</v>
      </c>
      <c r="M688" s="3">
        <f>Raw_Production!F688</f>
        <v>0</v>
      </c>
      <c r="N688" s="3">
        <f>Raw_Production!K688</f>
        <v>4032</v>
      </c>
      <c r="O688" s="3">
        <f>Raw_Production!H688</f>
        <v>15</v>
      </c>
      <c r="P688" s="3">
        <f>Raw_Production!E688</f>
        <v>32</v>
      </c>
    </row>
    <row r="689" spans="1:16" x14ac:dyDescent="0.3">
      <c r="A689" s="4">
        <f>Raw_Production!A689</f>
        <v>46141</v>
      </c>
      <c r="B689" s="3" t="str">
        <f>Raw_Production!C689</f>
        <v>Sewing</v>
      </c>
      <c r="C689" s="3" t="str">
        <f>Raw_Production!D689</f>
        <v>T03</v>
      </c>
      <c r="D689" s="3" t="str">
        <f>Raw_Production!P689</f>
        <v>ST-103</v>
      </c>
      <c r="E689" s="3" t="str">
        <f>Raw_Production!O689</f>
        <v>Hoodie</v>
      </c>
      <c r="F689" s="6">
        <f>Raw_Production!G689</f>
        <v>0.88</v>
      </c>
      <c r="G689" s="6">
        <f>Raw_Production!N689</f>
        <v>0.9</v>
      </c>
      <c r="H689" s="6">
        <f t="shared" si="10"/>
        <v>2.0000000000000018E-2</v>
      </c>
      <c r="I689" s="3">
        <f>Raw_Production!I689</f>
        <v>415</v>
      </c>
      <c r="J689" s="3">
        <f>Raw_Production!J689</f>
        <v>104</v>
      </c>
      <c r="K689" s="3">
        <f>Raw_Production!L689</f>
        <v>73</v>
      </c>
      <c r="L689" s="3">
        <f>Raw_Production!M689</f>
        <v>5</v>
      </c>
      <c r="M689" s="3">
        <f>Raw_Production!F689</f>
        <v>0</v>
      </c>
      <c r="N689" s="3">
        <f>Raw_Production!K689</f>
        <v>3855</v>
      </c>
      <c r="O689" s="3">
        <f>Raw_Production!H689</f>
        <v>9.6999999999999993</v>
      </c>
      <c r="P689" s="3">
        <f>Raw_Production!E689</f>
        <v>26</v>
      </c>
    </row>
    <row r="690" spans="1:16" x14ac:dyDescent="0.3">
      <c r="A690" s="4">
        <f>Raw_Production!A690</f>
        <v>46141</v>
      </c>
      <c r="B690" s="3" t="str">
        <f>Raw_Production!C690</f>
        <v>Finishing</v>
      </c>
      <c r="C690" s="3" t="str">
        <f>Raw_Production!D690</f>
        <v>T04</v>
      </c>
      <c r="D690" s="3" t="str">
        <f>Raw_Production!P690</f>
        <v>ST-108</v>
      </c>
      <c r="E690" s="3" t="str">
        <f>Raw_Production!O690</f>
        <v>Hoodie</v>
      </c>
      <c r="F690" s="6">
        <f>Raw_Production!G690</f>
        <v>0.86</v>
      </c>
      <c r="G690" s="6">
        <f>Raw_Production!N690</f>
        <v>0.87</v>
      </c>
      <c r="H690" s="6">
        <f t="shared" si="10"/>
        <v>1.0000000000000009E-2</v>
      </c>
      <c r="I690" s="3">
        <f>Raw_Production!I690</f>
        <v>149</v>
      </c>
      <c r="J690" s="3">
        <f>Raw_Production!J690</f>
        <v>23</v>
      </c>
      <c r="K690" s="3">
        <f>Raw_Production!L690</f>
        <v>99</v>
      </c>
      <c r="L690" s="3">
        <f>Raw_Production!M690</f>
        <v>6</v>
      </c>
      <c r="M690" s="3">
        <f>Raw_Production!F690</f>
        <v>3</v>
      </c>
      <c r="N690" s="3">
        <f>Raw_Production!K690</f>
        <v>4405</v>
      </c>
      <c r="O690" s="3">
        <f>Raw_Production!H690</f>
        <v>10.4</v>
      </c>
      <c r="P690" s="3">
        <f>Raw_Production!E690</f>
        <v>25</v>
      </c>
    </row>
    <row r="691" spans="1:16" x14ac:dyDescent="0.3">
      <c r="A691" s="4">
        <f>Raw_Production!A691</f>
        <v>46141</v>
      </c>
      <c r="B691" s="3" t="str">
        <f>Raw_Production!C691</f>
        <v>Finishing</v>
      </c>
      <c r="C691" s="3" t="str">
        <f>Raw_Production!D691</f>
        <v>T05</v>
      </c>
      <c r="D691" s="3" t="str">
        <f>Raw_Production!P691</f>
        <v>ST-105</v>
      </c>
      <c r="E691" s="3" t="str">
        <f>Raw_Production!O691</f>
        <v>Jacket</v>
      </c>
      <c r="F691" s="6">
        <f>Raw_Production!G691</f>
        <v>0.79</v>
      </c>
      <c r="G691" s="6">
        <f>Raw_Production!N691</f>
        <v>0.59</v>
      </c>
      <c r="H691" s="6">
        <f t="shared" si="10"/>
        <v>-0.20000000000000007</v>
      </c>
      <c r="I691" s="3">
        <f>Raw_Production!I691</f>
        <v>153</v>
      </c>
      <c r="J691" s="3">
        <f>Raw_Production!J691</f>
        <v>118</v>
      </c>
      <c r="K691" s="3">
        <f>Raw_Production!L691</f>
        <v>98</v>
      </c>
      <c r="L691" s="3">
        <f>Raw_Production!M691</f>
        <v>0</v>
      </c>
      <c r="M691" s="3">
        <f>Raw_Production!F691</f>
        <v>2</v>
      </c>
      <c r="N691" s="3">
        <f>Raw_Production!K691</f>
        <v>3178</v>
      </c>
      <c r="O691" s="3">
        <f>Raw_Production!H691</f>
        <v>15.7</v>
      </c>
      <c r="P691" s="3">
        <f>Raw_Production!E691</f>
        <v>37</v>
      </c>
    </row>
    <row r="692" spans="1:16" x14ac:dyDescent="0.3">
      <c r="A692" s="4">
        <f>Raw_Production!A692</f>
        <v>46142</v>
      </c>
      <c r="B692" s="3" t="str">
        <f>Raw_Production!C692</f>
        <v>Cutting</v>
      </c>
      <c r="C692" s="3" t="str">
        <f>Raw_Production!D692</f>
        <v>T01</v>
      </c>
      <c r="D692" s="3" t="str">
        <f>Raw_Production!P692</f>
        <v>ST-110</v>
      </c>
      <c r="E692" s="3" t="str">
        <f>Raw_Production!O692</f>
        <v>Jacket</v>
      </c>
      <c r="F692" s="6">
        <f>Raw_Production!G692</f>
        <v>0.73</v>
      </c>
      <c r="G692" s="6">
        <f>Raw_Production!N692</f>
        <v>0.67</v>
      </c>
      <c r="H692" s="6">
        <f t="shared" si="10"/>
        <v>-5.9999999999999942E-2</v>
      </c>
      <c r="I692" s="3">
        <f>Raw_Production!I692</f>
        <v>81</v>
      </c>
      <c r="J692" s="3">
        <f>Raw_Production!J692</f>
        <v>52</v>
      </c>
      <c r="K692" s="3">
        <f>Raw_Production!L692</f>
        <v>120</v>
      </c>
      <c r="L692" s="3">
        <f>Raw_Production!M692</f>
        <v>1</v>
      </c>
      <c r="M692" s="3">
        <f>Raw_Production!F692</f>
        <v>0</v>
      </c>
      <c r="N692" s="3">
        <f>Raw_Production!K692</f>
        <v>1586</v>
      </c>
      <c r="O692" s="3">
        <f>Raw_Production!H692</f>
        <v>9.6</v>
      </c>
      <c r="P692" s="3">
        <f>Raw_Production!E692</f>
        <v>25</v>
      </c>
    </row>
    <row r="693" spans="1:16" x14ac:dyDescent="0.3">
      <c r="A693" s="4">
        <f>Raw_Production!A693</f>
        <v>46142</v>
      </c>
      <c r="B693" s="3" t="str">
        <f>Raw_Production!C693</f>
        <v>Cutting</v>
      </c>
      <c r="C693" s="3" t="str">
        <f>Raw_Production!D693</f>
        <v>T06</v>
      </c>
      <c r="D693" s="3" t="str">
        <f>Raw_Production!P693</f>
        <v>ST-103</v>
      </c>
      <c r="E693" s="3" t="str">
        <f>Raw_Production!O693</f>
        <v>Hoodie</v>
      </c>
      <c r="F693" s="6">
        <f>Raw_Production!G693</f>
        <v>0.81</v>
      </c>
      <c r="G693" s="6">
        <f>Raw_Production!N693</f>
        <v>0.73</v>
      </c>
      <c r="H693" s="6">
        <f t="shared" si="10"/>
        <v>-8.0000000000000071E-2</v>
      </c>
      <c r="I693" s="3">
        <f>Raw_Production!I693</f>
        <v>150</v>
      </c>
      <c r="J693" s="3">
        <f>Raw_Production!J693</f>
        <v>42</v>
      </c>
      <c r="K693" s="3">
        <f>Raw_Production!L693</f>
        <v>61</v>
      </c>
      <c r="L693" s="3">
        <f>Raw_Production!M693</f>
        <v>1</v>
      </c>
      <c r="M693" s="3">
        <f>Raw_Production!F693</f>
        <v>0</v>
      </c>
      <c r="N693" s="3">
        <f>Raw_Production!K693</f>
        <v>1462</v>
      </c>
      <c r="O693" s="3">
        <f>Raw_Production!H693</f>
        <v>13.3</v>
      </c>
      <c r="P693" s="3">
        <f>Raw_Production!E693</f>
        <v>20</v>
      </c>
    </row>
    <row r="694" spans="1:16" x14ac:dyDescent="0.3">
      <c r="A694" s="4">
        <f>Raw_Production!A694</f>
        <v>46142</v>
      </c>
      <c r="B694" s="3" t="str">
        <f>Raw_Production!C694</f>
        <v>Sewing</v>
      </c>
      <c r="C694" s="3" t="str">
        <f>Raw_Production!D694</f>
        <v>T02</v>
      </c>
      <c r="D694" s="3" t="str">
        <f>Raw_Production!P694</f>
        <v>ST-107</v>
      </c>
      <c r="E694" s="3" t="str">
        <f>Raw_Production!O694</f>
        <v>Polo</v>
      </c>
      <c r="F694" s="6">
        <f>Raw_Production!G694</f>
        <v>0.75</v>
      </c>
      <c r="G694" s="6">
        <f>Raw_Production!N694</f>
        <v>0.78</v>
      </c>
      <c r="H694" s="6">
        <f t="shared" si="10"/>
        <v>3.0000000000000027E-2</v>
      </c>
      <c r="I694" s="3">
        <f>Raw_Production!I694</f>
        <v>359</v>
      </c>
      <c r="J694" s="3">
        <f>Raw_Production!J694</f>
        <v>130</v>
      </c>
      <c r="K694" s="3">
        <f>Raw_Production!L694</f>
        <v>104</v>
      </c>
      <c r="L694" s="3">
        <f>Raw_Production!M694</f>
        <v>4</v>
      </c>
      <c r="M694" s="3">
        <f>Raw_Production!F694</f>
        <v>0</v>
      </c>
      <c r="N694" s="3">
        <f>Raw_Production!K694</f>
        <v>2302</v>
      </c>
      <c r="O694" s="3">
        <f>Raw_Production!H694</f>
        <v>8.3000000000000007</v>
      </c>
      <c r="P694" s="3">
        <f>Raw_Production!E694</f>
        <v>27</v>
      </c>
    </row>
    <row r="695" spans="1:16" x14ac:dyDescent="0.3">
      <c r="A695" s="4">
        <f>Raw_Production!A695</f>
        <v>46142</v>
      </c>
      <c r="B695" s="3" t="str">
        <f>Raw_Production!C695</f>
        <v>Sewing</v>
      </c>
      <c r="C695" s="3" t="str">
        <f>Raw_Production!D695</f>
        <v>T03</v>
      </c>
      <c r="D695" s="3" t="str">
        <f>Raw_Production!P695</f>
        <v>ST-103</v>
      </c>
      <c r="E695" s="3" t="str">
        <f>Raw_Production!O695</f>
        <v>Hoodie</v>
      </c>
      <c r="F695" s="6">
        <f>Raw_Production!G695</f>
        <v>0.73</v>
      </c>
      <c r="G695" s="6">
        <f>Raw_Production!N695</f>
        <v>0.62</v>
      </c>
      <c r="H695" s="6">
        <f t="shared" si="10"/>
        <v>-0.10999999999999999</v>
      </c>
      <c r="I695" s="3">
        <f>Raw_Production!I695</f>
        <v>245</v>
      </c>
      <c r="J695" s="3">
        <f>Raw_Production!J695</f>
        <v>115</v>
      </c>
      <c r="K695" s="3">
        <f>Raw_Production!L695</f>
        <v>109</v>
      </c>
      <c r="L695" s="3">
        <f>Raw_Production!M695</f>
        <v>4</v>
      </c>
      <c r="M695" s="3">
        <f>Raw_Production!F695</f>
        <v>1</v>
      </c>
      <c r="N695" s="3">
        <f>Raw_Production!K695</f>
        <v>1352</v>
      </c>
      <c r="O695" s="3">
        <f>Raw_Production!H695</f>
        <v>13</v>
      </c>
      <c r="P695" s="3">
        <f>Raw_Production!E695</f>
        <v>23</v>
      </c>
    </row>
    <row r="696" spans="1:16" x14ac:dyDescent="0.3">
      <c r="A696" s="4">
        <f>Raw_Production!A696</f>
        <v>46142</v>
      </c>
      <c r="B696" s="3" t="str">
        <f>Raw_Production!C696</f>
        <v>Finishing</v>
      </c>
      <c r="C696" s="3" t="str">
        <f>Raw_Production!D696</f>
        <v>T04</v>
      </c>
      <c r="D696" s="3" t="str">
        <f>Raw_Production!P696</f>
        <v>ST-107</v>
      </c>
      <c r="E696" s="3" t="str">
        <f>Raw_Production!O696</f>
        <v>Polo</v>
      </c>
      <c r="F696" s="6">
        <f>Raw_Production!G696</f>
        <v>0.87</v>
      </c>
      <c r="G696" s="6">
        <f>Raw_Production!N696</f>
        <v>0.8</v>
      </c>
      <c r="H696" s="6">
        <f t="shared" si="10"/>
        <v>-6.9999999999999951E-2</v>
      </c>
      <c r="I696" s="3">
        <f>Raw_Production!I696</f>
        <v>68</v>
      </c>
      <c r="J696" s="3">
        <f>Raw_Production!J696</f>
        <v>111</v>
      </c>
      <c r="K696" s="3">
        <f>Raw_Production!L696</f>
        <v>99</v>
      </c>
      <c r="L696" s="3">
        <f>Raw_Production!M696</f>
        <v>4</v>
      </c>
      <c r="M696" s="3">
        <f>Raw_Production!F696</f>
        <v>2</v>
      </c>
      <c r="N696" s="3">
        <f>Raw_Production!K696</f>
        <v>3573</v>
      </c>
      <c r="O696" s="3">
        <f>Raw_Production!H696</f>
        <v>12.2</v>
      </c>
      <c r="P696" s="3">
        <f>Raw_Production!E696</f>
        <v>35</v>
      </c>
    </row>
    <row r="697" spans="1:16" x14ac:dyDescent="0.3">
      <c r="A697" s="4">
        <f>Raw_Production!A697</f>
        <v>46142</v>
      </c>
      <c r="B697" s="3" t="str">
        <f>Raw_Production!C697</f>
        <v>Finishing</v>
      </c>
      <c r="C697" s="3" t="str">
        <f>Raw_Production!D697</f>
        <v>T05</v>
      </c>
      <c r="D697" s="3" t="str">
        <f>Raw_Production!P697</f>
        <v>ST-107</v>
      </c>
      <c r="E697" s="3" t="str">
        <f>Raw_Production!O697</f>
        <v>Polo</v>
      </c>
      <c r="F697" s="6">
        <f>Raw_Production!G697</f>
        <v>0.75</v>
      </c>
      <c r="G697" s="6">
        <f>Raw_Production!N697</f>
        <v>0.76</v>
      </c>
      <c r="H697" s="6">
        <f t="shared" si="10"/>
        <v>1.0000000000000009E-2</v>
      </c>
      <c r="I697" s="3">
        <f>Raw_Production!I697</f>
        <v>77</v>
      </c>
      <c r="J697" s="3">
        <f>Raw_Production!J697</f>
        <v>48</v>
      </c>
      <c r="K697" s="3">
        <f>Raw_Production!L697</f>
        <v>59</v>
      </c>
      <c r="L697" s="3">
        <f>Raw_Production!M697</f>
        <v>6</v>
      </c>
      <c r="M697" s="3">
        <f>Raw_Production!F697</f>
        <v>0</v>
      </c>
      <c r="N697" s="3">
        <f>Raw_Production!K697</f>
        <v>2156</v>
      </c>
      <c r="O697" s="3">
        <f>Raw_Production!H697</f>
        <v>8.9</v>
      </c>
      <c r="P697" s="3">
        <f>Raw_Production!E697</f>
        <v>33</v>
      </c>
    </row>
    <row r="698" spans="1:16" x14ac:dyDescent="0.3">
      <c r="A698" s="4">
        <f>Raw_Production!A698</f>
        <v>46143</v>
      </c>
      <c r="B698" s="3" t="str">
        <f>Raw_Production!C698</f>
        <v>Cutting</v>
      </c>
      <c r="C698" s="3" t="str">
        <f>Raw_Production!D698</f>
        <v>T01</v>
      </c>
      <c r="D698" s="3" t="str">
        <f>Raw_Production!P698</f>
        <v>ST-102</v>
      </c>
      <c r="E698" s="3" t="str">
        <f>Raw_Production!O698</f>
        <v>Polo</v>
      </c>
      <c r="F698" s="6">
        <f>Raw_Production!G698</f>
        <v>0.89</v>
      </c>
      <c r="G698" s="6">
        <f>Raw_Production!N698</f>
        <v>0.98</v>
      </c>
      <c r="H698" s="6">
        <f t="shared" si="10"/>
        <v>8.9999999999999969E-2</v>
      </c>
      <c r="I698" s="3">
        <f>Raw_Production!I698</f>
        <v>169</v>
      </c>
      <c r="J698" s="3">
        <f>Raw_Production!J698</f>
        <v>33</v>
      </c>
      <c r="K698" s="3">
        <f>Raw_Production!L698</f>
        <v>22</v>
      </c>
      <c r="L698" s="3">
        <f>Raw_Production!M698</f>
        <v>1</v>
      </c>
      <c r="M698" s="3">
        <f>Raw_Production!F698</f>
        <v>0</v>
      </c>
      <c r="N698" s="3">
        <f>Raw_Production!K698</f>
        <v>837</v>
      </c>
      <c r="O698" s="3">
        <f>Raw_Production!H698</f>
        <v>15.6</v>
      </c>
      <c r="P698" s="3">
        <f>Raw_Production!E698</f>
        <v>24</v>
      </c>
    </row>
    <row r="699" spans="1:16" x14ac:dyDescent="0.3">
      <c r="A699" s="4">
        <f>Raw_Production!A699</f>
        <v>46143</v>
      </c>
      <c r="B699" s="3" t="str">
        <f>Raw_Production!C699</f>
        <v>Cutting</v>
      </c>
      <c r="C699" s="3" t="str">
        <f>Raw_Production!D699</f>
        <v>T06</v>
      </c>
      <c r="D699" s="3" t="str">
        <f>Raw_Production!P699</f>
        <v>ST-109</v>
      </c>
      <c r="E699" s="3" t="str">
        <f>Raw_Production!O699</f>
        <v>Shirt</v>
      </c>
      <c r="F699" s="6">
        <f>Raw_Production!G699</f>
        <v>0.83</v>
      </c>
      <c r="G699" s="6">
        <f>Raw_Production!N699</f>
        <v>0.64</v>
      </c>
      <c r="H699" s="6">
        <f t="shared" si="10"/>
        <v>-0.18999999999999995</v>
      </c>
      <c r="I699" s="3">
        <f>Raw_Production!I699</f>
        <v>242</v>
      </c>
      <c r="J699" s="3">
        <f>Raw_Production!J699</f>
        <v>55</v>
      </c>
      <c r="K699" s="3">
        <f>Raw_Production!L699</f>
        <v>115</v>
      </c>
      <c r="L699" s="3">
        <f>Raw_Production!M699</f>
        <v>6</v>
      </c>
      <c r="M699" s="3">
        <f>Raw_Production!F699</f>
        <v>1</v>
      </c>
      <c r="N699" s="3">
        <f>Raw_Production!K699</f>
        <v>1931</v>
      </c>
      <c r="O699" s="3">
        <f>Raw_Production!H699</f>
        <v>11.5</v>
      </c>
      <c r="P699" s="3">
        <f>Raw_Production!E699</f>
        <v>27</v>
      </c>
    </row>
    <row r="700" spans="1:16" x14ac:dyDescent="0.3">
      <c r="A700" s="4">
        <f>Raw_Production!A700</f>
        <v>46143</v>
      </c>
      <c r="B700" s="3" t="str">
        <f>Raw_Production!C700</f>
        <v>Sewing</v>
      </c>
      <c r="C700" s="3" t="str">
        <f>Raw_Production!D700</f>
        <v>T02</v>
      </c>
      <c r="D700" s="3" t="str">
        <f>Raw_Production!P700</f>
        <v>ST-105</v>
      </c>
      <c r="E700" s="3" t="str">
        <f>Raw_Production!O700</f>
        <v>Jacket</v>
      </c>
      <c r="F700" s="6">
        <f>Raw_Production!G700</f>
        <v>0.87</v>
      </c>
      <c r="G700" s="6">
        <f>Raw_Production!N700</f>
        <v>0.93</v>
      </c>
      <c r="H700" s="6">
        <f t="shared" si="10"/>
        <v>6.0000000000000053E-2</v>
      </c>
      <c r="I700" s="3">
        <f>Raw_Production!I700</f>
        <v>399</v>
      </c>
      <c r="J700" s="3">
        <f>Raw_Production!J700</f>
        <v>51</v>
      </c>
      <c r="K700" s="3">
        <f>Raw_Production!L700</f>
        <v>7</v>
      </c>
      <c r="L700" s="3">
        <f>Raw_Production!M700</f>
        <v>5</v>
      </c>
      <c r="M700" s="3">
        <f>Raw_Production!F700</f>
        <v>0</v>
      </c>
      <c r="N700" s="3">
        <f>Raw_Production!K700</f>
        <v>3490</v>
      </c>
      <c r="O700" s="3">
        <f>Raw_Production!H700</f>
        <v>7.6</v>
      </c>
      <c r="P700" s="3">
        <f>Raw_Production!E700</f>
        <v>34</v>
      </c>
    </row>
    <row r="701" spans="1:16" x14ac:dyDescent="0.3">
      <c r="A701" s="4">
        <f>Raw_Production!A701</f>
        <v>46143</v>
      </c>
      <c r="B701" s="3" t="str">
        <f>Raw_Production!C701</f>
        <v>Sewing</v>
      </c>
      <c r="C701" s="3" t="str">
        <f>Raw_Production!D701</f>
        <v>T03</v>
      </c>
      <c r="D701" s="3" t="str">
        <f>Raw_Production!P701</f>
        <v>ST-105</v>
      </c>
      <c r="E701" s="3" t="str">
        <f>Raw_Production!O701</f>
        <v>Jacket</v>
      </c>
      <c r="F701" s="6">
        <f>Raw_Production!G701</f>
        <v>0.87</v>
      </c>
      <c r="G701" s="6">
        <f>Raw_Production!N701</f>
        <v>0.71</v>
      </c>
      <c r="H701" s="6">
        <f t="shared" si="10"/>
        <v>-0.16000000000000003</v>
      </c>
      <c r="I701" s="3">
        <f>Raw_Production!I701</f>
        <v>274</v>
      </c>
      <c r="J701" s="3">
        <f>Raw_Production!J701</f>
        <v>21</v>
      </c>
      <c r="K701" s="3">
        <f>Raw_Production!L701</f>
        <v>21</v>
      </c>
      <c r="L701" s="3">
        <f>Raw_Production!M701</f>
        <v>3</v>
      </c>
      <c r="M701" s="3">
        <f>Raw_Production!F701</f>
        <v>0</v>
      </c>
      <c r="N701" s="3">
        <f>Raw_Production!K701</f>
        <v>3969</v>
      </c>
      <c r="O701" s="3">
        <f>Raw_Production!H701</f>
        <v>14.7</v>
      </c>
      <c r="P701" s="3">
        <f>Raw_Production!E701</f>
        <v>24</v>
      </c>
    </row>
    <row r="702" spans="1:16" x14ac:dyDescent="0.3">
      <c r="A702" s="4">
        <f>Raw_Production!A702</f>
        <v>46143</v>
      </c>
      <c r="B702" s="3" t="str">
        <f>Raw_Production!C702</f>
        <v>Finishing</v>
      </c>
      <c r="C702" s="3" t="str">
        <f>Raw_Production!D702</f>
        <v>T04</v>
      </c>
      <c r="D702" s="3" t="str">
        <f>Raw_Production!P702</f>
        <v>ST-103</v>
      </c>
      <c r="E702" s="3" t="str">
        <f>Raw_Production!O702</f>
        <v>Hoodie</v>
      </c>
      <c r="F702" s="6">
        <f>Raw_Production!G702</f>
        <v>0.74</v>
      </c>
      <c r="G702" s="6">
        <f>Raw_Production!N702</f>
        <v>0.54</v>
      </c>
      <c r="H702" s="6">
        <f t="shared" si="10"/>
        <v>-0.19999999999999996</v>
      </c>
      <c r="I702" s="3">
        <f>Raw_Production!I702</f>
        <v>61</v>
      </c>
      <c r="J702" s="3">
        <f>Raw_Production!J702</f>
        <v>97</v>
      </c>
      <c r="K702" s="3">
        <f>Raw_Production!L702</f>
        <v>108</v>
      </c>
      <c r="L702" s="3">
        <f>Raw_Production!M702</f>
        <v>4</v>
      </c>
      <c r="M702" s="3">
        <f>Raw_Production!F702</f>
        <v>1</v>
      </c>
      <c r="N702" s="3">
        <f>Raw_Production!K702</f>
        <v>3701</v>
      </c>
      <c r="O702" s="3">
        <f>Raw_Production!H702</f>
        <v>14.6</v>
      </c>
      <c r="P702" s="3">
        <f>Raw_Production!E702</f>
        <v>22</v>
      </c>
    </row>
    <row r="703" spans="1:16" x14ac:dyDescent="0.3">
      <c r="A703" s="4">
        <f>Raw_Production!A703</f>
        <v>46143</v>
      </c>
      <c r="B703" s="3" t="str">
        <f>Raw_Production!C703</f>
        <v>Finishing</v>
      </c>
      <c r="C703" s="3" t="str">
        <f>Raw_Production!D703</f>
        <v>T05</v>
      </c>
      <c r="D703" s="3" t="str">
        <f>Raw_Production!P703</f>
        <v>ST-106</v>
      </c>
      <c r="E703" s="3" t="str">
        <f>Raw_Production!O703</f>
        <v>T-Shirt</v>
      </c>
      <c r="F703" s="6">
        <f>Raw_Production!G703</f>
        <v>0.81</v>
      </c>
      <c r="G703" s="6">
        <f>Raw_Production!N703</f>
        <v>0.7</v>
      </c>
      <c r="H703" s="6">
        <f t="shared" si="10"/>
        <v>-0.1100000000000001</v>
      </c>
      <c r="I703" s="3">
        <f>Raw_Production!I703</f>
        <v>232</v>
      </c>
      <c r="J703" s="3">
        <f>Raw_Production!J703</f>
        <v>132</v>
      </c>
      <c r="K703" s="3">
        <f>Raw_Production!L703</f>
        <v>119</v>
      </c>
      <c r="L703" s="3">
        <f>Raw_Production!M703</f>
        <v>2</v>
      </c>
      <c r="M703" s="3">
        <f>Raw_Production!F703</f>
        <v>0</v>
      </c>
      <c r="N703" s="3">
        <f>Raw_Production!K703</f>
        <v>3308</v>
      </c>
      <c r="O703" s="3">
        <f>Raw_Production!H703</f>
        <v>7.5</v>
      </c>
      <c r="P703" s="3">
        <f>Raw_Production!E703</f>
        <v>27</v>
      </c>
    </row>
    <row r="704" spans="1:16" x14ac:dyDescent="0.3">
      <c r="A704" s="4">
        <f>Raw_Production!A704</f>
        <v>46144</v>
      </c>
      <c r="B704" s="3" t="str">
        <f>Raw_Production!C704</f>
        <v>Cutting</v>
      </c>
      <c r="C704" s="3" t="str">
        <f>Raw_Production!D704</f>
        <v>T01</v>
      </c>
      <c r="D704" s="3" t="str">
        <f>Raw_Production!P704</f>
        <v>ST-109</v>
      </c>
      <c r="E704" s="3" t="str">
        <f>Raw_Production!O704</f>
        <v>Shirt</v>
      </c>
      <c r="F704" s="6">
        <f>Raw_Production!G704</f>
        <v>0.76</v>
      </c>
      <c r="G704" s="6">
        <f>Raw_Production!N704</f>
        <v>0.82</v>
      </c>
      <c r="H704" s="6">
        <f t="shared" si="10"/>
        <v>5.9999999999999942E-2</v>
      </c>
      <c r="I704" s="3">
        <f>Raw_Production!I704</f>
        <v>374</v>
      </c>
      <c r="J704" s="3">
        <f>Raw_Production!J704</f>
        <v>54</v>
      </c>
      <c r="K704" s="3">
        <f>Raw_Production!L704</f>
        <v>24</v>
      </c>
      <c r="L704" s="3">
        <f>Raw_Production!M704</f>
        <v>2</v>
      </c>
      <c r="M704" s="3">
        <f>Raw_Production!F704</f>
        <v>2</v>
      </c>
      <c r="N704" s="3">
        <f>Raw_Production!K704</f>
        <v>1612</v>
      </c>
      <c r="O704" s="3">
        <f>Raw_Production!H704</f>
        <v>16</v>
      </c>
      <c r="P704" s="3">
        <f>Raw_Production!E704</f>
        <v>23</v>
      </c>
    </row>
    <row r="705" spans="1:16" x14ac:dyDescent="0.3">
      <c r="A705" s="4">
        <f>Raw_Production!A705</f>
        <v>46144</v>
      </c>
      <c r="B705" s="3" t="str">
        <f>Raw_Production!C705</f>
        <v>Cutting</v>
      </c>
      <c r="C705" s="3" t="str">
        <f>Raw_Production!D705</f>
        <v>T06</v>
      </c>
      <c r="D705" s="3" t="str">
        <f>Raw_Production!P705</f>
        <v>ST-102</v>
      </c>
      <c r="E705" s="3" t="str">
        <f>Raw_Production!O705</f>
        <v>Polo</v>
      </c>
      <c r="F705" s="6">
        <f>Raw_Production!G705</f>
        <v>0.82</v>
      </c>
      <c r="G705" s="6">
        <f>Raw_Production!N705</f>
        <v>0.67</v>
      </c>
      <c r="H705" s="6">
        <f t="shared" si="10"/>
        <v>-0.14999999999999991</v>
      </c>
      <c r="I705" s="3">
        <f>Raw_Production!I705</f>
        <v>404</v>
      </c>
      <c r="J705" s="3">
        <f>Raw_Production!J705</f>
        <v>135</v>
      </c>
      <c r="K705" s="3">
        <f>Raw_Production!L705</f>
        <v>62</v>
      </c>
      <c r="L705" s="3">
        <f>Raw_Production!M705</f>
        <v>2</v>
      </c>
      <c r="M705" s="3">
        <f>Raw_Production!F705</f>
        <v>3</v>
      </c>
      <c r="N705" s="3">
        <f>Raw_Production!K705</f>
        <v>175</v>
      </c>
      <c r="O705" s="3">
        <f>Raw_Production!H705</f>
        <v>11.7</v>
      </c>
      <c r="P705" s="3">
        <f>Raw_Production!E705</f>
        <v>35</v>
      </c>
    </row>
    <row r="706" spans="1:16" x14ac:dyDescent="0.3">
      <c r="A706" s="4">
        <f>Raw_Production!A706</f>
        <v>46144</v>
      </c>
      <c r="B706" s="3" t="str">
        <f>Raw_Production!C706</f>
        <v>Sewing</v>
      </c>
      <c r="C706" s="3" t="str">
        <f>Raw_Production!D706</f>
        <v>T02</v>
      </c>
      <c r="D706" s="3" t="str">
        <f>Raw_Production!P706</f>
        <v>ST-101</v>
      </c>
      <c r="E706" s="3" t="str">
        <f>Raw_Production!O706</f>
        <v>T-Shirt</v>
      </c>
      <c r="F706" s="6">
        <f>Raw_Production!G706</f>
        <v>0.81</v>
      </c>
      <c r="G706" s="6">
        <f>Raw_Production!N706</f>
        <v>0.66</v>
      </c>
      <c r="H706" s="6">
        <f t="shared" ref="H706:H769" si="11">G706-F706</f>
        <v>-0.15000000000000002</v>
      </c>
      <c r="I706" s="3">
        <f>Raw_Production!I706</f>
        <v>239</v>
      </c>
      <c r="J706" s="3">
        <f>Raw_Production!J706</f>
        <v>123</v>
      </c>
      <c r="K706" s="3">
        <f>Raw_Production!L706</f>
        <v>63</v>
      </c>
      <c r="L706" s="3">
        <f>Raw_Production!M706</f>
        <v>0</v>
      </c>
      <c r="M706" s="3">
        <f>Raw_Production!F706</f>
        <v>0</v>
      </c>
      <c r="N706" s="3">
        <f>Raw_Production!K706</f>
        <v>3362</v>
      </c>
      <c r="O706" s="3">
        <f>Raw_Production!H706</f>
        <v>11.1</v>
      </c>
      <c r="P706" s="3">
        <f>Raw_Production!E706</f>
        <v>23</v>
      </c>
    </row>
    <row r="707" spans="1:16" x14ac:dyDescent="0.3">
      <c r="A707" s="4">
        <f>Raw_Production!A707</f>
        <v>46144</v>
      </c>
      <c r="B707" s="3" t="str">
        <f>Raw_Production!C707</f>
        <v>Sewing</v>
      </c>
      <c r="C707" s="3" t="str">
        <f>Raw_Production!D707</f>
        <v>T03</v>
      </c>
      <c r="D707" s="3" t="str">
        <f>Raw_Production!P707</f>
        <v>ST-109</v>
      </c>
      <c r="E707" s="3" t="str">
        <f>Raw_Production!O707</f>
        <v>Shirt</v>
      </c>
      <c r="F707" s="6">
        <f>Raw_Production!G707</f>
        <v>0.86</v>
      </c>
      <c r="G707" s="6">
        <f>Raw_Production!N707</f>
        <v>0.72</v>
      </c>
      <c r="H707" s="6">
        <f t="shared" si="11"/>
        <v>-0.14000000000000001</v>
      </c>
      <c r="I707" s="3">
        <f>Raw_Production!I707</f>
        <v>305</v>
      </c>
      <c r="J707" s="3">
        <f>Raw_Production!J707</f>
        <v>29</v>
      </c>
      <c r="K707" s="3">
        <f>Raw_Production!L707</f>
        <v>70</v>
      </c>
      <c r="L707" s="3">
        <f>Raw_Production!M707</f>
        <v>3</v>
      </c>
      <c r="M707" s="3">
        <f>Raw_Production!F707</f>
        <v>0</v>
      </c>
      <c r="N707" s="3">
        <f>Raw_Production!K707</f>
        <v>3034</v>
      </c>
      <c r="O707" s="3">
        <f>Raw_Production!H707</f>
        <v>10.8</v>
      </c>
      <c r="P707" s="3">
        <f>Raw_Production!E707</f>
        <v>21</v>
      </c>
    </row>
    <row r="708" spans="1:16" x14ac:dyDescent="0.3">
      <c r="A708" s="4">
        <f>Raw_Production!A708</f>
        <v>46144</v>
      </c>
      <c r="B708" s="3" t="str">
        <f>Raw_Production!C708</f>
        <v>Finishing</v>
      </c>
      <c r="C708" s="3" t="str">
        <f>Raw_Production!D708</f>
        <v>T04</v>
      </c>
      <c r="D708" s="3" t="str">
        <f>Raw_Production!P708</f>
        <v>ST-108</v>
      </c>
      <c r="E708" s="3" t="str">
        <f>Raw_Production!O708</f>
        <v>Hoodie</v>
      </c>
      <c r="F708" s="6">
        <f>Raw_Production!G708</f>
        <v>0.78</v>
      </c>
      <c r="G708" s="6">
        <f>Raw_Production!N708</f>
        <v>0.73</v>
      </c>
      <c r="H708" s="6">
        <f t="shared" si="11"/>
        <v>-5.0000000000000044E-2</v>
      </c>
      <c r="I708" s="3">
        <f>Raw_Production!I708</f>
        <v>184</v>
      </c>
      <c r="J708" s="3">
        <f>Raw_Production!J708</f>
        <v>20</v>
      </c>
      <c r="K708" s="3">
        <f>Raw_Production!L708</f>
        <v>20</v>
      </c>
      <c r="L708" s="3">
        <f>Raw_Production!M708</f>
        <v>2</v>
      </c>
      <c r="M708" s="3">
        <f>Raw_Production!F708</f>
        <v>0</v>
      </c>
      <c r="N708" s="3">
        <f>Raw_Production!K708</f>
        <v>3541</v>
      </c>
      <c r="O708" s="3">
        <f>Raw_Production!H708</f>
        <v>18.399999999999999</v>
      </c>
      <c r="P708" s="3">
        <f>Raw_Production!E708</f>
        <v>28</v>
      </c>
    </row>
    <row r="709" spans="1:16" x14ac:dyDescent="0.3">
      <c r="A709" s="4">
        <f>Raw_Production!A709</f>
        <v>46144</v>
      </c>
      <c r="B709" s="3" t="str">
        <f>Raw_Production!C709</f>
        <v>Finishing</v>
      </c>
      <c r="C709" s="3" t="str">
        <f>Raw_Production!D709</f>
        <v>T05</v>
      </c>
      <c r="D709" s="3" t="str">
        <f>Raw_Production!P709</f>
        <v>ST-102</v>
      </c>
      <c r="E709" s="3" t="str">
        <f>Raw_Production!O709</f>
        <v>Polo</v>
      </c>
      <c r="F709" s="6">
        <f>Raw_Production!G709</f>
        <v>0.81</v>
      </c>
      <c r="G709" s="6">
        <f>Raw_Production!N709</f>
        <v>0.68</v>
      </c>
      <c r="H709" s="6">
        <f t="shared" si="11"/>
        <v>-0.13</v>
      </c>
      <c r="I709" s="3">
        <f>Raw_Production!I709</f>
        <v>115</v>
      </c>
      <c r="J709" s="3">
        <f>Raw_Production!J709</f>
        <v>7</v>
      </c>
      <c r="K709" s="3">
        <f>Raw_Production!L709</f>
        <v>96</v>
      </c>
      <c r="L709" s="3">
        <f>Raw_Production!M709</f>
        <v>8</v>
      </c>
      <c r="M709" s="3">
        <f>Raw_Production!F709</f>
        <v>1</v>
      </c>
      <c r="N709" s="3">
        <f>Raw_Production!K709</f>
        <v>3152</v>
      </c>
      <c r="O709" s="3">
        <f>Raw_Production!H709</f>
        <v>17.100000000000001</v>
      </c>
      <c r="P709" s="3">
        <f>Raw_Production!E709</f>
        <v>33</v>
      </c>
    </row>
    <row r="710" spans="1:16" x14ac:dyDescent="0.3">
      <c r="A710" s="4">
        <f>Raw_Production!A710</f>
        <v>46145</v>
      </c>
      <c r="B710" s="3" t="str">
        <f>Raw_Production!C710</f>
        <v>Cutting</v>
      </c>
      <c r="C710" s="3" t="str">
        <f>Raw_Production!D710</f>
        <v>T01</v>
      </c>
      <c r="D710" s="3" t="str">
        <f>Raw_Production!P710</f>
        <v>ST-103</v>
      </c>
      <c r="E710" s="3" t="str">
        <f>Raw_Production!O710</f>
        <v>Hoodie</v>
      </c>
      <c r="F710" s="6">
        <f>Raw_Production!G710</f>
        <v>0.74</v>
      </c>
      <c r="G710" s="6">
        <f>Raw_Production!N710</f>
        <v>0.63</v>
      </c>
      <c r="H710" s="6">
        <f t="shared" si="11"/>
        <v>-0.10999999999999999</v>
      </c>
      <c r="I710" s="3">
        <f>Raw_Production!I710</f>
        <v>122</v>
      </c>
      <c r="J710" s="3">
        <f>Raw_Production!J710</f>
        <v>5</v>
      </c>
      <c r="K710" s="3">
        <f>Raw_Production!L710</f>
        <v>89</v>
      </c>
      <c r="L710" s="3">
        <f>Raw_Production!M710</f>
        <v>3</v>
      </c>
      <c r="M710" s="3">
        <f>Raw_Production!F710</f>
        <v>1</v>
      </c>
      <c r="N710" s="3">
        <f>Raw_Production!K710</f>
        <v>1499</v>
      </c>
      <c r="O710" s="3">
        <f>Raw_Production!H710</f>
        <v>11.5</v>
      </c>
      <c r="P710" s="3">
        <f>Raw_Production!E710</f>
        <v>21</v>
      </c>
    </row>
    <row r="711" spans="1:16" x14ac:dyDescent="0.3">
      <c r="A711" s="4">
        <f>Raw_Production!A711</f>
        <v>46145</v>
      </c>
      <c r="B711" s="3" t="str">
        <f>Raw_Production!C711</f>
        <v>Cutting</v>
      </c>
      <c r="C711" s="3" t="str">
        <f>Raw_Production!D711</f>
        <v>T06</v>
      </c>
      <c r="D711" s="3" t="str">
        <f>Raw_Production!P711</f>
        <v>ST-107</v>
      </c>
      <c r="E711" s="3" t="str">
        <f>Raw_Production!O711</f>
        <v>Polo</v>
      </c>
      <c r="F711" s="6">
        <f>Raw_Production!G711</f>
        <v>0.78</v>
      </c>
      <c r="G711" s="6">
        <f>Raw_Production!N711</f>
        <v>0.61</v>
      </c>
      <c r="H711" s="6">
        <f t="shared" si="11"/>
        <v>-0.17000000000000004</v>
      </c>
      <c r="I711" s="3">
        <f>Raw_Production!I711</f>
        <v>55</v>
      </c>
      <c r="J711" s="3">
        <f>Raw_Production!J711</f>
        <v>70</v>
      </c>
      <c r="K711" s="3">
        <f>Raw_Production!L711</f>
        <v>50</v>
      </c>
      <c r="L711" s="3">
        <f>Raw_Production!M711</f>
        <v>3</v>
      </c>
      <c r="M711" s="3">
        <f>Raw_Production!F711</f>
        <v>1</v>
      </c>
      <c r="N711" s="3">
        <f>Raw_Production!K711</f>
        <v>4321</v>
      </c>
      <c r="O711" s="3">
        <f>Raw_Production!H711</f>
        <v>14.2</v>
      </c>
      <c r="P711" s="3">
        <f>Raw_Production!E711</f>
        <v>30</v>
      </c>
    </row>
    <row r="712" spans="1:16" x14ac:dyDescent="0.3">
      <c r="A712" s="4">
        <f>Raw_Production!A712</f>
        <v>46145</v>
      </c>
      <c r="B712" s="3" t="str">
        <f>Raw_Production!C712</f>
        <v>Sewing</v>
      </c>
      <c r="C712" s="3" t="str">
        <f>Raw_Production!D712</f>
        <v>T02</v>
      </c>
      <c r="D712" s="3" t="str">
        <f>Raw_Production!P712</f>
        <v>ST-110</v>
      </c>
      <c r="E712" s="3" t="str">
        <f>Raw_Production!O712</f>
        <v>Jacket</v>
      </c>
      <c r="F712" s="6">
        <f>Raw_Production!G712</f>
        <v>0.84</v>
      </c>
      <c r="G712" s="6">
        <f>Raw_Production!N712</f>
        <v>0.77</v>
      </c>
      <c r="H712" s="6">
        <f t="shared" si="11"/>
        <v>-6.9999999999999951E-2</v>
      </c>
      <c r="I712" s="3">
        <f>Raw_Production!I712</f>
        <v>356</v>
      </c>
      <c r="J712" s="3">
        <f>Raw_Production!J712</f>
        <v>133</v>
      </c>
      <c r="K712" s="3">
        <f>Raw_Production!L712</f>
        <v>92</v>
      </c>
      <c r="L712" s="3">
        <f>Raw_Production!M712</f>
        <v>7</v>
      </c>
      <c r="M712" s="3">
        <f>Raw_Production!F712</f>
        <v>0</v>
      </c>
      <c r="N712" s="3">
        <f>Raw_Production!K712</f>
        <v>1904</v>
      </c>
      <c r="O712" s="3">
        <f>Raw_Production!H712</f>
        <v>9.3000000000000007</v>
      </c>
      <c r="P712" s="3">
        <f>Raw_Production!E712</f>
        <v>30</v>
      </c>
    </row>
    <row r="713" spans="1:16" x14ac:dyDescent="0.3">
      <c r="A713" s="4">
        <f>Raw_Production!A713</f>
        <v>46145</v>
      </c>
      <c r="B713" s="3" t="str">
        <f>Raw_Production!C713</f>
        <v>Sewing</v>
      </c>
      <c r="C713" s="3" t="str">
        <f>Raw_Production!D713</f>
        <v>T03</v>
      </c>
      <c r="D713" s="3" t="str">
        <f>Raw_Production!P713</f>
        <v>ST-107</v>
      </c>
      <c r="E713" s="3" t="str">
        <f>Raw_Production!O713</f>
        <v>Polo</v>
      </c>
      <c r="F713" s="6">
        <f>Raw_Production!G713</f>
        <v>0.88</v>
      </c>
      <c r="G713" s="6">
        <f>Raw_Production!N713</f>
        <v>0.73</v>
      </c>
      <c r="H713" s="6">
        <f t="shared" si="11"/>
        <v>-0.15000000000000002</v>
      </c>
      <c r="I713" s="3">
        <f>Raw_Production!I713</f>
        <v>320</v>
      </c>
      <c r="J713" s="3">
        <f>Raw_Production!J713</f>
        <v>52</v>
      </c>
      <c r="K713" s="3">
        <f>Raw_Production!L713</f>
        <v>41</v>
      </c>
      <c r="L713" s="3">
        <f>Raw_Production!M713</f>
        <v>2</v>
      </c>
      <c r="M713" s="3">
        <f>Raw_Production!F713</f>
        <v>2</v>
      </c>
      <c r="N713" s="3">
        <f>Raw_Production!K713</f>
        <v>3486</v>
      </c>
      <c r="O713" s="3">
        <f>Raw_Production!H713</f>
        <v>16.600000000000001</v>
      </c>
      <c r="P713" s="3">
        <f>Raw_Production!E713</f>
        <v>30</v>
      </c>
    </row>
    <row r="714" spans="1:16" x14ac:dyDescent="0.3">
      <c r="A714" s="4">
        <f>Raw_Production!A714</f>
        <v>46145</v>
      </c>
      <c r="B714" s="3" t="str">
        <f>Raw_Production!C714</f>
        <v>Finishing</v>
      </c>
      <c r="C714" s="3" t="str">
        <f>Raw_Production!D714</f>
        <v>T04</v>
      </c>
      <c r="D714" s="3" t="str">
        <f>Raw_Production!P714</f>
        <v>ST-107</v>
      </c>
      <c r="E714" s="3" t="str">
        <f>Raw_Production!O714</f>
        <v>Polo</v>
      </c>
      <c r="F714" s="6">
        <f>Raw_Production!G714</f>
        <v>0.81</v>
      </c>
      <c r="G714" s="6">
        <f>Raw_Production!N714</f>
        <v>0.81</v>
      </c>
      <c r="H714" s="6">
        <f t="shared" si="11"/>
        <v>0</v>
      </c>
      <c r="I714" s="3">
        <f>Raw_Production!I714</f>
        <v>132</v>
      </c>
      <c r="J714" s="3">
        <f>Raw_Production!J714</f>
        <v>71</v>
      </c>
      <c r="K714" s="3">
        <f>Raw_Production!L714</f>
        <v>57</v>
      </c>
      <c r="L714" s="3">
        <f>Raw_Production!M714</f>
        <v>0</v>
      </c>
      <c r="M714" s="3">
        <f>Raw_Production!F714</f>
        <v>0</v>
      </c>
      <c r="N714" s="3">
        <f>Raw_Production!K714</f>
        <v>1438</v>
      </c>
      <c r="O714" s="3">
        <f>Raw_Production!H714</f>
        <v>11.4</v>
      </c>
      <c r="P714" s="3">
        <f>Raw_Production!E714</f>
        <v>20</v>
      </c>
    </row>
    <row r="715" spans="1:16" x14ac:dyDescent="0.3">
      <c r="A715" s="4">
        <f>Raw_Production!A715</f>
        <v>46145</v>
      </c>
      <c r="B715" s="3" t="str">
        <f>Raw_Production!C715</f>
        <v>Finishing</v>
      </c>
      <c r="C715" s="3" t="str">
        <f>Raw_Production!D715</f>
        <v>T05</v>
      </c>
      <c r="D715" s="3" t="str">
        <f>Raw_Production!P715</f>
        <v>ST-110</v>
      </c>
      <c r="E715" s="3" t="str">
        <f>Raw_Production!O715</f>
        <v>Jacket</v>
      </c>
      <c r="F715" s="6">
        <f>Raw_Production!G715</f>
        <v>0.72</v>
      </c>
      <c r="G715" s="6">
        <f>Raw_Production!N715</f>
        <v>0.78</v>
      </c>
      <c r="H715" s="6">
        <f t="shared" si="11"/>
        <v>6.0000000000000053E-2</v>
      </c>
      <c r="I715" s="3">
        <f>Raw_Production!I715</f>
        <v>214</v>
      </c>
      <c r="J715" s="3">
        <f>Raw_Production!J715</f>
        <v>69</v>
      </c>
      <c r="K715" s="3">
        <f>Raw_Production!L715</f>
        <v>63</v>
      </c>
      <c r="L715" s="3">
        <f>Raw_Production!M715</f>
        <v>5</v>
      </c>
      <c r="M715" s="3">
        <f>Raw_Production!F715</f>
        <v>1</v>
      </c>
      <c r="N715" s="3">
        <f>Raw_Production!K715</f>
        <v>2447</v>
      </c>
      <c r="O715" s="3">
        <f>Raw_Production!H715</f>
        <v>10.1</v>
      </c>
      <c r="P715" s="3">
        <f>Raw_Production!E715</f>
        <v>29</v>
      </c>
    </row>
    <row r="716" spans="1:16" x14ac:dyDescent="0.3">
      <c r="A716" s="4">
        <f>Raw_Production!A716</f>
        <v>46146</v>
      </c>
      <c r="B716" s="3" t="str">
        <f>Raw_Production!C716</f>
        <v>Cutting</v>
      </c>
      <c r="C716" s="3" t="str">
        <f>Raw_Production!D716</f>
        <v>T01</v>
      </c>
      <c r="D716" s="3" t="str">
        <f>Raw_Production!P716</f>
        <v>ST-103</v>
      </c>
      <c r="E716" s="3" t="str">
        <f>Raw_Production!O716</f>
        <v>Hoodie</v>
      </c>
      <c r="F716" s="6">
        <f>Raw_Production!G716</f>
        <v>0.86</v>
      </c>
      <c r="G716" s="6">
        <f>Raw_Production!N716</f>
        <v>0.86</v>
      </c>
      <c r="H716" s="6">
        <f t="shared" si="11"/>
        <v>0</v>
      </c>
      <c r="I716" s="3">
        <f>Raw_Production!I716</f>
        <v>437</v>
      </c>
      <c r="J716" s="3">
        <f>Raw_Production!J716</f>
        <v>123</v>
      </c>
      <c r="K716" s="3">
        <f>Raw_Production!L716</f>
        <v>77</v>
      </c>
      <c r="L716" s="3">
        <f>Raw_Production!M716</f>
        <v>5</v>
      </c>
      <c r="M716" s="3">
        <f>Raw_Production!F716</f>
        <v>1</v>
      </c>
      <c r="N716" s="3">
        <f>Raw_Production!K716</f>
        <v>4345</v>
      </c>
      <c r="O716" s="3">
        <f>Raw_Production!H716</f>
        <v>11.3</v>
      </c>
      <c r="P716" s="3">
        <f>Raw_Production!E716</f>
        <v>34</v>
      </c>
    </row>
    <row r="717" spans="1:16" x14ac:dyDescent="0.3">
      <c r="A717" s="4">
        <f>Raw_Production!A717</f>
        <v>46146</v>
      </c>
      <c r="B717" s="3" t="str">
        <f>Raw_Production!C717</f>
        <v>Cutting</v>
      </c>
      <c r="C717" s="3" t="str">
        <f>Raw_Production!D717</f>
        <v>T06</v>
      </c>
      <c r="D717" s="3" t="str">
        <f>Raw_Production!P717</f>
        <v>ST-109</v>
      </c>
      <c r="E717" s="3" t="str">
        <f>Raw_Production!O717</f>
        <v>Shirt</v>
      </c>
      <c r="F717" s="6">
        <f>Raw_Production!G717</f>
        <v>0.78</v>
      </c>
      <c r="G717" s="6">
        <f>Raw_Production!N717</f>
        <v>0.62</v>
      </c>
      <c r="H717" s="6">
        <f t="shared" si="11"/>
        <v>-0.16000000000000003</v>
      </c>
      <c r="I717" s="3">
        <f>Raw_Production!I717</f>
        <v>420</v>
      </c>
      <c r="J717" s="3">
        <f>Raw_Production!J717</f>
        <v>56</v>
      </c>
      <c r="K717" s="3">
        <f>Raw_Production!L717</f>
        <v>104</v>
      </c>
      <c r="L717" s="3">
        <f>Raw_Production!M717</f>
        <v>0</v>
      </c>
      <c r="M717" s="3">
        <f>Raw_Production!F717</f>
        <v>1</v>
      </c>
      <c r="N717" s="3">
        <f>Raw_Production!K717</f>
        <v>3069</v>
      </c>
      <c r="O717" s="3">
        <f>Raw_Production!H717</f>
        <v>11.6</v>
      </c>
      <c r="P717" s="3">
        <f>Raw_Production!E717</f>
        <v>31</v>
      </c>
    </row>
    <row r="718" spans="1:16" x14ac:dyDescent="0.3">
      <c r="A718" s="4">
        <f>Raw_Production!A718</f>
        <v>46146</v>
      </c>
      <c r="B718" s="3" t="str">
        <f>Raw_Production!C718</f>
        <v>Sewing</v>
      </c>
      <c r="C718" s="3" t="str">
        <f>Raw_Production!D718</f>
        <v>T02</v>
      </c>
      <c r="D718" s="3" t="str">
        <f>Raw_Production!P718</f>
        <v>ST-105</v>
      </c>
      <c r="E718" s="3" t="str">
        <f>Raw_Production!O718</f>
        <v>Jacket</v>
      </c>
      <c r="F718" s="6">
        <f>Raw_Production!G718</f>
        <v>0.85</v>
      </c>
      <c r="G718" s="6">
        <f>Raw_Production!N718</f>
        <v>0.82</v>
      </c>
      <c r="H718" s="6">
        <f t="shared" si="11"/>
        <v>-3.0000000000000027E-2</v>
      </c>
      <c r="I718" s="3">
        <f>Raw_Production!I718</f>
        <v>131</v>
      </c>
      <c r="J718" s="3">
        <f>Raw_Production!J718</f>
        <v>97</v>
      </c>
      <c r="K718" s="3">
        <f>Raw_Production!L718</f>
        <v>20</v>
      </c>
      <c r="L718" s="3">
        <f>Raw_Production!M718</f>
        <v>5</v>
      </c>
      <c r="M718" s="3">
        <f>Raw_Production!F718</f>
        <v>2</v>
      </c>
      <c r="N718" s="3">
        <f>Raw_Production!K718</f>
        <v>549</v>
      </c>
      <c r="O718" s="3">
        <f>Raw_Production!H718</f>
        <v>7.8</v>
      </c>
      <c r="P718" s="3">
        <f>Raw_Production!E718</f>
        <v>34</v>
      </c>
    </row>
    <row r="719" spans="1:16" x14ac:dyDescent="0.3">
      <c r="A719" s="4">
        <f>Raw_Production!A719</f>
        <v>46146</v>
      </c>
      <c r="B719" s="3" t="str">
        <f>Raw_Production!C719</f>
        <v>Sewing</v>
      </c>
      <c r="C719" s="3" t="str">
        <f>Raw_Production!D719</f>
        <v>T03</v>
      </c>
      <c r="D719" s="3" t="str">
        <f>Raw_Production!P719</f>
        <v>ST-104</v>
      </c>
      <c r="E719" s="3" t="str">
        <f>Raw_Production!O719</f>
        <v>Shirt</v>
      </c>
      <c r="F719" s="6">
        <f>Raw_Production!G719</f>
        <v>0.76</v>
      </c>
      <c r="G719" s="6">
        <f>Raw_Production!N719</f>
        <v>0.82</v>
      </c>
      <c r="H719" s="6">
        <f t="shared" si="11"/>
        <v>5.9999999999999942E-2</v>
      </c>
      <c r="I719" s="3">
        <f>Raw_Production!I719</f>
        <v>239</v>
      </c>
      <c r="J719" s="3">
        <f>Raw_Production!J719</f>
        <v>87</v>
      </c>
      <c r="K719" s="3">
        <f>Raw_Production!L719</f>
        <v>16</v>
      </c>
      <c r="L719" s="3">
        <f>Raw_Production!M719</f>
        <v>2</v>
      </c>
      <c r="M719" s="3">
        <f>Raw_Production!F719</f>
        <v>1</v>
      </c>
      <c r="N719" s="3">
        <f>Raw_Production!K719</f>
        <v>1775</v>
      </c>
      <c r="O719" s="3">
        <f>Raw_Production!H719</f>
        <v>13.4</v>
      </c>
      <c r="P719" s="3">
        <f>Raw_Production!E719</f>
        <v>29</v>
      </c>
    </row>
    <row r="720" spans="1:16" x14ac:dyDescent="0.3">
      <c r="A720" s="4">
        <f>Raw_Production!A720</f>
        <v>46146</v>
      </c>
      <c r="B720" s="3" t="str">
        <f>Raw_Production!C720</f>
        <v>Finishing</v>
      </c>
      <c r="C720" s="3" t="str">
        <f>Raw_Production!D720</f>
        <v>T04</v>
      </c>
      <c r="D720" s="3" t="str">
        <f>Raw_Production!P720</f>
        <v>ST-105</v>
      </c>
      <c r="E720" s="3" t="str">
        <f>Raw_Production!O720</f>
        <v>Jacket</v>
      </c>
      <c r="F720" s="6">
        <f>Raw_Production!G720</f>
        <v>0.75</v>
      </c>
      <c r="G720" s="6">
        <f>Raw_Production!N720</f>
        <v>0.63</v>
      </c>
      <c r="H720" s="6">
        <f t="shared" si="11"/>
        <v>-0.12</v>
      </c>
      <c r="I720" s="3">
        <f>Raw_Production!I720</f>
        <v>109</v>
      </c>
      <c r="J720" s="3">
        <f>Raw_Production!J720</f>
        <v>30</v>
      </c>
      <c r="K720" s="3">
        <f>Raw_Production!L720</f>
        <v>101</v>
      </c>
      <c r="L720" s="3">
        <f>Raw_Production!M720</f>
        <v>2</v>
      </c>
      <c r="M720" s="3">
        <f>Raw_Production!F720</f>
        <v>1</v>
      </c>
      <c r="N720" s="3">
        <f>Raw_Production!K720</f>
        <v>3869</v>
      </c>
      <c r="O720" s="3">
        <f>Raw_Production!H720</f>
        <v>16.5</v>
      </c>
      <c r="P720" s="3">
        <f>Raw_Production!E720</f>
        <v>35</v>
      </c>
    </row>
    <row r="721" spans="1:16" x14ac:dyDescent="0.3">
      <c r="A721" s="4">
        <f>Raw_Production!A721</f>
        <v>46146</v>
      </c>
      <c r="B721" s="3" t="str">
        <f>Raw_Production!C721</f>
        <v>Finishing</v>
      </c>
      <c r="C721" s="3" t="str">
        <f>Raw_Production!D721</f>
        <v>T05</v>
      </c>
      <c r="D721" s="3" t="str">
        <f>Raw_Production!P721</f>
        <v>ST-105</v>
      </c>
      <c r="E721" s="3" t="str">
        <f>Raw_Production!O721</f>
        <v>Jacket</v>
      </c>
      <c r="F721" s="6">
        <f>Raw_Production!G721</f>
        <v>0.86</v>
      </c>
      <c r="G721" s="6">
        <f>Raw_Production!N721</f>
        <v>0.9</v>
      </c>
      <c r="H721" s="6">
        <f t="shared" si="11"/>
        <v>4.0000000000000036E-2</v>
      </c>
      <c r="I721" s="3">
        <f>Raw_Production!I721</f>
        <v>259</v>
      </c>
      <c r="J721" s="3">
        <f>Raw_Production!J721</f>
        <v>36</v>
      </c>
      <c r="K721" s="3">
        <f>Raw_Production!L721</f>
        <v>102</v>
      </c>
      <c r="L721" s="3">
        <f>Raw_Production!M721</f>
        <v>5</v>
      </c>
      <c r="M721" s="3">
        <f>Raw_Production!F721</f>
        <v>1</v>
      </c>
      <c r="N721" s="3">
        <f>Raw_Production!K721</f>
        <v>1327</v>
      </c>
      <c r="O721" s="3">
        <f>Raw_Production!H721</f>
        <v>9.1</v>
      </c>
      <c r="P721" s="3">
        <f>Raw_Production!E721</f>
        <v>20</v>
      </c>
    </row>
  </sheetData>
  <autoFilter ref="A1:P721" xr:uid="{00000000-0009-0000-0000-000009000000}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  <pageSetUpPr fitToPage="1"/>
  </sheetPr>
  <dimension ref="A1:L8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8" customWidth="1"/>
    <col min="3" max="3" width="24" customWidth="1"/>
    <col min="4" max="12" width="18" customWidth="1"/>
  </cols>
  <sheetData>
    <row r="1" spans="1:12" x14ac:dyDescent="0.3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0</v>
      </c>
      <c r="I1" s="7" t="s">
        <v>8</v>
      </c>
      <c r="J1" s="7" t="s">
        <v>9</v>
      </c>
      <c r="K1" s="7" t="s">
        <v>122</v>
      </c>
      <c r="L1" s="7" t="s">
        <v>423</v>
      </c>
    </row>
    <row r="2" spans="1:12" x14ac:dyDescent="0.3">
      <c r="A2" s="3" t="s">
        <v>10</v>
      </c>
      <c r="B2" s="4">
        <v>46105</v>
      </c>
      <c r="C2" s="3" t="s">
        <v>11</v>
      </c>
      <c r="D2" s="3" t="s">
        <v>12</v>
      </c>
      <c r="E2" s="3" t="s">
        <v>13</v>
      </c>
      <c r="F2" s="3">
        <v>5263</v>
      </c>
      <c r="G2" s="3">
        <v>12.28</v>
      </c>
      <c r="H2" s="3" t="s">
        <v>14</v>
      </c>
      <c r="I2" s="4">
        <v>46140</v>
      </c>
      <c r="J2" s="3" t="s">
        <v>15</v>
      </c>
      <c r="K2" s="3" t="s">
        <v>424</v>
      </c>
      <c r="L2" s="3" t="str">
        <f t="shared" ref="L2:L33" si="0">IF(COUNTA(A2:J2)&lt;10,"MISSING DATA",IF(I2&lt;B2,"DATE ERROR","OK"))</f>
        <v>OK</v>
      </c>
    </row>
    <row r="3" spans="1:12" x14ac:dyDescent="0.3">
      <c r="A3" s="3" t="s">
        <v>16</v>
      </c>
      <c r="B3" s="4">
        <v>46074</v>
      </c>
      <c r="C3" s="3" t="s">
        <v>11</v>
      </c>
      <c r="D3" s="3" t="s">
        <v>17</v>
      </c>
      <c r="E3" s="3" t="s">
        <v>18</v>
      </c>
      <c r="F3" s="3">
        <v>9914</v>
      </c>
      <c r="G3" s="3">
        <v>17.579999999999998</v>
      </c>
      <c r="H3" s="3" t="s">
        <v>14</v>
      </c>
      <c r="I3" s="4">
        <v>46122</v>
      </c>
      <c r="J3" s="3" t="s">
        <v>15</v>
      </c>
      <c r="K3" s="3" t="s">
        <v>424</v>
      </c>
      <c r="L3" s="3" t="str">
        <f t="shared" si="0"/>
        <v>OK</v>
      </c>
    </row>
    <row r="4" spans="1:12" x14ac:dyDescent="0.3">
      <c r="A4" s="3" t="s">
        <v>19</v>
      </c>
      <c r="B4" s="4">
        <v>46130</v>
      </c>
      <c r="C4" s="3" t="s">
        <v>20</v>
      </c>
      <c r="D4" s="3" t="s">
        <v>21</v>
      </c>
      <c r="E4" s="3" t="s">
        <v>13</v>
      </c>
      <c r="F4" s="3">
        <v>1342</v>
      </c>
      <c r="G4" s="3">
        <v>9.73</v>
      </c>
      <c r="H4" s="3" t="s">
        <v>14</v>
      </c>
      <c r="I4" s="4">
        <v>46212</v>
      </c>
      <c r="J4" s="3" t="s">
        <v>22</v>
      </c>
      <c r="K4" s="3" t="s">
        <v>424</v>
      </c>
      <c r="L4" s="3" t="str">
        <f t="shared" si="0"/>
        <v>OK</v>
      </c>
    </row>
    <row r="5" spans="1:12" x14ac:dyDescent="0.3">
      <c r="A5" s="3" t="s">
        <v>23</v>
      </c>
      <c r="B5" s="4">
        <v>46046</v>
      </c>
      <c r="C5" s="3" t="s">
        <v>24</v>
      </c>
      <c r="D5" s="3" t="s">
        <v>25</v>
      </c>
      <c r="E5" s="3" t="s">
        <v>26</v>
      </c>
      <c r="F5" s="3">
        <v>5769</v>
      </c>
      <c r="G5" s="3">
        <v>15.61</v>
      </c>
      <c r="H5" s="3" t="s">
        <v>14</v>
      </c>
      <c r="I5" s="4">
        <v>46136</v>
      </c>
      <c r="J5" s="3" t="s">
        <v>22</v>
      </c>
      <c r="K5" s="3" t="s">
        <v>424</v>
      </c>
      <c r="L5" s="3" t="str">
        <f t="shared" si="0"/>
        <v>OK</v>
      </c>
    </row>
    <row r="6" spans="1:12" x14ac:dyDescent="0.3">
      <c r="A6" s="3" t="s">
        <v>27</v>
      </c>
      <c r="B6" s="4">
        <v>46090</v>
      </c>
      <c r="C6" s="3" t="s">
        <v>20</v>
      </c>
      <c r="D6" s="3" t="s">
        <v>28</v>
      </c>
      <c r="E6" s="3" t="s">
        <v>29</v>
      </c>
      <c r="F6" s="3">
        <v>11218</v>
      </c>
      <c r="G6" s="3">
        <v>11.88</v>
      </c>
      <c r="H6" s="3" t="s">
        <v>14</v>
      </c>
      <c r="I6" s="4">
        <v>46175</v>
      </c>
      <c r="J6" s="3" t="s">
        <v>30</v>
      </c>
      <c r="K6" s="3" t="s">
        <v>424</v>
      </c>
      <c r="L6" s="3" t="str">
        <f t="shared" si="0"/>
        <v>OK</v>
      </c>
    </row>
    <row r="7" spans="1:12" x14ac:dyDescent="0.3">
      <c r="A7" s="3" t="s">
        <v>31</v>
      </c>
      <c r="B7" s="4">
        <v>46071</v>
      </c>
      <c r="C7" s="3" t="s">
        <v>32</v>
      </c>
      <c r="D7" s="3" t="s">
        <v>33</v>
      </c>
      <c r="E7" s="3" t="s">
        <v>26</v>
      </c>
      <c r="F7" s="3">
        <v>4306</v>
      </c>
      <c r="G7" s="3">
        <v>10.31</v>
      </c>
      <c r="H7" s="3" t="s">
        <v>14</v>
      </c>
      <c r="I7" s="4">
        <v>46160</v>
      </c>
      <c r="J7" s="3" t="s">
        <v>15</v>
      </c>
      <c r="K7" s="3" t="s">
        <v>424</v>
      </c>
      <c r="L7" s="3" t="str">
        <f t="shared" si="0"/>
        <v>OK</v>
      </c>
    </row>
    <row r="8" spans="1:12" x14ac:dyDescent="0.3">
      <c r="A8" s="3" t="s">
        <v>34</v>
      </c>
      <c r="B8" s="4">
        <v>46032</v>
      </c>
      <c r="C8" s="3" t="s">
        <v>35</v>
      </c>
      <c r="D8" s="3" t="s">
        <v>36</v>
      </c>
      <c r="E8" s="3" t="s">
        <v>37</v>
      </c>
      <c r="F8" s="3">
        <v>4961</v>
      </c>
      <c r="G8" s="3">
        <v>7.51</v>
      </c>
      <c r="H8" s="3" t="s">
        <v>14</v>
      </c>
      <c r="I8" s="4">
        <v>46101</v>
      </c>
      <c r="J8" s="3" t="s">
        <v>38</v>
      </c>
      <c r="K8" s="3" t="s">
        <v>424</v>
      </c>
      <c r="L8" s="3" t="str">
        <f t="shared" si="0"/>
        <v>OK</v>
      </c>
    </row>
    <row r="9" spans="1:12" x14ac:dyDescent="0.3">
      <c r="A9" s="3" t="s">
        <v>39</v>
      </c>
      <c r="B9" s="4">
        <v>46119</v>
      </c>
      <c r="C9" s="3" t="s">
        <v>35</v>
      </c>
      <c r="D9" s="3" t="s">
        <v>40</v>
      </c>
      <c r="E9" s="3" t="s">
        <v>37</v>
      </c>
      <c r="F9" s="3">
        <v>9075</v>
      </c>
      <c r="G9" s="3">
        <v>5.04</v>
      </c>
      <c r="H9" s="3" t="s">
        <v>14</v>
      </c>
      <c r="I9" s="4">
        <v>46157</v>
      </c>
      <c r="J9" s="3" t="s">
        <v>38</v>
      </c>
      <c r="K9" s="3" t="s">
        <v>424</v>
      </c>
      <c r="L9" s="3" t="str">
        <f t="shared" si="0"/>
        <v>OK</v>
      </c>
    </row>
    <row r="10" spans="1:12" x14ac:dyDescent="0.3">
      <c r="A10" s="3" t="s">
        <v>41</v>
      </c>
      <c r="B10" s="4">
        <v>46030</v>
      </c>
      <c r="C10" s="3" t="s">
        <v>11</v>
      </c>
      <c r="D10" s="3" t="s">
        <v>17</v>
      </c>
      <c r="E10" s="3" t="s">
        <v>18</v>
      </c>
      <c r="F10" s="3">
        <v>2613</v>
      </c>
      <c r="G10" s="3">
        <v>12.33</v>
      </c>
      <c r="H10" s="3" t="s">
        <v>14</v>
      </c>
      <c r="I10" s="4">
        <v>46093</v>
      </c>
      <c r="J10" s="3" t="s">
        <v>42</v>
      </c>
      <c r="K10" s="3" t="s">
        <v>424</v>
      </c>
      <c r="L10" s="3" t="str">
        <f t="shared" si="0"/>
        <v>OK</v>
      </c>
    </row>
    <row r="11" spans="1:12" x14ac:dyDescent="0.3">
      <c r="A11" s="3" t="s">
        <v>43</v>
      </c>
      <c r="B11" s="4">
        <v>46043</v>
      </c>
      <c r="C11" s="3" t="s">
        <v>24</v>
      </c>
      <c r="D11" s="3" t="s">
        <v>33</v>
      </c>
      <c r="E11" s="3" t="s">
        <v>26</v>
      </c>
      <c r="F11" s="3">
        <v>5933</v>
      </c>
      <c r="G11" s="3">
        <v>11.34</v>
      </c>
      <c r="H11" s="3" t="s">
        <v>14</v>
      </c>
      <c r="I11" s="4">
        <v>46131</v>
      </c>
      <c r="J11" s="3" t="s">
        <v>22</v>
      </c>
      <c r="K11" s="3" t="s">
        <v>424</v>
      </c>
      <c r="L11" s="3" t="str">
        <f t="shared" si="0"/>
        <v>OK</v>
      </c>
    </row>
    <row r="12" spans="1:12" x14ac:dyDescent="0.3">
      <c r="A12" s="3" t="s">
        <v>44</v>
      </c>
      <c r="B12" s="4">
        <v>46047</v>
      </c>
      <c r="C12" s="3" t="s">
        <v>24</v>
      </c>
      <c r="D12" s="3" t="s">
        <v>36</v>
      </c>
      <c r="E12" s="3" t="s">
        <v>37</v>
      </c>
      <c r="F12" s="3">
        <v>3043</v>
      </c>
      <c r="G12" s="3">
        <v>11.5</v>
      </c>
      <c r="H12" s="3" t="s">
        <v>14</v>
      </c>
      <c r="I12" s="4">
        <v>46086</v>
      </c>
      <c r="J12" s="3" t="s">
        <v>15</v>
      </c>
      <c r="K12" s="3" t="s">
        <v>424</v>
      </c>
      <c r="L12" s="3" t="str">
        <f t="shared" si="0"/>
        <v>OK</v>
      </c>
    </row>
    <row r="13" spans="1:12" x14ac:dyDescent="0.3">
      <c r="A13" s="3" t="s">
        <v>45</v>
      </c>
      <c r="B13" s="4">
        <v>46054</v>
      </c>
      <c r="C13" s="3" t="s">
        <v>35</v>
      </c>
      <c r="D13" s="3" t="s">
        <v>40</v>
      </c>
      <c r="E13" s="3" t="s">
        <v>37</v>
      </c>
      <c r="F13" s="3">
        <v>7152</v>
      </c>
      <c r="G13" s="3">
        <v>12.21</v>
      </c>
      <c r="H13" s="3" t="s">
        <v>14</v>
      </c>
      <c r="I13" s="4">
        <v>46138</v>
      </c>
      <c r="J13" s="3" t="s">
        <v>30</v>
      </c>
      <c r="K13" s="3" t="s">
        <v>424</v>
      </c>
      <c r="L13" s="3" t="str">
        <f t="shared" si="0"/>
        <v>OK</v>
      </c>
    </row>
    <row r="14" spans="1:12" x14ac:dyDescent="0.3">
      <c r="A14" s="3" t="s">
        <v>46</v>
      </c>
      <c r="B14" s="4">
        <v>46093</v>
      </c>
      <c r="C14" s="3" t="s">
        <v>35</v>
      </c>
      <c r="D14" s="3" t="s">
        <v>28</v>
      </c>
      <c r="E14" s="3" t="s">
        <v>29</v>
      </c>
      <c r="F14" s="3">
        <v>10256</v>
      </c>
      <c r="G14" s="3">
        <v>5.23</v>
      </c>
      <c r="H14" s="3" t="s">
        <v>14</v>
      </c>
      <c r="I14" s="4">
        <v>46176</v>
      </c>
      <c r="J14" s="3" t="s">
        <v>42</v>
      </c>
      <c r="K14" s="3" t="s">
        <v>424</v>
      </c>
      <c r="L14" s="3" t="str">
        <f t="shared" si="0"/>
        <v>OK</v>
      </c>
    </row>
    <row r="15" spans="1:12" x14ac:dyDescent="0.3">
      <c r="A15" s="3" t="s">
        <v>47</v>
      </c>
      <c r="B15" s="4">
        <v>46083</v>
      </c>
      <c r="C15" s="3" t="s">
        <v>20</v>
      </c>
      <c r="D15" s="3" t="s">
        <v>12</v>
      </c>
      <c r="E15" s="3" t="s">
        <v>13</v>
      </c>
      <c r="F15" s="3">
        <v>5526</v>
      </c>
      <c r="G15" s="3">
        <v>15.6</v>
      </c>
      <c r="H15" s="3" t="s">
        <v>14</v>
      </c>
      <c r="I15" s="4">
        <v>46147</v>
      </c>
      <c r="J15" s="3" t="s">
        <v>42</v>
      </c>
      <c r="K15" s="3" t="s">
        <v>424</v>
      </c>
      <c r="L15" s="3" t="str">
        <f t="shared" si="0"/>
        <v>OK</v>
      </c>
    </row>
    <row r="16" spans="1:12" x14ac:dyDescent="0.3">
      <c r="A16" s="3" t="s">
        <v>48</v>
      </c>
      <c r="B16" s="4">
        <v>46045</v>
      </c>
      <c r="C16" s="3" t="s">
        <v>11</v>
      </c>
      <c r="D16" s="3" t="s">
        <v>36</v>
      </c>
      <c r="E16" s="3" t="s">
        <v>37</v>
      </c>
      <c r="F16" s="3">
        <v>3355</v>
      </c>
      <c r="G16" s="3">
        <v>16.46</v>
      </c>
      <c r="H16" s="3" t="s">
        <v>14</v>
      </c>
      <c r="I16" s="4">
        <v>46103</v>
      </c>
      <c r="J16" s="3" t="s">
        <v>38</v>
      </c>
      <c r="K16" s="3" t="s">
        <v>424</v>
      </c>
      <c r="L16" s="3" t="str">
        <f t="shared" si="0"/>
        <v>OK</v>
      </c>
    </row>
    <row r="17" spans="1:12" x14ac:dyDescent="0.3">
      <c r="A17" s="3" t="s">
        <v>49</v>
      </c>
      <c r="B17" s="4">
        <v>46030</v>
      </c>
      <c r="C17" s="3" t="s">
        <v>11</v>
      </c>
      <c r="D17" s="3" t="s">
        <v>28</v>
      </c>
      <c r="E17" s="3" t="s">
        <v>29</v>
      </c>
      <c r="F17" s="3">
        <v>10419</v>
      </c>
      <c r="G17" s="3">
        <v>7.98</v>
      </c>
      <c r="H17" s="3" t="s">
        <v>14</v>
      </c>
      <c r="I17" s="4">
        <v>46106</v>
      </c>
      <c r="J17" s="3" t="s">
        <v>38</v>
      </c>
      <c r="K17" s="3" t="s">
        <v>424</v>
      </c>
      <c r="L17" s="3" t="str">
        <f t="shared" si="0"/>
        <v>OK</v>
      </c>
    </row>
    <row r="18" spans="1:12" x14ac:dyDescent="0.3">
      <c r="A18" s="3" t="s">
        <v>50</v>
      </c>
      <c r="B18" s="4">
        <v>46059</v>
      </c>
      <c r="C18" s="3" t="s">
        <v>24</v>
      </c>
      <c r="D18" s="3" t="s">
        <v>33</v>
      </c>
      <c r="E18" s="3" t="s">
        <v>26</v>
      </c>
      <c r="F18" s="3">
        <v>2668</v>
      </c>
      <c r="G18" s="3">
        <v>18.32</v>
      </c>
      <c r="H18" s="3" t="s">
        <v>14</v>
      </c>
      <c r="I18" s="4">
        <v>46121</v>
      </c>
      <c r="J18" s="3" t="s">
        <v>22</v>
      </c>
      <c r="K18" s="3" t="s">
        <v>424</v>
      </c>
      <c r="L18" s="3" t="str">
        <f t="shared" si="0"/>
        <v>OK</v>
      </c>
    </row>
    <row r="19" spans="1:12" x14ac:dyDescent="0.3">
      <c r="A19" s="3" t="s">
        <v>51</v>
      </c>
      <c r="B19" s="4">
        <v>46118</v>
      </c>
      <c r="C19" s="3" t="s">
        <v>35</v>
      </c>
      <c r="D19" s="3" t="s">
        <v>33</v>
      </c>
      <c r="E19" s="3" t="s">
        <v>26</v>
      </c>
      <c r="F19" s="3">
        <v>9312</v>
      </c>
      <c r="G19" s="3">
        <v>16.45</v>
      </c>
      <c r="H19" s="3" t="s">
        <v>14</v>
      </c>
      <c r="I19" s="4">
        <v>46193</v>
      </c>
      <c r="J19" s="3" t="s">
        <v>30</v>
      </c>
      <c r="K19" s="3" t="s">
        <v>424</v>
      </c>
      <c r="L19" s="3" t="str">
        <f t="shared" si="0"/>
        <v>OK</v>
      </c>
    </row>
    <row r="20" spans="1:12" x14ac:dyDescent="0.3">
      <c r="A20" s="3" t="s">
        <v>52</v>
      </c>
      <c r="B20" s="4">
        <v>46049</v>
      </c>
      <c r="C20" s="3" t="s">
        <v>11</v>
      </c>
      <c r="D20" s="3" t="s">
        <v>33</v>
      </c>
      <c r="E20" s="3" t="s">
        <v>26</v>
      </c>
      <c r="F20" s="3">
        <v>9785</v>
      </c>
      <c r="G20" s="3">
        <v>15.92</v>
      </c>
      <c r="H20" s="3" t="s">
        <v>14</v>
      </c>
      <c r="I20" s="4">
        <v>46102</v>
      </c>
      <c r="J20" s="3" t="s">
        <v>15</v>
      </c>
      <c r="K20" s="3" t="s">
        <v>424</v>
      </c>
      <c r="L20" s="3" t="str">
        <f t="shared" si="0"/>
        <v>OK</v>
      </c>
    </row>
    <row r="21" spans="1:12" x14ac:dyDescent="0.3">
      <c r="A21" s="3" t="s">
        <v>53</v>
      </c>
      <c r="B21" s="4">
        <v>46076</v>
      </c>
      <c r="C21" s="3" t="s">
        <v>35</v>
      </c>
      <c r="D21" s="3" t="s">
        <v>21</v>
      </c>
      <c r="E21" s="3" t="s">
        <v>13</v>
      </c>
      <c r="F21" s="3">
        <v>4846</v>
      </c>
      <c r="G21" s="3">
        <v>15.71</v>
      </c>
      <c r="H21" s="3" t="s">
        <v>14</v>
      </c>
      <c r="I21" s="4">
        <v>46143</v>
      </c>
      <c r="J21" s="3" t="s">
        <v>22</v>
      </c>
      <c r="K21" s="3" t="s">
        <v>424</v>
      </c>
      <c r="L21" s="3" t="str">
        <f t="shared" si="0"/>
        <v>OK</v>
      </c>
    </row>
    <row r="22" spans="1:12" x14ac:dyDescent="0.3">
      <c r="A22" s="3" t="s">
        <v>54</v>
      </c>
      <c r="B22" s="4">
        <v>46036</v>
      </c>
      <c r="C22" s="3" t="s">
        <v>20</v>
      </c>
      <c r="D22" s="3" t="s">
        <v>55</v>
      </c>
      <c r="E22" s="3" t="s">
        <v>18</v>
      </c>
      <c r="F22" s="3">
        <v>7858</v>
      </c>
      <c r="G22" s="3">
        <v>7.69</v>
      </c>
      <c r="H22" s="3" t="s">
        <v>14</v>
      </c>
      <c r="I22" s="4">
        <v>46075</v>
      </c>
      <c r="J22" s="3" t="s">
        <v>15</v>
      </c>
      <c r="K22" s="3" t="s">
        <v>424</v>
      </c>
      <c r="L22" s="3" t="str">
        <f t="shared" si="0"/>
        <v>OK</v>
      </c>
    </row>
    <row r="23" spans="1:12" x14ac:dyDescent="0.3">
      <c r="A23" s="3" t="s">
        <v>56</v>
      </c>
      <c r="B23" s="4">
        <v>46121</v>
      </c>
      <c r="C23" s="3" t="s">
        <v>11</v>
      </c>
      <c r="D23" s="3" t="s">
        <v>33</v>
      </c>
      <c r="E23" s="3" t="s">
        <v>26</v>
      </c>
      <c r="F23" s="3">
        <v>5048</v>
      </c>
      <c r="G23" s="3">
        <v>6.01</v>
      </c>
      <c r="H23" s="3" t="s">
        <v>14</v>
      </c>
      <c r="I23" s="4">
        <v>46192</v>
      </c>
      <c r="J23" s="3" t="s">
        <v>15</v>
      </c>
      <c r="K23" s="3" t="s">
        <v>424</v>
      </c>
      <c r="L23" s="3" t="str">
        <f t="shared" si="0"/>
        <v>OK</v>
      </c>
    </row>
    <row r="24" spans="1:12" x14ac:dyDescent="0.3">
      <c r="A24" s="3" t="s">
        <v>57</v>
      </c>
      <c r="B24" s="4">
        <v>46085</v>
      </c>
      <c r="C24" s="3" t="s">
        <v>20</v>
      </c>
      <c r="D24" s="3" t="s">
        <v>17</v>
      </c>
      <c r="E24" s="3" t="s">
        <v>18</v>
      </c>
      <c r="F24" s="3">
        <v>5182</v>
      </c>
      <c r="G24" s="3">
        <v>17.649999999999999</v>
      </c>
      <c r="H24" s="3" t="s">
        <v>14</v>
      </c>
      <c r="I24" s="4">
        <v>46129</v>
      </c>
      <c r="J24" s="3" t="s">
        <v>22</v>
      </c>
      <c r="K24" s="3" t="s">
        <v>424</v>
      </c>
      <c r="L24" s="3" t="str">
        <f t="shared" si="0"/>
        <v>OK</v>
      </c>
    </row>
    <row r="25" spans="1:12" x14ac:dyDescent="0.3">
      <c r="A25" s="3" t="s">
        <v>58</v>
      </c>
      <c r="B25" s="4">
        <v>46072</v>
      </c>
      <c r="C25" s="3" t="s">
        <v>24</v>
      </c>
      <c r="D25" s="3" t="s">
        <v>28</v>
      </c>
      <c r="E25" s="3" t="s">
        <v>29</v>
      </c>
      <c r="F25" s="3">
        <v>8093</v>
      </c>
      <c r="G25" s="3">
        <v>12.36</v>
      </c>
      <c r="H25" s="3" t="s">
        <v>14</v>
      </c>
      <c r="I25" s="4">
        <v>46107</v>
      </c>
      <c r="J25" s="3" t="s">
        <v>15</v>
      </c>
      <c r="K25" s="3" t="s">
        <v>424</v>
      </c>
      <c r="L25" s="3" t="str">
        <f t="shared" si="0"/>
        <v>OK</v>
      </c>
    </row>
    <row r="26" spans="1:12" x14ac:dyDescent="0.3">
      <c r="A26" s="3" t="s">
        <v>59</v>
      </c>
      <c r="B26" s="4">
        <v>46027</v>
      </c>
      <c r="C26" s="3" t="s">
        <v>20</v>
      </c>
      <c r="D26" s="3" t="s">
        <v>12</v>
      </c>
      <c r="E26" s="3" t="s">
        <v>13</v>
      </c>
      <c r="F26" s="3">
        <v>6759</v>
      </c>
      <c r="G26" s="3">
        <v>12.04</v>
      </c>
      <c r="H26" s="3" t="s">
        <v>14</v>
      </c>
      <c r="I26" s="4">
        <v>46062</v>
      </c>
      <c r="J26" s="3" t="s">
        <v>22</v>
      </c>
      <c r="K26" s="3" t="s">
        <v>424</v>
      </c>
      <c r="L26" s="3" t="str">
        <f t="shared" si="0"/>
        <v>OK</v>
      </c>
    </row>
    <row r="27" spans="1:12" x14ac:dyDescent="0.3">
      <c r="A27" s="3" t="s">
        <v>60</v>
      </c>
      <c r="B27" s="4">
        <v>46130</v>
      </c>
      <c r="C27" s="3" t="s">
        <v>24</v>
      </c>
      <c r="D27" s="3" t="s">
        <v>17</v>
      </c>
      <c r="E27" s="3" t="s">
        <v>18</v>
      </c>
      <c r="F27" s="3">
        <v>1596</v>
      </c>
      <c r="G27" s="3">
        <v>8.48</v>
      </c>
      <c r="H27" s="3" t="s">
        <v>14</v>
      </c>
      <c r="I27" s="4">
        <v>46180</v>
      </c>
      <c r="J27" s="3" t="s">
        <v>38</v>
      </c>
      <c r="K27" s="3" t="s">
        <v>424</v>
      </c>
      <c r="L27" s="3" t="str">
        <f t="shared" si="0"/>
        <v>OK</v>
      </c>
    </row>
    <row r="28" spans="1:12" x14ac:dyDescent="0.3">
      <c r="A28" s="3" t="s">
        <v>61</v>
      </c>
      <c r="B28" s="4">
        <v>46089</v>
      </c>
      <c r="C28" s="3" t="s">
        <v>35</v>
      </c>
      <c r="D28" s="3" t="s">
        <v>40</v>
      </c>
      <c r="E28" s="3" t="s">
        <v>37</v>
      </c>
      <c r="F28" s="3">
        <v>8326</v>
      </c>
      <c r="G28" s="3">
        <v>7.13</v>
      </c>
      <c r="H28" s="3" t="s">
        <v>14</v>
      </c>
      <c r="I28" s="4">
        <v>46159</v>
      </c>
      <c r="J28" s="3" t="s">
        <v>15</v>
      </c>
      <c r="K28" s="3" t="s">
        <v>424</v>
      </c>
      <c r="L28" s="3" t="str">
        <f t="shared" si="0"/>
        <v>OK</v>
      </c>
    </row>
    <row r="29" spans="1:12" x14ac:dyDescent="0.3">
      <c r="A29" s="3" t="s">
        <v>62</v>
      </c>
      <c r="B29" s="4">
        <v>46072</v>
      </c>
      <c r="C29" s="3" t="s">
        <v>35</v>
      </c>
      <c r="D29" s="3" t="s">
        <v>25</v>
      </c>
      <c r="E29" s="3" t="s">
        <v>26</v>
      </c>
      <c r="F29" s="3">
        <v>7743</v>
      </c>
      <c r="G29" s="3">
        <v>8.6300000000000008</v>
      </c>
      <c r="H29" s="3" t="s">
        <v>14</v>
      </c>
      <c r="I29" s="4">
        <v>46152</v>
      </c>
      <c r="J29" s="3" t="s">
        <v>42</v>
      </c>
      <c r="K29" s="3" t="s">
        <v>424</v>
      </c>
      <c r="L29" s="3" t="str">
        <f t="shared" si="0"/>
        <v>OK</v>
      </c>
    </row>
    <row r="30" spans="1:12" x14ac:dyDescent="0.3">
      <c r="A30" s="3" t="s">
        <v>63</v>
      </c>
      <c r="B30" s="4">
        <v>46114</v>
      </c>
      <c r="C30" s="3" t="s">
        <v>24</v>
      </c>
      <c r="D30" s="3" t="s">
        <v>25</v>
      </c>
      <c r="E30" s="3" t="s">
        <v>26</v>
      </c>
      <c r="F30" s="3">
        <v>9672</v>
      </c>
      <c r="G30" s="3">
        <v>16.66</v>
      </c>
      <c r="H30" s="3" t="s">
        <v>14</v>
      </c>
      <c r="I30" s="4">
        <v>46201</v>
      </c>
      <c r="J30" s="3" t="s">
        <v>42</v>
      </c>
      <c r="K30" s="3" t="s">
        <v>424</v>
      </c>
      <c r="L30" s="3" t="str">
        <f t="shared" si="0"/>
        <v>OK</v>
      </c>
    </row>
    <row r="31" spans="1:12" x14ac:dyDescent="0.3">
      <c r="A31" s="3" t="s">
        <v>64</v>
      </c>
      <c r="B31" s="4">
        <v>46117</v>
      </c>
      <c r="C31" s="3" t="s">
        <v>20</v>
      </c>
      <c r="D31" s="3" t="s">
        <v>40</v>
      </c>
      <c r="E31" s="3" t="s">
        <v>37</v>
      </c>
      <c r="F31" s="3">
        <v>9850</v>
      </c>
      <c r="G31" s="3">
        <v>12.62</v>
      </c>
      <c r="H31" s="3" t="s">
        <v>14</v>
      </c>
      <c r="I31" s="4">
        <v>46155</v>
      </c>
      <c r="J31" s="3" t="s">
        <v>42</v>
      </c>
      <c r="K31" s="3" t="s">
        <v>424</v>
      </c>
      <c r="L31" s="3" t="str">
        <f t="shared" si="0"/>
        <v>OK</v>
      </c>
    </row>
    <row r="32" spans="1:12" x14ac:dyDescent="0.3">
      <c r="A32" s="3" t="s">
        <v>65</v>
      </c>
      <c r="B32" s="4">
        <v>46125</v>
      </c>
      <c r="C32" s="3" t="s">
        <v>24</v>
      </c>
      <c r="D32" s="3" t="s">
        <v>66</v>
      </c>
      <c r="E32" s="3" t="s">
        <v>29</v>
      </c>
      <c r="F32" s="3">
        <v>10153</v>
      </c>
      <c r="G32" s="3">
        <v>7.43</v>
      </c>
      <c r="H32" s="3" t="s">
        <v>14</v>
      </c>
      <c r="I32" s="4">
        <v>46164</v>
      </c>
      <c r="J32" s="3" t="s">
        <v>30</v>
      </c>
      <c r="K32" s="3" t="s">
        <v>424</v>
      </c>
      <c r="L32" s="3" t="str">
        <f t="shared" si="0"/>
        <v>OK</v>
      </c>
    </row>
    <row r="33" spans="1:12" x14ac:dyDescent="0.3">
      <c r="A33" s="3" t="s">
        <v>67</v>
      </c>
      <c r="B33" s="4">
        <v>46120</v>
      </c>
      <c r="C33" s="3" t="s">
        <v>32</v>
      </c>
      <c r="D33" s="3" t="s">
        <v>55</v>
      </c>
      <c r="E33" s="3" t="s">
        <v>18</v>
      </c>
      <c r="F33" s="3">
        <v>11479</v>
      </c>
      <c r="G33" s="3">
        <v>5.03</v>
      </c>
      <c r="H33" s="3" t="s">
        <v>14</v>
      </c>
      <c r="I33" s="4">
        <v>46209</v>
      </c>
      <c r="J33" s="3" t="s">
        <v>15</v>
      </c>
      <c r="K33" s="3" t="s">
        <v>424</v>
      </c>
      <c r="L33" s="3" t="str">
        <f t="shared" si="0"/>
        <v>OK</v>
      </c>
    </row>
    <row r="34" spans="1:12" x14ac:dyDescent="0.3">
      <c r="A34" s="3" t="s">
        <v>68</v>
      </c>
      <c r="B34" s="4">
        <v>46097</v>
      </c>
      <c r="C34" s="3" t="s">
        <v>32</v>
      </c>
      <c r="D34" s="3" t="s">
        <v>40</v>
      </c>
      <c r="E34" s="3" t="s">
        <v>37</v>
      </c>
      <c r="F34" s="3">
        <v>7357</v>
      </c>
      <c r="G34" s="3">
        <v>9.1</v>
      </c>
      <c r="H34" s="3" t="s">
        <v>14</v>
      </c>
      <c r="I34" s="4">
        <v>46181</v>
      </c>
      <c r="J34" s="3" t="s">
        <v>22</v>
      </c>
      <c r="K34" s="3" t="s">
        <v>424</v>
      </c>
      <c r="L34" s="3" t="str">
        <f t="shared" ref="L34:L65" si="1">IF(COUNTA(A34:J34)&lt;10,"MISSING DATA",IF(I34&lt;B34,"DATE ERROR","OK"))</f>
        <v>OK</v>
      </c>
    </row>
    <row r="35" spans="1:12" x14ac:dyDescent="0.3">
      <c r="A35" s="3" t="s">
        <v>69</v>
      </c>
      <c r="B35" s="4">
        <v>46055</v>
      </c>
      <c r="C35" s="3" t="s">
        <v>35</v>
      </c>
      <c r="D35" s="3" t="s">
        <v>17</v>
      </c>
      <c r="E35" s="3" t="s">
        <v>18</v>
      </c>
      <c r="F35" s="3">
        <v>5174</v>
      </c>
      <c r="G35" s="3">
        <v>16.63</v>
      </c>
      <c r="H35" s="3" t="s">
        <v>14</v>
      </c>
      <c r="I35" s="4">
        <v>46135</v>
      </c>
      <c r="J35" s="3" t="s">
        <v>42</v>
      </c>
      <c r="K35" s="3" t="s">
        <v>424</v>
      </c>
      <c r="L35" s="3" t="str">
        <f t="shared" si="1"/>
        <v>OK</v>
      </c>
    </row>
    <row r="36" spans="1:12" x14ac:dyDescent="0.3">
      <c r="A36" s="3" t="s">
        <v>70</v>
      </c>
      <c r="B36" s="4">
        <v>46077</v>
      </c>
      <c r="C36" s="3" t="s">
        <v>11</v>
      </c>
      <c r="D36" s="3" t="s">
        <v>25</v>
      </c>
      <c r="E36" s="3" t="s">
        <v>26</v>
      </c>
      <c r="F36" s="3">
        <v>7852</v>
      </c>
      <c r="G36" s="3">
        <v>11.79</v>
      </c>
      <c r="H36" s="3" t="s">
        <v>14</v>
      </c>
      <c r="I36" s="4">
        <v>46125</v>
      </c>
      <c r="J36" s="3" t="s">
        <v>42</v>
      </c>
      <c r="K36" s="3" t="s">
        <v>424</v>
      </c>
      <c r="L36" s="3" t="str">
        <f t="shared" si="1"/>
        <v>OK</v>
      </c>
    </row>
    <row r="37" spans="1:12" x14ac:dyDescent="0.3">
      <c r="A37" s="3" t="s">
        <v>71</v>
      </c>
      <c r="B37" s="4">
        <v>46096</v>
      </c>
      <c r="C37" s="3" t="s">
        <v>20</v>
      </c>
      <c r="D37" s="3" t="s">
        <v>12</v>
      </c>
      <c r="E37" s="3" t="s">
        <v>13</v>
      </c>
      <c r="F37" s="3">
        <v>11193</v>
      </c>
      <c r="G37" s="3">
        <v>15.13</v>
      </c>
      <c r="H37" s="3" t="s">
        <v>14</v>
      </c>
      <c r="I37" s="4">
        <v>46162</v>
      </c>
      <c r="J37" s="3" t="s">
        <v>38</v>
      </c>
      <c r="K37" s="3" t="s">
        <v>424</v>
      </c>
      <c r="L37" s="3" t="str">
        <f t="shared" si="1"/>
        <v>OK</v>
      </c>
    </row>
    <row r="38" spans="1:12" x14ac:dyDescent="0.3">
      <c r="A38" s="3" t="s">
        <v>72</v>
      </c>
      <c r="B38" s="4">
        <v>46031</v>
      </c>
      <c r="C38" s="3" t="s">
        <v>24</v>
      </c>
      <c r="D38" s="3" t="s">
        <v>40</v>
      </c>
      <c r="E38" s="3" t="s">
        <v>37</v>
      </c>
      <c r="F38" s="3">
        <v>8139</v>
      </c>
      <c r="G38" s="3">
        <v>9.61</v>
      </c>
      <c r="H38" s="3" t="s">
        <v>14</v>
      </c>
      <c r="I38" s="4">
        <v>46090</v>
      </c>
      <c r="J38" s="3" t="s">
        <v>42</v>
      </c>
      <c r="K38" s="3" t="s">
        <v>424</v>
      </c>
      <c r="L38" s="3" t="str">
        <f t="shared" si="1"/>
        <v>OK</v>
      </c>
    </row>
    <row r="39" spans="1:12" x14ac:dyDescent="0.3">
      <c r="A39" s="3" t="s">
        <v>73</v>
      </c>
      <c r="B39" s="4">
        <v>46030</v>
      </c>
      <c r="C39" s="3" t="s">
        <v>11</v>
      </c>
      <c r="D39" s="3" t="s">
        <v>21</v>
      </c>
      <c r="E39" s="3" t="s">
        <v>13</v>
      </c>
      <c r="F39" s="3">
        <v>7076</v>
      </c>
      <c r="G39" s="3">
        <v>7.27</v>
      </c>
      <c r="H39" s="3" t="s">
        <v>14</v>
      </c>
      <c r="I39" s="4">
        <v>46082</v>
      </c>
      <c r="J39" s="3" t="s">
        <v>15</v>
      </c>
      <c r="K39" s="3" t="s">
        <v>424</v>
      </c>
      <c r="L39" s="3" t="str">
        <f t="shared" si="1"/>
        <v>OK</v>
      </c>
    </row>
    <row r="40" spans="1:12" x14ac:dyDescent="0.3">
      <c r="A40" s="3" t="s">
        <v>74</v>
      </c>
      <c r="B40" s="4">
        <v>46074</v>
      </c>
      <c r="C40" s="3" t="s">
        <v>20</v>
      </c>
      <c r="D40" s="3" t="s">
        <v>55</v>
      </c>
      <c r="E40" s="3" t="s">
        <v>18</v>
      </c>
      <c r="F40" s="3">
        <v>3093</v>
      </c>
      <c r="G40" s="3">
        <v>14.86</v>
      </c>
      <c r="H40" s="3" t="s">
        <v>14</v>
      </c>
      <c r="I40" s="4">
        <v>46147</v>
      </c>
      <c r="J40" s="3" t="s">
        <v>22</v>
      </c>
      <c r="K40" s="3" t="s">
        <v>424</v>
      </c>
      <c r="L40" s="3" t="str">
        <f t="shared" si="1"/>
        <v>OK</v>
      </c>
    </row>
    <row r="41" spans="1:12" x14ac:dyDescent="0.3">
      <c r="A41" s="3" t="s">
        <v>75</v>
      </c>
      <c r="B41" s="4">
        <v>46098</v>
      </c>
      <c r="C41" s="3" t="s">
        <v>32</v>
      </c>
      <c r="D41" s="3" t="s">
        <v>55</v>
      </c>
      <c r="E41" s="3" t="s">
        <v>18</v>
      </c>
      <c r="F41" s="3">
        <v>2353</v>
      </c>
      <c r="G41" s="3">
        <v>12.31</v>
      </c>
      <c r="H41" s="3" t="s">
        <v>14</v>
      </c>
      <c r="I41" s="4">
        <v>46134</v>
      </c>
      <c r="J41" s="3" t="s">
        <v>15</v>
      </c>
      <c r="K41" s="3" t="s">
        <v>424</v>
      </c>
      <c r="L41" s="3" t="str">
        <f t="shared" si="1"/>
        <v>OK</v>
      </c>
    </row>
    <row r="42" spans="1:12" x14ac:dyDescent="0.3">
      <c r="A42" s="3" t="s">
        <v>76</v>
      </c>
      <c r="B42" s="4">
        <v>46047</v>
      </c>
      <c r="C42" s="3" t="s">
        <v>20</v>
      </c>
      <c r="D42" s="3" t="s">
        <v>33</v>
      </c>
      <c r="E42" s="3" t="s">
        <v>26</v>
      </c>
      <c r="F42" s="3">
        <v>9483</v>
      </c>
      <c r="G42" s="3">
        <v>5.75</v>
      </c>
      <c r="H42" s="3" t="s">
        <v>14</v>
      </c>
      <c r="I42" s="4">
        <v>46086</v>
      </c>
      <c r="J42" s="3" t="s">
        <v>22</v>
      </c>
      <c r="K42" s="3" t="s">
        <v>424</v>
      </c>
      <c r="L42" s="3" t="str">
        <f t="shared" si="1"/>
        <v>OK</v>
      </c>
    </row>
    <row r="43" spans="1:12" x14ac:dyDescent="0.3">
      <c r="A43" s="3" t="s">
        <v>77</v>
      </c>
      <c r="B43" s="4">
        <v>46134</v>
      </c>
      <c r="C43" s="3" t="s">
        <v>35</v>
      </c>
      <c r="D43" s="3" t="s">
        <v>12</v>
      </c>
      <c r="E43" s="3" t="s">
        <v>13</v>
      </c>
      <c r="F43" s="3">
        <v>9553</v>
      </c>
      <c r="G43" s="3">
        <v>10.23</v>
      </c>
      <c r="H43" s="3" t="s">
        <v>14</v>
      </c>
      <c r="I43" s="4">
        <v>46203</v>
      </c>
      <c r="J43" s="3" t="s">
        <v>15</v>
      </c>
      <c r="K43" s="3" t="s">
        <v>424</v>
      </c>
      <c r="L43" s="3" t="str">
        <f t="shared" si="1"/>
        <v>OK</v>
      </c>
    </row>
    <row r="44" spans="1:12" x14ac:dyDescent="0.3">
      <c r="A44" s="3" t="s">
        <v>78</v>
      </c>
      <c r="B44" s="4">
        <v>46090</v>
      </c>
      <c r="C44" s="3" t="s">
        <v>35</v>
      </c>
      <c r="D44" s="3" t="s">
        <v>33</v>
      </c>
      <c r="E44" s="3" t="s">
        <v>26</v>
      </c>
      <c r="F44" s="3">
        <v>8032</v>
      </c>
      <c r="G44" s="3">
        <v>6.08</v>
      </c>
      <c r="H44" s="3" t="s">
        <v>14</v>
      </c>
      <c r="I44" s="4">
        <v>46154</v>
      </c>
      <c r="J44" s="3" t="s">
        <v>38</v>
      </c>
      <c r="K44" s="3" t="s">
        <v>424</v>
      </c>
      <c r="L44" s="3" t="str">
        <f t="shared" si="1"/>
        <v>OK</v>
      </c>
    </row>
    <row r="45" spans="1:12" x14ac:dyDescent="0.3">
      <c r="A45" s="3" t="s">
        <v>79</v>
      </c>
      <c r="B45" s="4">
        <v>46056</v>
      </c>
      <c r="C45" s="3" t="s">
        <v>32</v>
      </c>
      <c r="D45" s="3" t="s">
        <v>36</v>
      </c>
      <c r="E45" s="3" t="s">
        <v>37</v>
      </c>
      <c r="F45" s="3">
        <v>11036</v>
      </c>
      <c r="G45" s="3">
        <v>11.8</v>
      </c>
      <c r="H45" s="3" t="s">
        <v>14</v>
      </c>
      <c r="I45" s="4">
        <v>46143</v>
      </c>
      <c r="J45" s="3" t="s">
        <v>30</v>
      </c>
      <c r="K45" s="3" t="s">
        <v>424</v>
      </c>
      <c r="L45" s="3" t="str">
        <f t="shared" si="1"/>
        <v>OK</v>
      </c>
    </row>
    <row r="46" spans="1:12" x14ac:dyDescent="0.3">
      <c r="A46" s="3" t="s">
        <v>80</v>
      </c>
      <c r="B46" s="4">
        <v>46087</v>
      </c>
      <c r="C46" s="3" t="s">
        <v>24</v>
      </c>
      <c r="D46" s="3" t="s">
        <v>21</v>
      </c>
      <c r="E46" s="3" t="s">
        <v>13</v>
      </c>
      <c r="F46" s="3">
        <v>1567</v>
      </c>
      <c r="G46" s="3">
        <v>14.78</v>
      </c>
      <c r="H46" s="3" t="s">
        <v>14</v>
      </c>
      <c r="I46" s="4">
        <v>46137</v>
      </c>
      <c r="J46" s="3" t="s">
        <v>22</v>
      </c>
      <c r="K46" s="3" t="s">
        <v>424</v>
      </c>
      <c r="L46" s="3" t="str">
        <f t="shared" si="1"/>
        <v>OK</v>
      </c>
    </row>
    <row r="47" spans="1:12" x14ac:dyDescent="0.3">
      <c r="A47" s="3" t="s">
        <v>81</v>
      </c>
      <c r="B47" s="4">
        <v>46124</v>
      </c>
      <c r="C47" s="3" t="s">
        <v>20</v>
      </c>
      <c r="D47" s="3" t="s">
        <v>25</v>
      </c>
      <c r="E47" s="3" t="s">
        <v>26</v>
      </c>
      <c r="F47" s="3">
        <v>10342</v>
      </c>
      <c r="G47" s="3">
        <v>10.4</v>
      </c>
      <c r="H47" s="3" t="s">
        <v>14</v>
      </c>
      <c r="I47" s="4">
        <v>46184</v>
      </c>
      <c r="J47" s="3" t="s">
        <v>22</v>
      </c>
      <c r="K47" s="3" t="s">
        <v>424</v>
      </c>
      <c r="L47" s="3" t="str">
        <f t="shared" si="1"/>
        <v>OK</v>
      </c>
    </row>
    <row r="48" spans="1:12" x14ac:dyDescent="0.3">
      <c r="A48" s="3" t="s">
        <v>82</v>
      </c>
      <c r="B48" s="4">
        <v>46057</v>
      </c>
      <c r="C48" s="3" t="s">
        <v>32</v>
      </c>
      <c r="D48" s="3" t="s">
        <v>25</v>
      </c>
      <c r="E48" s="3" t="s">
        <v>26</v>
      </c>
      <c r="F48" s="3">
        <v>2257</v>
      </c>
      <c r="G48" s="3">
        <v>10.31</v>
      </c>
      <c r="H48" s="3" t="s">
        <v>14</v>
      </c>
      <c r="I48" s="4">
        <v>46138</v>
      </c>
      <c r="J48" s="3" t="s">
        <v>30</v>
      </c>
      <c r="K48" s="3" t="s">
        <v>424</v>
      </c>
      <c r="L48" s="3" t="str">
        <f t="shared" si="1"/>
        <v>OK</v>
      </c>
    </row>
    <row r="49" spans="1:12" x14ac:dyDescent="0.3">
      <c r="A49" s="3" t="s">
        <v>83</v>
      </c>
      <c r="B49" s="4">
        <v>46091</v>
      </c>
      <c r="C49" s="3" t="s">
        <v>20</v>
      </c>
      <c r="D49" s="3" t="s">
        <v>21</v>
      </c>
      <c r="E49" s="3" t="s">
        <v>13</v>
      </c>
      <c r="F49" s="3">
        <v>6149</v>
      </c>
      <c r="G49" s="3">
        <v>8.25</v>
      </c>
      <c r="H49" s="3" t="s">
        <v>14</v>
      </c>
      <c r="I49" s="4">
        <v>46157</v>
      </c>
      <c r="J49" s="3" t="s">
        <v>30</v>
      </c>
      <c r="K49" s="3" t="s">
        <v>424</v>
      </c>
      <c r="L49" s="3" t="str">
        <f t="shared" si="1"/>
        <v>OK</v>
      </c>
    </row>
    <row r="50" spans="1:12" x14ac:dyDescent="0.3">
      <c r="A50" s="3" t="s">
        <v>84</v>
      </c>
      <c r="B50" s="4">
        <v>46044</v>
      </c>
      <c r="C50" s="3" t="s">
        <v>24</v>
      </c>
      <c r="D50" s="3" t="s">
        <v>33</v>
      </c>
      <c r="E50" s="3" t="s">
        <v>26</v>
      </c>
      <c r="F50" s="3">
        <v>11316</v>
      </c>
      <c r="G50" s="3">
        <v>7.62</v>
      </c>
      <c r="H50" s="3" t="s">
        <v>14</v>
      </c>
      <c r="I50" s="4">
        <v>46083</v>
      </c>
      <c r="J50" s="3" t="s">
        <v>15</v>
      </c>
      <c r="K50" s="3" t="s">
        <v>424</v>
      </c>
      <c r="L50" s="3" t="str">
        <f t="shared" si="1"/>
        <v>OK</v>
      </c>
    </row>
    <row r="51" spans="1:12" x14ac:dyDescent="0.3">
      <c r="A51" s="3" t="s">
        <v>85</v>
      </c>
      <c r="B51" s="4">
        <v>46073</v>
      </c>
      <c r="C51" s="3" t="s">
        <v>24</v>
      </c>
      <c r="D51" s="3" t="s">
        <v>12</v>
      </c>
      <c r="E51" s="3" t="s">
        <v>13</v>
      </c>
      <c r="F51" s="3">
        <v>2721</v>
      </c>
      <c r="G51" s="3">
        <v>9.57</v>
      </c>
      <c r="H51" s="3" t="s">
        <v>14</v>
      </c>
      <c r="I51" s="4">
        <v>46129</v>
      </c>
      <c r="J51" s="3" t="s">
        <v>15</v>
      </c>
      <c r="K51" s="3" t="s">
        <v>424</v>
      </c>
      <c r="L51" s="3" t="str">
        <f t="shared" si="1"/>
        <v>OK</v>
      </c>
    </row>
    <row r="52" spans="1:12" x14ac:dyDescent="0.3">
      <c r="A52" s="3" t="s">
        <v>86</v>
      </c>
      <c r="B52" s="4">
        <v>46075</v>
      </c>
      <c r="C52" s="3" t="s">
        <v>24</v>
      </c>
      <c r="D52" s="3" t="s">
        <v>33</v>
      </c>
      <c r="E52" s="3" t="s">
        <v>26</v>
      </c>
      <c r="F52" s="3">
        <v>8888</v>
      </c>
      <c r="G52" s="3">
        <v>9.4499999999999993</v>
      </c>
      <c r="H52" s="3" t="s">
        <v>14</v>
      </c>
      <c r="I52" s="4">
        <v>46135</v>
      </c>
      <c r="J52" s="3" t="s">
        <v>30</v>
      </c>
      <c r="K52" s="3" t="s">
        <v>424</v>
      </c>
      <c r="L52" s="3" t="str">
        <f t="shared" si="1"/>
        <v>OK</v>
      </c>
    </row>
    <row r="53" spans="1:12" x14ac:dyDescent="0.3">
      <c r="A53" s="3" t="s">
        <v>87</v>
      </c>
      <c r="B53" s="4">
        <v>46040</v>
      </c>
      <c r="C53" s="3" t="s">
        <v>32</v>
      </c>
      <c r="D53" s="3" t="s">
        <v>12</v>
      </c>
      <c r="E53" s="3" t="s">
        <v>13</v>
      </c>
      <c r="F53" s="3">
        <v>3009</v>
      </c>
      <c r="G53" s="3">
        <v>4.7300000000000004</v>
      </c>
      <c r="H53" s="3" t="s">
        <v>14</v>
      </c>
      <c r="I53" s="4">
        <v>46081</v>
      </c>
      <c r="J53" s="3" t="s">
        <v>30</v>
      </c>
      <c r="K53" s="3" t="s">
        <v>424</v>
      </c>
      <c r="L53" s="3" t="str">
        <f t="shared" si="1"/>
        <v>OK</v>
      </c>
    </row>
    <row r="54" spans="1:12" x14ac:dyDescent="0.3">
      <c r="A54" s="3" t="s">
        <v>88</v>
      </c>
      <c r="B54" s="4">
        <v>46084</v>
      </c>
      <c r="C54" s="3" t="s">
        <v>35</v>
      </c>
      <c r="D54" s="3" t="s">
        <v>40</v>
      </c>
      <c r="E54" s="3" t="s">
        <v>37</v>
      </c>
      <c r="F54" s="3">
        <v>4422</v>
      </c>
      <c r="G54" s="3">
        <v>7.79</v>
      </c>
      <c r="H54" s="3" t="s">
        <v>14</v>
      </c>
      <c r="I54" s="4">
        <v>46158</v>
      </c>
      <c r="J54" s="3" t="s">
        <v>38</v>
      </c>
      <c r="K54" s="3" t="s">
        <v>424</v>
      </c>
      <c r="L54" s="3" t="str">
        <f t="shared" si="1"/>
        <v>OK</v>
      </c>
    </row>
    <row r="55" spans="1:12" x14ac:dyDescent="0.3">
      <c r="A55" s="3" t="s">
        <v>89</v>
      </c>
      <c r="B55" s="4">
        <v>46114</v>
      </c>
      <c r="C55" s="3" t="s">
        <v>32</v>
      </c>
      <c r="D55" s="3" t="s">
        <v>33</v>
      </c>
      <c r="E55" s="3" t="s">
        <v>26</v>
      </c>
      <c r="F55" s="3">
        <v>7422</v>
      </c>
      <c r="G55" s="3">
        <v>13.08</v>
      </c>
      <c r="H55" s="3" t="s">
        <v>14</v>
      </c>
      <c r="I55" s="4">
        <v>46189</v>
      </c>
      <c r="J55" s="3" t="s">
        <v>30</v>
      </c>
      <c r="K55" s="3" t="s">
        <v>424</v>
      </c>
      <c r="L55" s="3" t="str">
        <f t="shared" si="1"/>
        <v>OK</v>
      </c>
    </row>
    <row r="56" spans="1:12" x14ac:dyDescent="0.3">
      <c r="A56" s="3" t="s">
        <v>90</v>
      </c>
      <c r="B56" s="4">
        <v>46126</v>
      </c>
      <c r="C56" s="3" t="s">
        <v>32</v>
      </c>
      <c r="D56" s="3" t="s">
        <v>40</v>
      </c>
      <c r="E56" s="3" t="s">
        <v>37</v>
      </c>
      <c r="F56" s="3">
        <v>5352</v>
      </c>
      <c r="G56" s="3">
        <v>12.75</v>
      </c>
      <c r="H56" s="3" t="s">
        <v>14</v>
      </c>
      <c r="I56" s="4">
        <v>46185</v>
      </c>
      <c r="J56" s="3" t="s">
        <v>22</v>
      </c>
      <c r="K56" s="3" t="s">
        <v>424</v>
      </c>
      <c r="L56" s="3" t="str">
        <f t="shared" si="1"/>
        <v>OK</v>
      </c>
    </row>
    <row r="57" spans="1:12" x14ac:dyDescent="0.3">
      <c r="A57" s="3" t="s">
        <v>91</v>
      </c>
      <c r="B57" s="4">
        <v>46049</v>
      </c>
      <c r="C57" s="3" t="s">
        <v>11</v>
      </c>
      <c r="D57" s="3" t="s">
        <v>21</v>
      </c>
      <c r="E57" s="3" t="s">
        <v>13</v>
      </c>
      <c r="F57" s="3">
        <v>11180</v>
      </c>
      <c r="G57" s="3">
        <v>13.05</v>
      </c>
      <c r="H57" s="3" t="s">
        <v>14</v>
      </c>
      <c r="I57" s="4">
        <v>46096</v>
      </c>
      <c r="J57" s="3" t="s">
        <v>22</v>
      </c>
      <c r="K57" s="3" t="s">
        <v>424</v>
      </c>
      <c r="L57" s="3" t="str">
        <f t="shared" si="1"/>
        <v>OK</v>
      </c>
    </row>
    <row r="58" spans="1:12" x14ac:dyDescent="0.3">
      <c r="A58" s="3" t="s">
        <v>92</v>
      </c>
      <c r="B58" s="4">
        <v>46086</v>
      </c>
      <c r="C58" s="3" t="s">
        <v>20</v>
      </c>
      <c r="D58" s="3" t="s">
        <v>40</v>
      </c>
      <c r="E58" s="3" t="s">
        <v>37</v>
      </c>
      <c r="F58" s="3">
        <v>6317</v>
      </c>
      <c r="G58" s="3">
        <v>13.49</v>
      </c>
      <c r="H58" s="3" t="s">
        <v>14</v>
      </c>
      <c r="I58" s="4">
        <v>46161</v>
      </c>
      <c r="J58" s="3" t="s">
        <v>15</v>
      </c>
      <c r="K58" s="3" t="s">
        <v>424</v>
      </c>
      <c r="L58" s="3" t="str">
        <f t="shared" si="1"/>
        <v>OK</v>
      </c>
    </row>
    <row r="59" spans="1:12" x14ac:dyDescent="0.3">
      <c r="A59" s="3" t="s">
        <v>93</v>
      </c>
      <c r="B59" s="4">
        <v>46082</v>
      </c>
      <c r="C59" s="3" t="s">
        <v>24</v>
      </c>
      <c r="D59" s="3" t="s">
        <v>66</v>
      </c>
      <c r="E59" s="3" t="s">
        <v>29</v>
      </c>
      <c r="F59" s="3">
        <v>5275</v>
      </c>
      <c r="G59" s="3">
        <v>13.28</v>
      </c>
      <c r="H59" s="3" t="s">
        <v>14</v>
      </c>
      <c r="I59" s="4">
        <v>46155</v>
      </c>
      <c r="J59" s="3" t="s">
        <v>15</v>
      </c>
      <c r="K59" s="3" t="s">
        <v>424</v>
      </c>
      <c r="L59" s="3" t="str">
        <f t="shared" si="1"/>
        <v>OK</v>
      </c>
    </row>
    <row r="60" spans="1:12" x14ac:dyDescent="0.3">
      <c r="A60" s="3" t="s">
        <v>94</v>
      </c>
      <c r="B60" s="4">
        <v>46091</v>
      </c>
      <c r="C60" s="3" t="s">
        <v>35</v>
      </c>
      <c r="D60" s="3" t="s">
        <v>28</v>
      </c>
      <c r="E60" s="3" t="s">
        <v>29</v>
      </c>
      <c r="F60" s="3">
        <v>11673</v>
      </c>
      <c r="G60" s="3">
        <v>17.350000000000001</v>
      </c>
      <c r="H60" s="3" t="s">
        <v>14</v>
      </c>
      <c r="I60" s="4">
        <v>46152</v>
      </c>
      <c r="J60" s="3" t="s">
        <v>22</v>
      </c>
      <c r="K60" s="3" t="s">
        <v>424</v>
      </c>
      <c r="L60" s="3" t="str">
        <f t="shared" si="1"/>
        <v>OK</v>
      </c>
    </row>
    <row r="61" spans="1:12" x14ac:dyDescent="0.3">
      <c r="A61" s="3" t="s">
        <v>95</v>
      </c>
      <c r="B61" s="4">
        <v>46038</v>
      </c>
      <c r="C61" s="3" t="s">
        <v>35</v>
      </c>
      <c r="D61" s="3" t="s">
        <v>36</v>
      </c>
      <c r="E61" s="3" t="s">
        <v>37</v>
      </c>
      <c r="F61" s="3">
        <v>3906</v>
      </c>
      <c r="G61" s="3">
        <v>8.91</v>
      </c>
      <c r="H61" s="3" t="s">
        <v>14</v>
      </c>
      <c r="I61" s="4">
        <v>46115</v>
      </c>
      <c r="J61" s="3" t="s">
        <v>22</v>
      </c>
      <c r="K61" s="3" t="s">
        <v>424</v>
      </c>
      <c r="L61" s="3" t="str">
        <f t="shared" si="1"/>
        <v>OK</v>
      </c>
    </row>
    <row r="62" spans="1:12" x14ac:dyDescent="0.3">
      <c r="A62" s="3" t="s">
        <v>96</v>
      </c>
      <c r="B62" s="4">
        <v>46089</v>
      </c>
      <c r="C62" s="3" t="s">
        <v>32</v>
      </c>
      <c r="D62" s="3" t="s">
        <v>36</v>
      </c>
      <c r="E62" s="3" t="s">
        <v>37</v>
      </c>
      <c r="F62" s="3">
        <v>10620</v>
      </c>
      <c r="G62" s="3">
        <v>7.4</v>
      </c>
      <c r="H62" s="3" t="s">
        <v>14</v>
      </c>
      <c r="I62" s="4">
        <v>46157</v>
      </c>
      <c r="J62" s="3" t="s">
        <v>42</v>
      </c>
      <c r="K62" s="3" t="s">
        <v>424</v>
      </c>
      <c r="L62" s="3" t="str">
        <f t="shared" si="1"/>
        <v>OK</v>
      </c>
    </row>
    <row r="63" spans="1:12" x14ac:dyDescent="0.3">
      <c r="A63" s="3" t="s">
        <v>97</v>
      </c>
      <c r="B63" s="4">
        <v>46124</v>
      </c>
      <c r="C63" s="3" t="s">
        <v>32</v>
      </c>
      <c r="D63" s="3" t="s">
        <v>28</v>
      </c>
      <c r="E63" s="3" t="s">
        <v>29</v>
      </c>
      <c r="F63" s="3">
        <v>5499</v>
      </c>
      <c r="G63" s="3">
        <v>13.39</v>
      </c>
      <c r="H63" s="3" t="s">
        <v>14</v>
      </c>
      <c r="I63" s="4">
        <v>46176</v>
      </c>
      <c r="J63" s="3" t="s">
        <v>30</v>
      </c>
      <c r="K63" s="3" t="s">
        <v>424</v>
      </c>
      <c r="L63" s="3" t="str">
        <f t="shared" si="1"/>
        <v>OK</v>
      </c>
    </row>
    <row r="64" spans="1:12" x14ac:dyDescent="0.3">
      <c r="A64" s="3" t="s">
        <v>98</v>
      </c>
      <c r="B64" s="4">
        <v>46040</v>
      </c>
      <c r="C64" s="3" t="s">
        <v>24</v>
      </c>
      <c r="D64" s="3" t="s">
        <v>55</v>
      </c>
      <c r="E64" s="3" t="s">
        <v>18</v>
      </c>
      <c r="F64" s="3">
        <v>1185</v>
      </c>
      <c r="G64" s="3">
        <v>10.69</v>
      </c>
      <c r="H64" s="3" t="s">
        <v>14</v>
      </c>
      <c r="I64" s="4">
        <v>46130</v>
      </c>
      <c r="J64" s="3" t="s">
        <v>38</v>
      </c>
      <c r="K64" s="3" t="s">
        <v>424</v>
      </c>
      <c r="L64" s="3" t="str">
        <f t="shared" si="1"/>
        <v>OK</v>
      </c>
    </row>
    <row r="65" spans="1:12" x14ac:dyDescent="0.3">
      <c r="A65" s="3" t="s">
        <v>99</v>
      </c>
      <c r="B65" s="4">
        <v>46078</v>
      </c>
      <c r="C65" s="3" t="s">
        <v>35</v>
      </c>
      <c r="D65" s="3" t="s">
        <v>25</v>
      </c>
      <c r="E65" s="3" t="s">
        <v>26</v>
      </c>
      <c r="F65" s="3">
        <v>5876</v>
      </c>
      <c r="G65" s="3">
        <v>16.16</v>
      </c>
      <c r="H65" s="3" t="s">
        <v>14</v>
      </c>
      <c r="I65" s="4">
        <v>46157</v>
      </c>
      <c r="J65" s="3" t="s">
        <v>30</v>
      </c>
      <c r="K65" s="3" t="s">
        <v>424</v>
      </c>
      <c r="L65" s="3" t="str">
        <f t="shared" si="1"/>
        <v>OK</v>
      </c>
    </row>
    <row r="66" spans="1:12" x14ac:dyDescent="0.3">
      <c r="A66" s="3" t="s">
        <v>100</v>
      </c>
      <c r="B66" s="4">
        <v>46038</v>
      </c>
      <c r="C66" s="3" t="s">
        <v>11</v>
      </c>
      <c r="D66" s="3" t="s">
        <v>36</v>
      </c>
      <c r="E66" s="3" t="s">
        <v>37</v>
      </c>
      <c r="F66" s="3">
        <v>7746</v>
      </c>
      <c r="G66" s="3">
        <v>16.38</v>
      </c>
      <c r="H66" s="3" t="s">
        <v>14</v>
      </c>
      <c r="I66" s="4">
        <v>46076</v>
      </c>
      <c r="J66" s="3" t="s">
        <v>22</v>
      </c>
      <c r="K66" s="3" t="s">
        <v>424</v>
      </c>
      <c r="L66" s="3" t="str">
        <f t="shared" ref="L66:L81" si="2">IF(COUNTA(A66:J66)&lt;10,"MISSING DATA",IF(I66&lt;B66,"DATE ERROR","OK"))</f>
        <v>OK</v>
      </c>
    </row>
    <row r="67" spans="1:12" x14ac:dyDescent="0.3">
      <c r="A67" s="3" t="s">
        <v>101</v>
      </c>
      <c r="B67" s="4">
        <v>46072</v>
      </c>
      <c r="C67" s="3" t="s">
        <v>11</v>
      </c>
      <c r="D67" s="3" t="s">
        <v>55</v>
      </c>
      <c r="E67" s="3" t="s">
        <v>18</v>
      </c>
      <c r="F67" s="3">
        <v>8211</v>
      </c>
      <c r="G67" s="3">
        <v>16.91</v>
      </c>
      <c r="H67" s="3" t="s">
        <v>14</v>
      </c>
      <c r="I67" s="4">
        <v>46160</v>
      </c>
      <c r="J67" s="3" t="s">
        <v>30</v>
      </c>
      <c r="K67" s="3" t="s">
        <v>424</v>
      </c>
      <c r="L67" s="3" t="str">
        <f t="shared" si="2"/>
        <v>OK</v>
      </c>
    </row>
    <row r="68" spans="1:12" x14ac:dyDescent="0.3">
      <c r="A68" s="3" t="s">
        <v>102</v>
      </c>
      <c r="B68" s="4">
        <v>46098</v>
      </c>
      <c r="C68" s="3" t="s">
        <v>32</v>
      </c>
      <c r="D68" s="3" t="s">
        <v>28</v>
      </c>
      <c r="E68" s="3" t="s">
        <v>29</v>
      </c>
      <c r="F68" s="3">
        <v>6018</v>
      </c>
      <c r="G68" s="3">
        <v>17.22</v>
      </c>
      <c r="H68" s="3" t="s">
        <v>14</v>
      </c>
      <c r="I68" s="4">
        <v>46152</v>
      </c>
      <c r="J68" s="3" t="s">
        <v>15</v>
      </c>
      <c r="K68" s="3" t="s">
        <v>424</v>
      </c>
      <c r="L68" s="3" t="str">
        <f t="shared" si="2"/>
        <v>OK</v>
      </c>
    </row>
    <row r="69" spans="1:12" x14ac:dyDescent="0.3">
      <c r="A69" s="3" t="s">
        <v>103</v>
      </c>
      <c r="B69" s="4">
        <v>46092</v>
      </c>
      <c r="C69" s="3" t="s">
        <v>24</v>
      </c>
      <c r="D69" s="3" t="s">
        <v>21</v>
      </c>
      <c r="E69" s="3" t="s">
        <v>13</v>
      </c>
      <c r="F69" s="3">
        <v>7206</v>
      </c>
      <c r="G69" s="3">
        <v>5.37</v>
      </c>
      <c r="H69" s="3" t="s">
        <v>14</v>
      </c>
      <c r="I69" s="4">
        <v>46146</v>
      </c>
      <c r="J69" s="3" t="s">
        <v>22</v>
      </c>
      <c r="K69" s="3" t="s">
        <v>424</v>
      </c>
      <c r="L69" s="3" t="str">
        <f t="shared" si="2"/>
        <v>OK</v>
      </c>
    </row>
    <row r="70" spans="1:12" x14ac:dyDescent="0.3">
      <c r="A70" s="3" t="s">
        <v>104</v>
      </c>
      <c r="B70" s="4">
        <v>46127</v>
      </c>
      <c r="C70" s="3" t="s">
        <v>20</v>
      </c>
      <c r="D70" s="3" t="s">
        <v>21</v>
      </c>
      <c r="E70" s="3" t="s">
        <v>13</v>
      </c>
      <c r="F70" s="3">
        <v>8259</v>
      </c>
      <c r="G70" s="3">
        <v>17.91</v>
      </c>
      <c r="H70" s="3" t="s">
        <v>14</v>
      </c>
      <c r="I70" s="4">
        <v>46168</v>
      </c>
      <c r="J70" s="3" t="s">
        <v>38</v>
      </c>
      <c r="K70" s="3" t="s">
        <v>424</v>
      </c>
      <c r="L70" s="3" t="str">
        <f t="shared" si="2"/>
        <v>OK</v>
      </c>
    </row>
    <row r="71" spans="1:12" x14ac:dyDescent="0.3">
      <c r="A71" s="3" t="s">
        <v>105</v>
      </c>
      <c r="B71" s="4">
        <v>46033</v>
      </c>
      <c r="C71" s="3" t="s">
        <v>32</v>
      </c>
      <c r="D71" s="3" t="s">
        <v>55</v>
      </c>
      <c r="E71" s="3" t="s">
        <v>18</v>
      </c>
      <c r="F71" s="3">
        <v>3397</v>
      </c>
      <c r="G71" s="3">
        <v>12.88</v>
      </c>
      <c r="H71" s="3" t="s">
        <v>14</v>
      </c>
      <c r="I71" s="4">
        <v>46094</v>
      </c>
      <c r="J71" s="3" t="s">
        <v>42</v>
      </c>
      <c r="K71" s="3" t="s">
        <v>424</v>
      </c>
      <c r="L71" s="3" t="str">
        <f t="shared" si="2"/>
        <v>OK</v>
      </c>
    </row>
    <row r="72" spans="1:12" x14ac:dyDescent="0.3">
      <c r="A72" s="3" t="s">
        <v>106</v>
      </c>
      <c r="B72" s="4">
        <v>46116</v>
      </c>
      <c r="C72" s="3" t="s">
        <v>11</v>
      </c>
      <c r="D72" s="3" t="s">
        <v>40</v>
      </c>
      <c r="E72" s="3" t="s">
        <v>37</v>
      </c>
      <c r="F72" s="3">
        <v>5249</v>
      </c>
      <c r="G72" s="3">
        <v>17.989999999999998</v>
      </c>
      <c r="H72" s="3" t="s">
        <v>14</v>
      </c>
      <c r="I72" s="4">
        <v>46151</v>
      </c>
      <c r="J72" s="3" t="s">
        <v>30</v>
      </c>
      <c r="K72" s="3" t="s">
        <v>424</v>
      </c>
      <c r="L72" s="3" t="str">
        <f t="shared" si="2"/>
        <v>OK</v>
      </c>
    </row>
    <row r="73" spans="1:12" x14ac:dyDescent="0.3">
      <c r="A73" s="3" t="s">
        <v>107</v>
      </c>
      <c r="B73" s="4">
        <v>46089</v>
      </c>
      <c r="C73" s="3" t="s">
        <v>20</v>
      </c>
      <c r="D73" s="3" t="s">
        <v>28</v>
      </c>
      <c r="E73" s="3" t="s">
        <v>29</v>
      </c>
      <c r="F73" s="3">
        <v>11147</v>
      </c>
      <c r="G73" s="3">
        <v>9.01</v>
      </c>
      <c r="H73" s="3" t="s">
        <v>14</v>
      </c>
      <c r="I73" s="4">
        <v>46175</v>
      </c>
      <c r="J73" s="3" t="s">
        <v>15</v>
      </c>
      <c r="K73" s="3" t="s">
        <v>424</v>
      </c>
      <c r="L73" s="3" t="str">
        <f t="shared" si="2"/>
        <v>OK</v>
      </c>
    </row>
    <row r="74" spans="1:12" x14ac:dyDescent="0.3">
      <c r="A74" s="3" t="s">
        <v>108</v>
      </c>
      <c r="B74" s="4">
        <v>46117</v>
      </c>
      <c r="C74" s="3" t="s">
        <v>24</v>
      </c>
      <c r="D74" s="3" t="s">
        <v>55</v>
      </c>
      <c r="E74" s="3" t="s">
        <v>18</v>
      </c>
      <c r="F74" s="3">
        <v>5550</v>
      </c>
      <c r="G74" s="3">
        <v>12.46</v>
      </c>
      <c r="H74" s="3" t="s">
        <v>14</v>
      </c>
      <c r="I74" s="4">
        <v>46206</v>
      </c>
      <c r="J74" s="3" t="s">
        <v>30</v>
      </c>
      <c r="K74" s="3" t="s">
        <v>424</v>
      </c>
      <c r="L74" s="3" t="str">
        <f t="shared" si="2"/>
        <v>OK</v>
      </c>
    </row>
    <row r="75" spans="1:12" x14ac:dyDescent="0.3">
      <c r="A75" s="3" t="s">
        <v>109</v>
      </c>
      <c r="B75" s="4">
        <v>46073</v>
      </c>
      <c r="C75" s="3" t="s">
        <v>24</v>
      </c>
      <c r="D75" s="3" t="s">
        <v>55</v>
      </c>
      <c r="E75" s="3" t="s">
        <v>18</v>
      </c>
      <c r="F75" s="3">
        <v>3211</v>
      </c>
      <c r="G75" s="3">
        <v>11.11</v>
      </c>
      <c r="H75" s="3" t="s">
        <v>14</v>
      </c>
      <c r="I75" s="4">
        <v>46118</v>
      </c>
      <c r="J75" s="3" t="s">
        <v>42</v>
      </c>
      <c r="K75" s="3" t="s">
        <v>424</v>
      </c>
      <c r="L75" s="3" t="str">
        <f t="shared" si="2"/>
        <v>OK</v>
      </c>
    </row>
    <row r="76" spans="1:12" x14ac:dyDescent="0.3">
      <c r="A76" s="3" t="s">
        <v>110</v>
      </c>
      <c r="B76" s="4">
        <v>46084</v>
      </c>
      <c r="C76" s="3" t="s">
        <v>24</v>
      </c>
      <c r="D76" s="3" t="s">
        <v>66</v>
      </c>
      <c r="E76" s="3" t="s">
        <v>29</v>
      </c>
      <c r="F76" s="3">
        <v>6581</v>
      </c>
      <c r="G76" s="3">
        <v>17.059999999999999</v>
      </c>
      <c r="H76" s="3" t="s">
        <v>14</v>
      </c>
      <c r="I76" s="4">
        <v>46168</v>
      </c>
      <c r="J76" s="3" t="s">
        <v>38</v>
      </c>
      <c r="K76" s="3" t="s">
        <v>424</v>
      </c>
      <c r="L76" s="3" t="str">
        <f t="shared" si="2"/>
        <v>OK</v>
      </c>
    </row>
    <row r="77" spans="1:12" x14ac:dyDescent="0.3">
      <c r="A77" s="3" t="s">
        <v>111</v>
      </c>
      <c r="B77" s="4">
        <v>46034</v>
      </c>
      <c r="C77" s="3" t="s">
        <v>20</v>
      </c>
      <c r="D77" s="3" t="s">
        <v>21</v>
      </c>
      <c r="E77" s="3" t="s">
        <v>13</v>
      </c>
      <c r="F77" s="3">
        <v>6764</v>
      </c>
      <c r="G77" s="3">
        <v>5.56</v>
      </c>
      <c r="H77" s="3" t="s">
        <v>14</v>
      </c>
      <c r="I77" s="4">
        <v>46119</v>
      </c>
      <c r="J77" s="3" t="s">
        <v>30</v>
      </c>
      <c r="K77" s="3" t="s">
        <v>424</v>
      </c>
      <c r="L77" s="3" t="str">
        <f t="shared" si="2"/>
        <v>OK</v>
      </c>
    </row>
    <row r="78" spans="1:12" x14ac:dyDescent="0.3">
      <c r="A78" s="3" t="s">
        <v>112</v>
      </c>
      <c r="B78" s="4">
        <v>46061</v>
      </c>
      <c r="C78" s="3" t="s">
        <v>35</v>
      </c>
      <c r="D78" s="3" t="s">
        <v>28</v>
      </c>
      <c r="E78" s="3" t="s">
        <v>29</v>
      </c>
      <c r="F78" s="3">
        <v>5915</v>
      </c>
      <c r="G78" s="3">
        <v>13.15</v>
      </c>
      <c r="H78" s="3" t="s">
        <v>14</v>
      </c>
      <c r="I78" s="4">
        <v>46135</v>
      </c>
      <c r="J78" s="3" t="s">
        <v>15</v>
      </c>
      <c r="K78" s="3" t="s">
        <v>424</v>
      </c>
      <c r="L78" s="3" t="str">
        <f t="shared" si="2"/>
        <v>OK</v>
      </c>
    </row>
    <row r="79" spans="1:12" x14ac:dyDescent="0.3">
      <c r="A79" s="3" t="s">
        <v>113</v>
      </c>
      <c r="B79" s="4">
        <v>46054</v>
      </c>
      <c r="C79" s="3" t="s">
        <v>35</v>
      </c>
      <c r="D79" s="3" t="s">
        <v>40</v>
      </c>
      <c r="E79" s="3" t="s">
        <v>37</v>
      </c>
      <c r="F79" s="3">
        <v>6509</v>
      </c>
      <c r="G79" s="3">
        <v>10.5</v>
      </c>
      <c r="H79" s="3" t="s">
        <v>14</v>
      </c>
      <c r="I79" s="4">
        <v>46103</v>
      </c>
      <c r="J79" s="3" t="s">
        <v>30</v>
      </c>
      <c r="K79" s="3" t="s">
        <v>424</v>
      </c>
      <c r="L79" s="3" t="str">
        <f t="shared" si="2"/>
        <v>OK</v>
      </c>
    </row>
    <row r="80" spans="1:12" x14ac:dyDescent="0.3">
      <c r="A80" s="3" t="s">
        <v>114</v>
      </c>
      <c r="B80" s="4">
        <v>46043</v>
      </c>
      <c r="C80" s="3" t="s">
        <v>20</v>
      </c>
      <c r="D80" s="3" t="s">
        <v>66</v>
      </c>
      <c r="E80" s="3" t="s">
        <v>29</v>
      </c>
      <c r="F80" s="3">
        <v>7516</v>
      </c>
      <c r="G80" s="3">
        <v>5.95</v>
      </c>
      <c r="H80" s="3" t="s">
        <v>14</v>
      </c>
      <c r="I80" s="4">
        <v>46113</v>
      </c>
      <c r="J80" s="3" t="s">
        <v>22</v>
      </c>
      <c r="K80" s="3" t="s">
        <v>424</v>
      </c>
      <c r="L80" s="3" t="str">
        <f t="shared" si="2"/>
        <v>OK</v>
      </c>
    </row>
    <row r="81" spans="1:12" x14ac:dyDescent="0.3">
      <c r="A81" s="3" t="s">
        <v>115</v>
      </c>
      <c r="B81" s="4">
        <v>46131</v>
      </c>
      <c r="C81" s="3" t="s">
        <v>35</v>
      </c>
      <c r="D81" s="3" t="s">
        <v>25</v>
      </c>
      <c r="E81" s="3" t="s">
        <v>26</v>
      </c>
      <c r="F81" s="3">
        <v>1732</v>
      </c>
      <c r="G81" s="3">
        <v>13.9</v>
      </c>
      <c r="H81" s="3" t="s">
        <v>14</v>
      </c>
      <c r="I81" s="4">
        <v>46211</v>
      </c>
      <c r="J81" s="3" t="s">
        <v>38</v>
      </c>
      <c r="K81" s="3" t="s">
        <v>424</v>
      </c>
      <c r="L81" s="3" t="str">
        <f t="shared" si="2"/>
        <v>OK</v>
      </c>
    </row>
  </sheetData>
  <autoFilter ref="A1:L81" xr:uid="{00000000-0009-0000-0000-00000A000000}"/>
  <pageMargins left="0.75" right="0.75" top="1" bottom="1" header="0.5" footer="0.5"/>
  <pageSetup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  <pageSetUpPr fitToPage="1"/>
  </sheetPr>
  <dimension ref="A1:N7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8" customWidth="1"/>
    <col min="4" max="5" width="12" customWidth="1"/>
    <col min="6" max="6" width="20" customWidth="1"/>
    <col min="7" max="7" width="12" customWidth="1"/>
    <col min="8" max="8" width="13" customWidth="1"/>
    <col min="9" max="9" width="12" customWidth="1"/>
    <col min="10" max="10" width="17" customWidth="1"/>
    <col min="11" max="11" width="21" customWidth="1"/>
    <col min="12" max="12" width="15" customWidth="1"/>
    <col min="13" max="13" width="17" customWidth="1"/>
    <col min="14" max="14" width="12" customWidth="1"/>
  </cols>
  <sheetData>
    <row r="1" spans="1:14" x14ac:dyDescent="0.3">
      <c r="A1" s="2" t="s">
        <v>425</v>
      </c>
      <c r="B1" s="2" t="s">
        <v>4</v>
      </c>
      <c r="C1" s="2" t="s">
        <v>5</v>
      </c>
      <c r="D1" s="2" t="s">
        <v>116</v>
      </c>
      <c r="E1" s="2" t="s">
        <v>117</v>
      </c>
      <c r="F1" s="2" t="s">
        <v>426</v>
      </c>
      <c r="G1" s="2" t="s">
        <v>119</v>
      </c>
      <c r="H1" s="2" t="s">
        <v>186</v>
      </c>
      <c r="I1" s="2" t="s">
        <v>187</v>
      </c>
      <c r="J1" s="2" t="s">
        <v>188</v>
      </c>
      <c r="K1" s="2" t="s">
        <v>427</v>
      </c>
      <c r="L1" s="2" t="s">
        <v>121</v>
      </c>
      <c r="M1" s="2" t="s">
        <v>428</v>
      </c>
      <c r="N1" s="2" t="s">
        <v>0</v>
      </c>
    </row>
    <row r="2" spans="1:14" x14ac:dyDescent="0.3">
      <c r="A2" s="3" t="s">
        <v>429</v>
      </c>
      <c r="B2" s="3" t="s">
        <v>28</v>
      </c>
      <c r="C2" s="3" t="s">
        <v>29</v>
      </c>
      <c r="D2" s="3" t="s">
        <v>167</v>
      </c>
      <c r="E2" s="3" t="s">
        <v>124</v>
      </c>
      <c r="F2" s="3" t="s">
        <v>168</v>
      </c>
      <c r="G2" s="3" t="s">
        <v>126</v>
      </c>
      <c r="H2" s="3">
        <v>0.27800000000000002</v>
      </c>
      <c r="I2" s="6">
        <v>5.0999999999999997E-2</v>
      </c>
      <c r="J2" s="3" t="s">
        <v>189</v>
      </c>
      <c r="K2" s="3" t="s">
        <v>127</v>
      </c>
      <c r="L2" s="3" t="s">
        <v>128</v>
      </c>
      <c r="M2" s="5">
        <v>1.22</v>
      </c>
      <c r="N2" s="3" t="s">
        <v>14</v>
      </c>
    </row>
    <row r="3" spans="1:14" x14ac:dyDescent="0.3">
      <c r="A3" s="3" t="s">
        <v>430</v>
      </c>
      <c r="B3" s="3" t="s">
        <v>28</v>
      </c>
      <c r="C3" s="3" t="s">
        <v>29</v>
      </c>
      <c r="D3" s="3" t="s">
        <v>181</v>
      </c>
      <c r="E3" s="3" t="s">
        <v>124</v>
      </c>
      <c r="F3" s="3" t="s">
        <v>153</v>
      </c>
      <c r="G3" s="3" t="s">
        <v>126</v>
      </c>
      <c r="H3" s="3">
        <v>0.46600000000000003</v>
      </c>
      <c r="I3" s="6">
        <v>1.4E-2</v>
      </c>
      <c r="J3" s="3" t="s">
        <v>189</v>
      </c>
      <c r="K3" s="3" t="s">
        <v>134</v>
      </c>
      <c r="L3" s="3" t="s">
        <v>135</v>
      </c>
      <c r="M3" s="5">
        <v>4.13</v>
      </c>
      <c r="N3" s="3" t="s">
        <v>191</v>
      </c>
    </row>
    <row r="4" spans="1:14" x14ac:dyDescent="0.3">
      <c r="A4" s="3" t="s">
        <v>431</v>
      </c>
      <c r="B4" s="3" t="s">
        <v>28</v>
      </c>
      <c r="C4" s="3" t="s">
        <v>29</v>
      </c>
      <c r="D4" s="3" t="s">
        <v>176</v>
      </c>
      <c r="E4" s="3" t="s">
        <v>131</v>
      </c>
      <c r="F4" s="3" t="s">
        <v>173</v>
      </c>
      <c r="G4" s="3" t="s">
        <v>174</v>
      </c>
      <c r="H4" s="3">
        <v>6.5119999999999996</v>
      </c>
      <c r="I4" s="6">
        <v>6.5000000000000002E-2</v>
      </c>
      <c r="J4" s="3" t="s">
        <v>189</v>
      </c>
      <c r="K4" s="3" t="s">
        <v>141</v>
      </c>
      <c r="L4" s="3" t="s">
        <v>135</v>
      </c>
      <c r="M4" s="5">
        <v>0.36</v>
      </c>
      <c r="N4" s="3" t="s">
        <v>191</v>
      </c>
    </row>
    <row r="5" spans="1:14" x14ac:dyDescent="0.3">
      <c r="A5" s="3" t="s">
        <v>432</v>
      </c>
      <c r="B5" s="3" t="s">
        <v>28</v>
      </c>
      <c r="C5" s="3" t="s">
        <v>29</v>
      </c>
      <c r="D5" s="3" t="s">
        <v>139</v>
      </c>
      <c r="E5" s="3" t="s">
        <v>131</v>
      </c>
      <c r="F5" s="3" t="s">
        <v>140</v>
      </c>
      <c r="G5" s="3" t="s">
        <v>133</v>
      </c>
      <c r="H5" s="3">
        <v>5.4379999999999997</v>
      </c>
      <c r="I5" s="6">
        <v>2.4E-2</v>
      </c>
      <c r="J5" s="3" t="s">
        <v>189</v>
      </c>
      <c r="K5" s="3" t="s">
        <v>134</v>
      </c>
      <c r="L5" s="3" t="s">
        <v>135</v>
      </c>
      <c r="M5" s="5">
        <v>1.38</v>
      </c>
      <c r="N5" s="3" t="s">
        <v>191</v>
      </c>
    </row>
    <row r="6" spans="1:14" x14ac:dyDescent="0.3">
      <c r="A6" s="3" t="s">
        <v>433</v>
      </c>
      <c r="B6" s="3" t="s">
        <v>28</v>
      </c>
      <c r="C6" s="3" t="s">
        <v>29</v>
      </c>
      <c r="D6" s="3" t="s">
        <v>184</v>
      </c>
      <c r="E6" s="3" t="s">
        <v>131</v>
      </c>
      <c r="F6" s="3" t="s">
        <v>173</v>
      </c>
      <c r="G6" s="3" t="s">
        <v>174</v>
      </c>
      <c r="H6" s="3">
        <v>12.823</v>
      </c>
      <c r="I6" s="6">
        <v>3.2000000000000001E-2</v>
      </c>
      <c r="J6" s="3" t="s">
        <v>189</v>
      </c>
      <c r="K6" s="3" t="s">
        <v>134</v>
      </c>
      <c r="L6" s="3" t="s">
        <v>135</v>
      </c>
      <c r="M6" s="5">
        <v>1.3</v>
      </c>
      <c r="N6" s="3" t="s">
        <v>191</v>
      </c>
    </row>
    <row r="7" spans="1:14" x14ac:dyDescent="0.3">
      <c r="A7" s="3" t="s">
        <v>434</v>
      </c>
      <c r="B7" s="3" t="s">
        <v>28</v>
      </c>
      <c r="C7" s="3" t="s">
        <v>29</v>
      </c>
      <c r="D7" s="3" t="s">
        <v>172</v>
      </c>
      <c r="E7" s="3" t="s">
        <v>131</v>
      </c>
      <c r="F7" s="3" t="s">
        <v>173</v>
      </c>
      <c r="G7" s="3" t="s">
        <v>174</v>
      </c>
      <c r="H7" s="3">
        <v>8.7829999999999995</v>
      </c>
      <c r="I7" s="6">
        <v>6.2E-2</v>
      </c>
      <c r="J7" s="3" t="s">
        <v>189</v>
      </c>
      <c r="K7" s="3" t="s">
        <v>141</v>
      </c>
      <c r="L7" s="3" t="s">
        <v>135</v>
      </c>
      <c r="M7" s="5">
        <v>0.21</v>
      </c>
      <c r="N7" s="3" t="s">
        <v>191</v>
      </c>
    </row>
    <row r="8" spans="1:14" x14ac:dyDescent="0.3">
      <c r="A8" s="3" t="s">
        <v>435</v>
      </c>
      <c r="B8" s="3" t="s">
        <v>28</v>
      </c>
      <c r="C8" s="3" t="s">
        <v>29</v>
      </c>
      <c r="D8" s="3" t="s">
        <v>148</v>
      </c>
      <c r="E8" s="3" t="s">
        <v>137</v>
      </c>
      <c r="F8" s="3" t="s">
        <v>138</v>
      </c>
      <c r="G8" s="3" t="s">
        <v>133</v>
      </c>
      <c r="H8" s="3">
        <v>0.84499999999999997</v>
      </c>
      <c r="I8" s="6">
        <v>7.9000000000000001E-2</v>
      </c>
      <c r="J8" s="3" t="s">
        <v>189</v>
      </c>
      <c r="K8" s="3" t="s">
        <v>141</v>
      </c>
      <c r="L8" s="3" t="s">
        <v>135</v>
      </c>
      <c r="M8" s="5">
        <v>1.99</v>
      </c>
      <c r="N8" s="3" t="s">
        <v>191</v>
      </c>
    </row>
    <row r="9" spans="1:14" x14ac:dyDescent="0.3">
      <c r="A9" s="3" t="s">
        <v>436</v>
      </c>
      <c r="B9" s="3" t="s">
        <v>40</v>
      </c>
      <c r="C9" s="3" t="s">
        <v>37</v>
      </c>
      <c r="D9" s="3" t="s">
        <v>158</v>
      </c>
      <c r="E9" s="3" t="s">
        <v>124</v>
      </c>
      <c r="F9" s="3" t="s">
        <v>125</v>
      </c>
      <c r="G9" s="3" t="s">
        <v>126</v>
      </c>
      <c r="H9" s="3">
        <v>0.625</v>
      </c>
      <c r="I9" s="6">
        <v>2.5000000000000001E-2</v>
      </c>
      <c r="J9" s="3" t="s">
        <v>189</v>
      </c>
      <c r="K9" s="3" t="s">
        <v>141</v>
      </c>
      <c r="L9" s="3" t="s">
        <v>135</v>
      </c>
      <c r="M9" s="5">
        <v>2.38</v>
      </c>
      <c r="N9" s="3" t="s">
        <v>191</v>
      </c>
    </row>
    <row r="10" spans="1:14" x14ac:dyDescent="0.3">
      <c r="A10" s="3" t="s">
        <v>437</v>
      </c>
      <c r="B10" s="3" t="s">
        <v>40</v>
      </c>
      <c r="C10" s="3" t="s">
        <v>37</v>
      </c>
      <c r="D10" s="3" t="s">
        <v>152</v>
      </c>
      <c r="E10" s="3" t="s">
        <v>124</v>
      </c>
      <c r="F10" s="3" t="s">
        <v>153</v>
      </c>
      <c r="G10" s="3" t="s">
        <v>126</v>
      </c>
      <c r="H10" s="3">
        <v>0.74</v>
      </c>
      <c r="I10" s="6">
        <v>3.9E-2</v>
      </c>
      <c r="J10" s="3" t="s">
        <v>189</v>
      </c>
      <c r="K10" s="3" t="s">
        <v>134</v>
      </c>
      <c r="L10" s="3" t="s">
        <v>135</v>
      </c>
      <c r="M10" s="5">
        <v>4.62</v>
      </c>
      <c r="N10" s="3" t="s">
        <v>191</v>
      </c>
    </row>
    <row r="11" spans="1:14" x14ac:dyDescent="0.3">
      <c r="A11" s="3" t="s">
        <v>438</v>
      </c>
      <c r="B11" s="3" t="s">
        <v>40</v>
      </c>
      <c r="C11" s="3" t="s">
        <v>37</v>
      </c>
      <c r="D11" s="3" t="s">
        <v>139</v>
      </c>
      <c r="E11" s="3" t="s">
        <v>131</v>
      </c>
      <c r="F11" s="3" t="s">
        <v>140</v>
      </c>
      <c r="G11" s="3" t="s">
        <v>133</v>
      </c>
      <c r="H11" s="3">
        <v>4.4349999999999996</v>
      </c>
      <c r="I11" s="6">
        <v>4.3999999999999997E-2</v>
      </c>
      <c r="J11" s="3" t="s">
        <v>189</v>
      </c>
      <c r="K11" s="3" t="s">
        <v>134</v>
      </c>
      <c r="L11" s="3" t="s">
        <v>135</v>
      </c>
      <c r="M11" s="5">
        <v>1.38</v>
      </c>
      <c r="N11" s="3" t="s">
        <v>191</v>
      </c>
    </row>
    <row r="12" spans="1:14" x14ac:dyDescent="0.3">
      <c r="A12" s="3" t="s">
        <v>439</v>
      </c>
      <c r="B12" s="3" t="s">
        <v>40</v>
      </c>
      <c r="C12" s="3" t="s">
        <v>37</v>
      </c>
      <c r="D12" s="3" t="s">
        <v>157</v>
      </c>
      <c r="E12" s="3" t="s">
        <v>131</v>
      </c>
      <c r="F12" s="3" t="s">
        <v>140</v>
      </c>
      <c r="G12" s="3" t="s">
        <v>133</v>
      </c>
      <c r="H12" s="3">
        <v>6.2889999999999997</v>
      </c>
      <c r="I12" s="6">
        <v>0.03</v>
      </c>
      <c r="J12" s="3" t="s">
        <v>189</v>
      </c>
      <c r="K12" s="3" t="s">
        <v>144</v>
      </c>
      <c r="L12" s="3" t="s">
        <v>135</v>
      </c>
      <c r="M12" s="5">
        <v>0.28999999999999998</v>
      </c>
      <c r="N12" s="3" t="s">
        <v>191</v>
      </c>
    </row>
    <row r="13" spans="1:14" x14ac:dyDescent="0.3">
      <c r="A13" s="3" t="s">
        <v>440</v>
      </c>
      <c r="B13" s="3" t="s">
        <v>40</v>
      </c>
      <c r="C13" s="3" t="s">
        <v>37</v>
      </c>
      <c r="D13" s="3" t="s">
        <v>142</v>
      </c>
      <c r="E13" s="3" t="s">
        <v>131</v>
      </c>
      <c r="F13" s="3" t="s">
        <v>143</v>
      </c>
      <c r="G13" s="3" t="s">
        <v>133</v>
      </c>
      <c r="H13" s="3">
        <v>4.3170000000000002</v>
      </c>
      <c r="I13" s="6">
        <v>2E-3</v>
      </c>
      <c r="J13" s="3" t="s">
        <v>189</v>
      </c>
      <c r="K13" s="3" t="s">
        <v>149</v>
      </c>
      <c r="L13" s="3" t="s">
        <v>135</v>
      </c>
      <c r="M13" s="5">
        <v>1.08</v>
      </c>
      <c r="N13" s="3" t="s">
        <v>191</v>
      </c>
    </row>
    <row r="14" spans="1:14" x14ac:dyDescent="0.3">
      <c r="A14" s="3" t="s">
        <v>441</v>
      </c>
      <c r="B14" s="3" t="s">
        <v>40</v>
      </c>
      <c r="C14" s="3" t="s">
        <v>37</v>
      </c>
      <c r="D14" s="3" t="s">
        <v>176</v>
      </c>
      <c r="E14" s="3" t="s">
        <v>131</v>
      </c>
      <c r="F14" s="3" t="s">
        <v>173</v>
      </c>
      <c r="G14" s="3" t="s">
        <v>174</v>
      </c>
      <c r="H14" s="3">
        <v>1.615</v>
      </c>
      <c r="I14" s="6">
        <v>4.1000000000000002E-2</v>
      </c>
      <c r="J14" s="3" t="s">
        <v>189</v>
      </c>
      <c r="K14" s="3" t="s">
        <v>141</v>
      </c>
      <c r="L14" s="3" t="s">
        <v>135</v>
      </c>
      <c r="M14" s="5">
        <v>0.36</v>
      </c>
      <c r="N14" s="3" t="s">
        <v>191</v>
      </c>
    </row>
    <row r="15" spans="1:14" x14ac:dyDescent="0.3">
      <c r="A15" s="3" t="s">
        <v>442</v>
      </c>
      <c r="B15" s="3" t="s">
        <v>40</v>
      </c>
      <c r="C15" s="3" t="s">
        <v>37</v>
      </c>
      <c r="D15" s="3" t="s">
        <v>155</v>
      </c>
      <c r="E15" s="3" t="s">
        <v>137</v>
      </c>
      <c r="F15" s="3" t="s">
        <v>147</v>
      </c>
      <c r="G15" s="3" t="s">
        <v>133</v>
      </c>
      <c r="H15" s="3">
        <v>0.27900000000000003</v>
      </c>
      <c r="I15" s="6">
        <v>2.3E-2</v>
      </c>
      <c r="J15" s="3" t="s">
        <v>189</v>
      </c>
      <c r="K15" s="3" t="s">
        <v>134</v>
      </c>
      <c r="L15" s="3" t="s">
        <v>135</v>
      </c>
      <c r="M15" s="5">
        <v>1.58</v>
      </c>
      <c r="N15" s="3" t="s">
        <v>191</v>
      </c>
    </row>
    <row r="16" spans="1:14" x14ac:dyDescent="0.3">
      <c r="A16" s="3" t="s">
        <v>443</v>
      </c>
      <c r="B16" s="3" t="s">
        <v>12</v>
      </c>
      <c r="C16" s="3" t="s">
        <v>13</v>
      </c>
      <c r="D16" s="3" t="s">
        <v>123</v>
      </c>
      <c r="E16" s="3" t="s">
        <v>124</v>
      </c>
      <c r="F16" s="3" t="s">
        <v>125</v>
      </c>
      <c r="G16" s="3" t="s">
        <v>126</v>
      </c>
      <c r="H16" s="3">
        <v>0.374</v>
      </c>
      <c r="I16" s="6">
        <v>1.2E-2</v>
      </c>
      <c r="J16" s="3" t="s">
        <v>189</v>
      </c>
      <c r="K16" s="3" t="s">
        <v>134</v>
      </c>
      <c r="L16" s="3" t="s">
        <v>135</v>
      </c>
      <c r="M16" s="5">
        <v>3.54</v>
      </c>
      <c r="N16" s="3" t="s">
        <v>191</v>
      </c>
    </row>
    <row r="17" spans="1:14" x14ac:dyDescent="0.3">
      <c r="A17" s="3" t="s">
        <v>444</v>
      </c>
      <c r="B17" s="3" t="s">
        <v>12</v>
      </c>
      <c r="C17" s="3" t="s">
        <v>13</v>
      </c>
      <c r="D17" s="3" t="s">
        <v>152</v>
      </c>
      <c r="E17" s="3" t="s">
        <v>124</v>
      </c>
      <c r="F17" s="3" t="s">
        <v>153</v>
      </c>
      <c r="G17" s="3" t="s">
        <v>126</v>
      </c>
      <c r="H17" s="3">
        <v>0.53900000000000003</v>
      </c>
      <c r="I17" s="6">
        <v>7.8E-2</v>
      </c>
      <c r="J17" s="3" t="s">
        <v>189</v>
      </c>
      <c r="K17" s="3" t="s">
        <v>134</v>
      </c>
      <c r="L17" s="3" t="s">
        <v>135</v>
      </c>
      <c r="M17" s="5">
        <v>4.62</v>
      </c>
      <c r="N17" s="3" t="s">
        <v>191</v>
      </c>
    </row>
    <row r="18" spans="1:14" x14ac:dyDescent="0.3">
      <c r="A18" s="3" t="s">
        <v>445</v>
      </c>
      <c r="B18" s="3" t="s">
        <v>12</v>
      </c>
      <c r="C18" s="3" t="s">
        <v>13</v>
      </c>
      <c r="D18" s="3" t="s">
        <v>177</v>
      </c>
      <c r="E18" s="3" t="s">
        <v>131</v>
      </c>
      <c r="F18" s="3" t="s">
        <v>161</v>
      </c>
      <c r="G18" s="3" t="s">
        <v>162</v>
      </c>
      <c r="H18" s="3">
        <v>14.484999999999999</v>
      </c>
      <c r="I18" s="6">
        <v>7.0000000000000001E-3</v>
      </c>
      <c r="J18" s="3" t="s">
        <v>189</v>
      </c>
      <c r="K18" s="3" t="s">
        <v>141</v>
      </c>
      <c r="L18" s="3" t="s">
        <v>135</v>
      </c>
      <c r="M18" s="5">
        <v>1.1100000000000001</v>
      </c>
      <c r="N18" s="3" t="s">
        <v>191</v>
      </c>
    </row>
    <row r="19" spans="1:14" x14ac:dyDescent="0.3">
      <c r="A19" s="3" t="s">
        <v>446</v>
      </c>
      <c r="B19" s="3" t="s">
        <v>12</v>
      </c>
      <c r="C19" s="3" t="s">
        <v>13</v>
      </c>
      <c r="D19" s="3" t="s">
        <v>179</v>
      </c>
      <c r="E19" s="3" t="s">
        <v>131</v>
      </c>
      <c r="F19" s="3" t="s">
        <v>161</v>
      </c>
      <c r="G19" s="3" t="s">
        <v>162</v>
      </c>
      <c r="H19" s="3">
        <v>2.5379999999999998</v>
      </c>
      <c r="I19" s="6">
        <v>5.7000000000000002E-2</v>
      </c>
      <c r="J19" s="3" t="s">
        <v>189</v>
      </c>
      <c r="K19" s="3" t="s">
        <v>141</v>
      </c>
      <c r="L19" s="3" t="s">
        <v>135</v>
      </c>
      <c r="M19" s="5">
        <v>2.39</v>
      </c>
      <c r="N19" s="3" t="s">
        <v>191</v>
      </c>
    </row>
    <row r="20" spans="1:14" x14ac:dyDescent="0.3">
      <c r="A20" s="3" t="s">
        <v>447</v>
      </c>
      <c r="B20" s="3" t="s">
        <v>12</v>
      </c>
      <c r="C20" s="3" t="s">
        <v>13</v>
      </c>
      <c r="D20" s="3" t="s">
        <v>157</v>
      </c>
      <c r="E20" s="3" t="s">
        <v>131</v>
      </c>
      <c r="F20" s="3" t="s">
        <v>140</v>
      </c>
      <c r="G20" s="3" t="s">
        <v>133</v>
      </c>
      <c r="H20" s="3">
        <v>11.688000000000001</v>
      </c>
      <c r="I20" s="6">
        <v>7.1999999999999995E-2</v>
      </c>
      <c r="J20" s="3" t="s">
        <v>189</v>
      </c>
      <c r="K20" s="3" t="s">
        <v>144</v>
      </c>
      <c r="L20" s="3" t="s">
        <v>135</v>
      </c>
      <c r="M20" s="5">
        <v>0.28999999999999998</v>
      </c>
      <c r="N20" s="3" t="s">
        <v>191</v>
      </c>
    </row>
    <row r="21" spans="1:14" x14ac:dyDescent="0.3">
      <c r="A21" s="3" t="s">
        <v>448</v>
      </c>
      <c r="B21" s="3" t="s">
        <v>12</v>
      </c>
      <c r="C21" s="3" t="s">
        <v>13</v>
      </c>
      <c r="D21" s="3" t="s">
        <v>130</v>
      </c>
      <c r="E21" s="3" t="s">
        <v>131</v>
      </c>
      <c r="F21" s="3" t="s">
        <v>132</v>
      </c>
      <c r="G21" s="3" t="s">
        <v>133</v>
      </c>
      <c r="H21" s="3">
        <v>8.5410000000000004</v>
      </c>
      <c r="I21" s="6">
        <v>2.4E-2</v>
      </c>
      <c r="J21" s="3" t="s">
        <v>189</v>
      </c>
      <c r="K21" s="3" t="s">
        <v>141</v>
      </c>
      <c r="L21" s="3" t="s">
        <v>135</v>
      </c>
      <c r="M21" s="5">
        <v>0.22</v>
      </c>
      <c r="N21" s="3" t="s">
        <v>191</v>
      </c>
    </row>
    <row r="22" spans="1:14" x14ac:dyDescent="0.3">
      <c r="A22" s="3" t="s">
        <v>449</v>
      </c>
      <c r="B22" s="3" t="s">
        <v>12</v>
      </c>
      <c r="C22" s="3" t="s">
        <v>13</v>
      </c>
      <c r="D22" s="3" t="s">
        <v>164</v>
      </c>
      <c r="E22" s="3" t="s">
        <v>137</v>
      </c>
      <c r="F22" s="3" t="s">
        <v>165</v>
      </c>
      <c r="G22" s="3" t="s">
        <v>133</v>
      </c>
      <c r="H22" s="3">
        <v>1.0620000000000001</v>
      </c>
      <c r="I22" s="6">
        <v>3.1E-2</v>
      </c>
      <c r="J22" s="3" t="s">
        <v>189</v>
      </c>
      <c r="K22" s="3" t="s">
        <v>141</v>
      </c>
      <c r="L22" s="3" t="s">
        <v>135</v>
      </c>
      <c r="M22" s="5">
        <v>0.94</v>
      </c>
      <c r="N22" s="3" t="s">
        <v>191</v>
      </c>
    </row>
    <row r="23" spans="1:14" x14ac:dyDescent="0.3">
      <c r="A23" s="3" t="s">
        <v>450</v>
      </c>
      <c r="B23" s="3" t="s">
        <v>55</v>
      </c>
      <c r="C23" s="3" t="s">
        <v>18</v>
      </c>
      <c r="D23" s="3" t="s">
        <v>152</v>
      </c>
      <c r="E23" s="3" t="s">
        <v>124</v>
      </c>
      <c r="F23" s="3" t="s">
        <v>153</v>
      </c>
      <c r="G23" s="3" t="s">
        <v>126</v>
      </c>
      <c r="H23" s="3">
        <v>0.81599999999999995</v>
      </c>
      <c r="I23" s="6">
        <v>3.6999999999999998E-2</v>
      </c>
      <c r="J23" s="3" t="s">
        <v>189</v>
      </c>
      <c r="K23" s="3" t="s">
        <v>134</v>
      </c>
      <c r="L23" s="3" t="s">
        <v>135</v>
      </c>
      <c r="M23" s="5">
        <v>4.62</v>
      </c>
      <c r="N23" s="3" t="s">
        <v>191</v>
      </c>
    </row>
    <row r="24" spans="1:14" x14ac:dyDescent="0.3">
      <c r="A24" s="3" t="s">
        <v>451</v>
      </c>
      <c r="B24" s="3" t="s">
        <v>55</v>
      </c>
      <c r="C24" s="3" t="s">
        <v>18</v>
      </c>
      <c r="D24" s="3" t="s">
        <v>167</v>
      </c>
      <c r="E24" s="3" t="s">
        <v>124</v>
      </c>
      <c r="F24" s="3" t="s">
        <v>168</v>
      </c>
      <c r="G24" s="3" t="s">
        <v>126</v>
      </c>
      <c r="H24" s="3">
        <v>0.72099999999999997</v>
      </c>
      <c r="I24" s="6">
        <v>3.9E-2</v>
      </c>
      <c r="J24" s="3" t="s">
        <v>189</v>
      </c>
      <c r="K24" s="3" t="s">
        <v>127</v>
      </c>
      <c r="L24" s="3" t="s">
        <v>128</v>
      </c>
      <c r="M24" s="5">
        <v>1.22</v>
      </c>
      <c r="N24" s="3" t="s">
        <v>14</v>
      </c>
    </row>
    <row r="25" spans="1:14" x14ac:dyDescent="0.3">
      <c r="A25" s="3" t="s">
        <v>452</v>
      </c>
      <c r="B25" s="3" t="s">
        <v>55</v>
      </c>
      <c r="C25" s="3" t="s">
        <v>18</v>
      </c>
      <c r="D25" s="3" t="s">
        <v>177</v>
      </c>
      <c r="E25" s="3" t="s">
        <v>131</v>
      </c>
      <c r="F25" s="3" t="s">
        <v>161</v>
      </c>
      <c r="G25" s="3" t="s">
        <v>162</v>
      </c>
      <c r="H25" s="3">
        <v>3.9220000000000002</v>
      </c>
      <c r="I25" s="6">
        <v>5.2999999999999999E-2</v>
      </c>
      <c r="J25" s="3" t="s">
        <v>189</v>
      </c>
      <c r="K25" s="3" t="s">
        <v>141</v>
      </c>
      <c r="L25" s="3" t="s">
        <v>135</v>
      </c>
      <c r="M25" s="5">
        <v>1.1100000000000001</v>
      </c>
      <c r="N25" s="3" t="s">
        <v>191</v>
      </c>
    </row>
    <row r="26" spans="1:14" x14ac:dyDescent="0.3">
      <c r="A26" s="3" t="s">
        <v>453</v>
      </c>
      <c r="B26" s="3" t="s">
        <v>55</v>
      </c>
      <c r="C26" s="3" t="s">
        <v>18</v>
      </c>
      <c r="D26" s="3" t="s">
        <v>160</v>
      </c>
      <c r="E26" s="3" t="s">
        <v>131</v>
      </c>
      <c r="F26" s="3" t="s">
        <v>161</v>
      </c>
      <c r="G26" s="3" t="s">
        <v>162</v>
      </c>
      <c r="H26" s="3">
        <v>5.9059999999999997</v>
      </c>
      <c r="I26" s="6">
        <v>6.6000000000000003E-2</v>
      </c>
      <c r="J26" s="3" t="s">
        <v>189</v>
      </c>
      <c r="K26" s="3" t="s">
        <v>134</v>
      </c>
      <c r="L26" s="3" t="s">
        <v>135</v>
      </c>
      <c r="M26" s="5">
        <v>1.58</v>
      </c>
      <c r="N26" s="3" t="s">
        <v>191</v>
      </c>
    </row>
    <row r="27" spans="1:14" x14ac:dyDescent="0.3">
      <c r="A27" s="3" t="s">
        <v>454</v>
      </c>
      <c r="B27" s="3" t="s">
        <v>55</v>
      </c>
      <c r="C27" s="3" t="s">
        <v>18</v>
      </c>
      <c r="D27" s="3" t="s">
        <v>170</v>
      </c>
      <c r="E27" s="3" t="s">
        <v>131</v>
      </c>
      <c r="F27" s="3" t="s">
        <v>171</v>
      </c>
      <c r="G27" s="3" t="s">
        <v>133</v>
      </c>
      <c r="H27" s="3">
        <v>4.6790000000000003</v>
      </c>
      <c r="I27" s="6">
        <v>5.1999999999999998E-2</v>
      </c>
      <c r="J27" s="3" t="s">
        <v>189</v>
      </c>
      <c r="K27" s="3" t="s">
        <v>134</v>
      </c>
      <c r="L27" s="3" t="s">
        <v>135</v>
      </c>
      <c r="M27" s="5">
        <v>0.5</v>
      </c>
      <c r="N27" s="3" t="s">
        <v>191</v>
      </c>
    </row>
    <row r="28" spans="1:14" x14ac:dyDescent="0.3">
      <c r="A28" s="3" t="s">
        <v>455</v>
      </c>
      <c r="B28" s="3" t="s">
        <v>55</v>
      </c>
      <c r="C28" s="3" t="s">
        <v>18</v>
      </c>
      <c r="D28" s="3" t="s">
        <v>184</v>
      </c>
      <c r="E28" s="3" t="s">
        <v>131</v>
      </c>
      <c r="F28" s="3" t="s">
        <v>173</v>
      </c>
      <c r="G28" s="3" t="s">
        <v>174</v>
      </c>
      <c r="H28" s="3">
        <v>9.2639999999999993</v>
      </c>
      <c r="I28" s="6">
        <v>0.02</v>
      </c>
      <c r="J28" s="3" t="s">
        <v>189</v>
      </c>
      <c r="K28" s="3" t="s">
        <v>134</v>
      </c>
      <c r="L28" s="3" t="s">
        <v>135</v>
      </c>
      <c r="M28" s="5">
        <v>1.3</v>
      </c>
      <c r="N28" s="3" t="s">
        <v>191</v>
      </c>
    </row>
    <row r="29" spans="1:14" x14ac:dyDescent="0.3">
      <c r="A29" s="3" t="s">
        <v>456</v>
      </c>
      <c r="B29" s="3" t="s">
        <v>55</v>
      </c>
      <c r="C29" s="3" t="s">
        <v>18</v>
      </c>
      <c r="D29" s="3" t="s">
        <v>148</v>
      </c>
      <c r="E29" s="3" t="s">
        <v>137</v>
      </c>
      <c r="F29" s="3" t="s">
        <v>138</v>
      </c>
      <c r="G29" s="3" t="s">
        <v>133</v>
      </c>
      <c r="H29" s="3">
        <v>0.48899999999999999</v>
      </c>
      <c r="I29" s="6">
        <v>2.9000000000000001E-2</v>
      </c>
      <c r="J29" s="3" t="s">
        <v>189</v>
      </c>
      <c r="K29" s="3" t="s">
        <v>141</v>
      </c>
      <c r="L29" s="3" t="s">
        <v>135</v>
      </c>
      <c r="M29" s="5">
        <v>1.99</v>
      </c>
      <c r="N29" s="3" t="s">
        <v>191</v>
      </c>
    </row>
    <row r="30" spans="1:14" x14ac:dyDescent="0.3">
      <c r="A30" s="3" t="s">
        <v>457</v>
      </c>
      <c r="B30" s="3" t="s">
        <v>33</v>
      </c>
      <c r="C30" s="3" t="s">
        <v>26</v>
      </c>
      <c r="D30" s="3" t="s">
        <v>123</v>
      </c>
      <c r="E30" s="3" t="s">
        <v>124</v>
      </c>
      <c r="F30" s="3" t="s">
        <v>125</v>
      </c>
      <c r="G30" s="3" t="s">
        <v>126</v>
      </c>
      <c r="H30" s="3">
        <v>0.46600000000000003</v>
      </c>
      <c r="I30" s="6">
        <v>7.1999999999999995E-2</v>
      </c>
      <c r="J30" s="3" t="s">
        <v>189</v>
      </c>
      <c r="K30" s="3" t="s">
        <v>134</v>
      </c>
      <c r="L30" s="3" t="s">
        <v>135</v>
      </c>
      <c r="M30" s="5">
        <v>3.54</v>
      </c>
      <c r="N30" s="3" t="s">
        <v>191</v>
      </c>
    </row>
    <row r="31" spans="1:14" x14ac:dyDescent="0.3">
      <c r="A31" s="3" t="s">
        <v>458</v>
      </c>
      <c r="B31" s="3" t="s">
        <v>33</v>
      </c>
      <c r="C31" s="3" t="s">
        <v>26</v>
      </c>
      <c r="D31" s="3" t="s">
        <v>182</v>
      </c>
      <c r="E31" s="3" t="s">
        <v>124</v>
      </c>
      <c r="F31" s="3" t="s">
        <v>183</v>
      </c>
      <c r="G31" s="3" t="s">
        <v>162</v>
      </c>
      <c r="H31" s="3">
        <v>0.33200000000000002</v>
      </c>
      <c r="I31" s="6">
        <v>1.6E-2</v>
      </c>
      <c r="J31" s="3" t="s">
        <v>189</v>
      </c>
      <c r="K31" s="3" t="s">
        <v>144</v>
      </c>
      <c r="L31" s="3" t="s">
        <v>135</v>
      </c>
      <c r="M31" s="5">
        <v>6.29</v>
      </c>
      <c r="N31" s="3" t="s">
        <v>191</v>
      </c>
    </row>
    <row r="32" spans="1:14" x14ac:dyDescent="0.3">
      <c r="A32" s="3" t="s">
        <v>459</v>
      </c>
      <c r="B32" s="3" t="s">
        <v>33</v>
      </c>
      <c r="C32" s="3" t="s">
        <v>26</v>
      </c>
      <c r="D32" s="3" t="s">
        <v>142</v>
      </c>
      <c r="E32" s="3" t="s">
        <v>131</v>
      </c>
      <c r="F32" s="3" t="s">
        <v>143</v>
      </c>
      <c r="G32" s="3" t="s">
        <v>133</v>
      </c>
      <c r="H32" s="3">
        <v>9.9329999999999998</v>
      </c>
      <c r="I32" s="6">
        <v>4.2000000000000003E-2</v>
      </c>
      <c r="J32" s="3" t="s">
        <v>189</v>
      </c>
      <c r="K32" s="3" t="s">
        <v>149</v>
      </c>
      <c r="L32" s="3" t="s">
        <v>135</v>
      </c>
      <c r="M32" s="5">
        <v>1.08</v>
      </c>
      <c r="N32" s="3" t="s">
        <v>191</v>
      </c>
    </row>
    <row r="33" spans="1:14" x14ac:dyDescent="0.3">
      <c r="A33" s="3" t="s">
        <v>460</v>
      </c>
      <c r="B33" s="3" t="s">
        <v>33</v>
      </c>
      <c r="C33" s="3" t="s">
        <v>26</v>
      </c>
      <c r="D33" s="3" t="s">
        <v>176</v>
      </c>
      <c r="E33" s="3" t="s">
        <v>131</v>
      </c>
      <c r="F33" s="3" t="s">
        <v>173</v>
      </c>
      <c r="G33" s="3" t="s">
        <v>174</v>
      </c>
      <c r="H33" s="3">
        <v>12.888999999999999</v>
      </c>
      <c r="I33" s="6">
        <v>5.5E-2</v>
      </c>
      <c r="J33" s="3" t="s">
        <v>189</v>
      </c>
      <c r="K33" s="3" t="s">
        <v>141</v>
      </c>
      <c r="L33" s="3" t="s">
        <v>135</v>
      </c>
      <c r="M33" s="5">
        <v>0.36</v>
      </c>
      <c r="N33" s="3" t="s">
        <v>191</v>
      </c>
    </row>
    <row r="34" spans="1:14" x14ac:dyDescent="0.3">
      <c r="A34" s="3" t="s">
        <v>461</v>
      </c>
      <c r="B34" s="3" t="s">
        <v>33</v>
      </c>
      <c r="C34" s="3" t="s">
        <v>26</v>
      </c>
      <c r="D34" s="3" t="s">
        <v>177</v>
      </c>
      <c r="E34" s="3" t="s">
        <v>131</v>
      </c>
      <c r="F34" s="3" t="s">
        <v>161</v>
      </c>
      <c r="G34" s="3" t="s">
        <v>162</v>
      </c>
      <c r="H34" s="3">
        <v>12.635999999999999</v>
      </c>
      <c r="I34" s="6">
        <v>3.7999999999999999E-2</v>
      </c>
      <c r="J34" s="3" t="s">
        <v>189</v>
      </c>
      <c r="K34" s="3" t="s">
        <v>141</v>
      </c>
      <c r="L34" s="3" t="s">
        <v>135</v>
      </c>
      <c r="M34" s="5">
        <v>1.1100000000000001</v>
      </c>
      <c r="N34" s="3" t="s">
        <v>191</v>
      </c>
    </row>
    <row r="35" spans="1:14" x14ac:dyDescent="0.3">
      <c r="A35" s="3" t="s">
        <v>462</v>
      </c>
      <c r="B35" s="3" t="s">
        <v>33</v>
      </c>
      <c r="C35" s="3" t="s">
        <v>26</v>
      </c>
      <c r="D35" s="3" t="s">
        <v>145</v>
      </c>
      <c r="E35" s="3" t="s">
        <v>131</v>
      </c>
      <c r="F35" s="3" t="s">
        <v>132</v>
      </c>
      <c r="G35" s="3" t="s">
        <v>133</v>
      </c>
      <c r="H35" s="3">
        <v>4.7380000000000004</v>
      </c>
      <c r="I35" s="6">
        <v>3.2000000000000001E-2</v>
      </c>
      <c r="J35" s="3" t="s">
        <v>189</v>
      </c>
      <c r="K35" s="3" t="s">
        <v>134</v>
      </c>
      <c r="L35" s="3" t="s">
        <v>135</v>
      </c>
      <c r="M35" s="5">
        <v>4.18</v>
      </c>
      <c r="N35" s="3" t="s">
        <v>191</v>
      </c>
    </row>
    <row r="36" spans="1:14" x14ac:dyDescent="0.3">
      <c r="A36" s="3" t="s">
        <v>463</v>
      </c>
      <c r="B36" s="3" t="s">
        <v>33</v>
      </c>
      <c r="C36" s="3" t="s">
        <v>26</v>
      </c>
      <c r="D36" s="3" t="s">
        <v>178</v>
      </c>
      <c r="E36" s="3" t="s">
        <v>137</v>
      </c>
      <c r="F36" s="3" t="s">
        <v>147</v>
      </c>
      <c r="G36" s="3" t="s">
        <v>133</v>
      </c>
      <c r="H36" s="3">
        <v>0.90900000000000003</v>
      </c>
      <c r="I36" s="6">
        <v>1.0999999999999999E-2</v>
      </c>
      <c r="J36" s="3" t="s">
        <v>189</v>
      </c>
      <c r="K36" s="3" t="s">
        <v>149</v>
      </c>
      <c r="L36" s="3" t="s">
        <v>135</v>
      </c>
      <c r="M36" s="5">
        <v>1.35</v>
      </c>
      <c r="N36" s="3" t="s">
        <v>191</v>
      </c>
    </row>
    <row r="37" spans="1:14" x14ac:dyDescent="0.3">
      <c r="A37" s="3" t="s">
        <v>464</v>
      </c>
      <c r="B37" s="3" t="s">
        <v>66</v>
      </c>
      <c r="C37" s="3" t="s">
        <v>29</v>
      </c>
      <c r="D37" s="3" t="s">
        <v>123</v>
      </c>
      <c r="E37" s="3" t="s">
        <v>124</v>
      </c>
      <c r="F37" s="3" t="s">
        <v>125</v>
      </c>
      <c r="G37" s="3" t="s">
        <v>126</v>
      </c>
      <c r="H37" s="3">
        <v>0.23899999999999999</v>
      </c>
      <c r="I37" s="6">
        <v>4.3999999999999997E-2</v>
      </c>
      <c r="J37" s="3" t="s">
        <v>189</v>
      </c>
      <c r="K37" s="3" t="s">
        <v>134</v>
      </c>
      <c r="L37" s="3" t="s">
        <v>135</v>
      </c>
      <c r="M37" s="5">
        <v>3.54</v>
      </c>
      <c r="N37" s="3" t="s">
        <v>191</v>
      </c>
    </row>
    <row r="38" spans="1:14" x14ac:dyDescent="0.3">
      <c r="A38" s="3" t="s">
        <v>465</v>
      </c>
      <c r="B38" s="3" t="s">
        <v>66</v>
      </c>
      <c r="C38" s="3" t="s">
        <v>29</v>
      </c>
      <c r="D38" s="3" t="s">
        <v>181</v>
      </c>
      <c r="E38" s="3" t="s">
        <v>124</v>
      </c>
      <c r="F38" s="3" t="s">
        <v>153</v>
      </c>
      <c r="G38" s="3" t="s">
        <v>126</v>
      </c>
      <c r="H38" s="3">
        <v>0.93200000000000005</v>
      </c>
      <c r="I38" s="6">
        <v>1.6E-2</v>
      </c>
      <c r="J38" s="3" t="s">
        <v>189</v>
      </c>
      <c r="K38" s="3" t="s">
        <v>134</v>
      </c>
      <c r="L38" s="3" t="s">
        <v>135</v>
      </c>
      <c r="M38" s="5">
        <v>4.13</v>
      </c>
      <c r="N38" s="3" t="s">
        <v>191</v>
      </c>
    </row>
    <row r="39" spans="1:14" x14ac:dyDescent="0.3">
      <c r="A39" s="3" t="s">
        <v>466</v>
      </c>
      <c r="B39" s="3" t="s">
        <v>66</v>
      </c>
      <c r="C39" s="3" t="s">
        <v>29</v>
      </c>
      <c r="D39" s="3" t="s">
        <v>154</v>
      </c>
      <c r="E39" s="3" t="s">
        <v>131</v>
      </c>
      <c r="F39" s="3" t="s">
        <v>132</v>
      </c>
      <c r="G39" s="3" t="s">
        <v>133</v>
      </c>
      <c r="H39" s="3">
        <v>7.64</v>
      </c>
      <c r="I39" s="6">
        <v>4.4999999999999998E-2</v>
      </c>
      <c r="J39" s="3" t="s">
        <v>189</v>
      </c>
      <c r="K39" s="3" t="s">
        <v>144</v>
      </c>
      <c r="L39" s="3" t="s">
        <v>135</v>
      </c>
      <c r="M39" s="5">
        <v>1.98</v>
      </c>
      <c r="N39" s="3" t="s">
        <v>191</v>
      </c>
    </row>
    <row r="40" spans="1:14" x14ac:dyDescent="0.3">
      <c r="A40" s="3" t="s">
        <v>467</v>
      </c>
      <c r="B40" s="3" t="s">
        <v>66</v>
      </c>
      <c r="C40" s="3" t="s">
        <v>29</v>
      </c>
      <c r="D40" s="3" t="s">
        <v>170</v>
      </c>
      <c r="E40" s="3" t="s">
        <v>131</v>
      </c>
      <c r="F40" s="3" t="s">
        <v>171</v>
      </c>
      <c r="G40" s="3" t="s">
        <v>133</v>
      </c>
      <c r="H40" s="3">
        <v>5.0069999999999997</v>
      </c>
      <c r="I40" s="6">
        <v>8.0000000000000002E-3</v>
      </c>
      <c r="J40" s="3" t="s">
        <v>189</v>
      </c>
      <c r="K40" s="3" t="s">
        <v>134</v>
      </c>
      <c r="L40" s="3" t="s">
        <v>135</v>
      </c>
      <c r="M40" s="5">
        <v>0.5</v>
      </c>
      <c r="N40" s="3" t="s">
        <v>191</v>
      </c>
    </row>
    <row r="41" spans="1:14" x14ac:dyDescent="0.3">
      <c r="A41" s="3" t="s">
        <v>468</v>
      </c>
      <c r="B41" s="3" t="s">
        <v>66</v>
      </c>
      <c r="C41" s="3" t="s">
        <v>29</v>
      </c>
      <c r="D41" s="3" t="s">
        <v>142</v>
      </c>
      <c r="E41" s="3" t="s">
        <v>131</v>
      </c>
      <c r="F41" s="3" t="s">
        <v>143</v>
      </c>
      <c r="G41" s="3" t="s">
        <v>133</v>
      </c>
      <c r="H41" s="3">
        <v>10.012</v>
      </c>
      <c r="I41" s="6">
        <v>2.3E-2</v>
      </c>
      <c r="J41" s="3" t="s">
        <v>189</v>
      </c>
      <c r="K41" s="3" t="s">
        <v>149</v>
      </c>
      <c r="L41" s="3" t="s">
        <v>135</v>
      </c>
      <c r="M41" s="5">
        <v>1.08</v>
      </c>
      <c r="N41" s="3" t="s">
        <v>191</v>
      </c>
    </row>
    <row r="42" spans="1:14" x14ac:dyDescent="0.3">
      <c r="A42" s="3" t="s">
        <v>469</v>
      </c>
      <c r="B42" s="3" t="s">
        <v>66</v>
      </c>
      <c r="C42" s="3" t="s">
        <v>29</v>
      </c>
      <c r="D42" s="3" t="s">
        <v>157</v>
      </c>
      <c r="E42" s="3" t="s">
        <v>131</v>
      </c>
      <c r="F42" s="3" t="s">
        <v>140</v>
      </c>
      <c r="G42" s="3" t="s">
        <v>133</v>
      </c>
      <c r="H42" s="3">
        <v>13.452</v>
      </c>
      <c r="I42" s="6">
        <v>3.2000000000000001E-2</v>
      </c>
      <c r="J42" s="3" t="s">
        <v>189</v>
      </c>
      <c r="K42" s="3" t="s">
        <v>144</v>
      </c>
      <c r="L42" s="3" t="s">
        <v>135</v>
      </c>
      <c r="M42" s="5">
        <v>0.28999999999999998</v>
      </c>
      <c r="N42" s="3" t="s">
        <v>191</v>
      </c>
    </row>
    <row r="43" spans="1:14" x14ac:dyDescent="0.3">
      <c r="A43" s="3" t="s">
        <v>470</v>
      </c>
      <c r="B43" s="3" t="s">
        <v>66</v>
      </c>
      <c r="C43" s="3" t="s">
        <v>29</v>
      </c>
      <c r="D43" s="3" t="s">
        <v>185</v>
      </c>
      <c r="E43" s="3" t="s">
        <v>137</v>
      </c>
      <c r="F43" s="3" t="s">
        <v>165</v>
      </c>
      <c r="G43" s="3" t="s">
        <v>133</v>
      </c>
      <c r="H43" s="3">
        <v>0.66900000000000004</v>
      </c>
      <c r="I43" s="6">
        <v>4.1000000000000002E-2</v>
      </c>
      <c r="J43" s="3" t="s">
        <v>189</v>
      </c>
      <c r="K43" s="3" t="s">
        <v>141</v>
      </c>
      <c r="L43" s="3" t="s">
        <v>135</v>
      </c>
      <c r="M43" s="5">
        <v>2.97</v>
      </c>
      <c r="N43" s="3" t="s">
        <v>191</v>
      </c>
    </row>
    <row r="44" spans="1:14" x14ac:dyDescent="0.3">
      <c r="A44" s="3" t="s">
        <v>471</v>
      </c>
      <c r="B44" s="3" t="s">
        <v>36</v>
      </c>
      <c r="C44" s="3" t="s">
        <v>37</v>
      </c>
      <c r="D44" s="3" t="s">
        <v>182</v>
      </c>
      <c r="E44" s="3" t="s">
        <v>124</v>
      </c>
      <c r="F44" s="3" t="s">
        <v>183</v>
      </c>
      <c r="G44" s="3" t="s">
        <v>162</v>
      </c>
      <c r="H44" s="3">
        <v>1.143</v>
      </c>
      <c r="I44" s="6">
        <v>1.2999999999999999E-2</v>
      </c>
      <c r="J44" s="3" t="s">
        <v>189</v>
      </c>
      <c r="K44" s="3" t="s">
        <v>144</v>
      </c>
      <c r="L44" s="3" t="s">
        <v>135</v>
      </c>
      <c r="M44" s="5">
        <v>6.29</v>
      </c>
      <c r="N44" s="3" t="s">
        <v>191</v>
      </c>
    </row>
    <row r="45" spans="1:14" x14ac:dyDescent="0.3">
      <c r="A45" s="3" t="s">
        <v>472</v>
      </c>
      <c r="B45" s="3" t="s">
        <v>36</v>
      </c>
      <c r="C45" s="3" t="s">
        <v>37</v>
      </c>
      <c r="D45" s="3" t="s">
        <v>158</v>
      </c>
      <c r="E45" s="3" t="s">
        <v>124</v>
      </c>
      <c r="F45" s="3" t="s">
        <v>125</v>
      </c>
      <c r="G45" s="3" t="s">
        <v>126</v>
      </c>
      <c r="H45" s="3">
        <v>0.54200000000000004</v>
      </c>
      <c r="I45" s="6">
        <v>3.4000000000000002E-2</v>
      </c>
      <c r="J45" s="3" t="s">
        <v>189</v>
      </c>
      <c r="K45" s="3" t="s">
        <v>141</v>
      </c>
      <c r="L45" s="3" t="s">
        <v>135</v>
      </c>
      <c r="M45" s="5">
        <v>2.38</v>
      </c>
      <c r="N45" s="3" t="s">
        <v>191</v>
      </c>
    </row>
    <row r="46" spans="1:14" x14ac:dyDescent="0.3">
      <c r="A46" s="3" t="s">
        <v>473</v>
      </c>
      <c r="B46" s="3" t="s">
        <v>36</v>
      </c>
      <c r="C46" s="3" t="s">
        <v>37</v>
      </c>
      <c r="D46" s="3" t="s">
        <v>130</v>
      </c>
      <c r="E46" s="3" t="s">
        <v>131</v>
      </c>
      <c r="F46" s="3" t="s">
        <v>132</v>
      </c>
      <c r="G46" s="3" t="s">
        <v>133</v>
      </c>
      <c r="H46" s="3">
        <v>8.2840000000000007</v>
      </c>
      <c r="I46" s="6">
        <v>4.4999999999999998E-2</v>
      </c>
      <c r="J46" s="3" t="s">
        <v>189</v>
      </c>
      <c r="K46" s="3" t="s">
        <v>141</v>
      </c>
      <c r="L46" s="3" t="s">
        <v>135</v>
      </c>
      <c r="M46" s="5">
        <v>0.22</v>
      </c>
      <c r="N46" s="3" t="s">
        <v>191</v>
      </c>
    </row>
    <row r="47" spans="1:14" x14ac:dyDescent="0.3">
      <c r="A47" s="3" t="s">
        <v>474</v>
      </c>
      <c r="B47" s="3" t="s">
        <v>36</v>
      </c>
      <c r="C47" s="3" t="s">
        <v>37</v>
      </c>
      <c r="D47" s="3" t="s">
        <v>160</v>
      </c>
      <c r="E47" s="3" t="s">
        <v>131</v>
      </c>
      <c r="F47" s="3" t="s">
        <v>161</v>
      </c>
      <c r="G47" s="3" t="s">
        <v>162</v>
      </c>
      <c r="H47" s="3">
        <v>12.897</v>
      </c>
      <c r="I47" s="6">
        <v>6.8000000000000005E-2</v>
      </c>
      <c r="J47" s="3" t="s">
        <v>189</v>
      </c>
      <c r="K47" s="3" t="s">
        <v>134</v>
      </c>
      <c r="L47" s="3" t="s">
        <v>135</v>
      </c>
      <c r="M47" s="5">
        <v>1.58</v>
      </c>
      <c r="N47" s="3" t="s">
        <v>191</v>
      </c>
    </row>
    <row r="48" spans="1:14" x14ac:dyDescent="0.3">
      <c r="A48" s="3" t="s">
        <v>475</v>
      </c>
      <c r="B48" s="3" t="s">
        <v>36</v>
      </c>
      <c r="C48" s="3" t="s">
        <v>37</v>
      </c>
      <c r="D48" s="3" t="s">
        <v>170</v>
      </c>
      <c r="E48" s="3" t="s">
        <v>131</v>
      </c>
      <c r="F48" s="3" t="s">
        <v>171</v>
      </c>
      <c r="G48" s="3" t="s">
        <v>133</v>
      </c>
      <c r="H48" s="3">
        <v>3.3279999999999998</v>
      </c>
      <c r="I48" s="6">
        <v>2.8000000000000001E-2</v>
      </c>
      <c r="J48" s="3" t="s">
        <v>189</v>
      </c>
      <c r="K48" s="3" t="s">
        <v>134</v>
      </c>
      <c r="L48" s="3" t="s">
        <v>135</v>
      </c>
      <c r="M48" s="5">
        <v>0.5</v>
      </c>
      <c r="N48" s="3" t="s">
        <v>191</v>
      </c>
    </row>
    <row r="49" spans="1:14" x14ac:dyDescent="0.3">
      <c r="A49" s="3" t="s">
        <v>476</v>
      </c>
      <c r="B49" s="3" t="s">
        <v>36</v>
      </c>
      <c r="C49" s="3" t="s">
        <v>37</v>
      </c>
      <c r="D49" s="3" t="s">
        <v>157</v>
      </c>
      <c r="E49" s="3" t="s">
        <v>131</v>
      </c>
      <c r="F49" s="3" t="s">
        <v>140</v>
      </c>
      <c r="G49" s="3" t="s">
        <v>133</v>
      </c>
      <c r="H49" s="3">
        <v>12.098000000000001</v>
      </c>
      <c r="I49" s="6">
        <v>7.9000000000000001E-2</v>
      </c>
      <c r="J49" s="3" t="s">
        <v>189</v>
      </c>
      <c r="K49" s="3" t="s">
        <v>144</v>
      </c>
      <c r="L49" s="3" t="s">
        <v>135</v>
      </c>
      <c r="M49" s="5">
        <v>0.28999999999999998</v>
      </c>
      <c r="N49" s="3" t="s">
        <v>191</v>
      </c>
    </row>
    <row r="50" spans="1:14" x14ac:dyDescent="0.3">
      <c r="A50" s="3" t="s">
        <v>477</v>
      </c>
      <c r="B50" s="3" t="s">
        <v>36</v>
      </c>
      <c r="C50" s="3" t="s">
        <v>37</v>
      </c>
      <c r="D50" s="3" t="s">
        <v>146</v>
      </c>
      <c r="E50" s="3" t="s">
        <v>137</v>
      </c>
      <c r="F50" s="3" t="s">
        <v>147</v>
      </c>
      <c r="G50" s="3" t="s">
        <v>133</v>
      </c>
      <c r="H50" s="3">
        <v>0.38100000000000001</v>
      </c>
      <c r="I50" s="6">
        <v>0.05</v>
      </c>
      <c r="J50" s="3" t="s">
        <v>189</v>
      </c>
      <c r="K50" s="3" t="s">
        <v>141</v>
      </c>
      <c r="L50" s="3" t="s">
        <v>135</v>
      </c>
      <c r="M50" s="5">
        <v>2.58</v>
      </c>
      <c r="N50" s="3" t="s">
        <v>191</v>
      </c>
    </row>
    <row r="51" spans="1:14" x14ac:dyDescent="0.3">
      <c r="A51" s="3" t="s">
        <v>478</v>
      </c>
      <c r="B51" s="3" t="s">
        <v>21</v>
      </c>
      <c r="C51" s="3" t="s">
        <v>13</v>
      </c>
      <c r="D51" s="3" t="s">
        <v>167</v>
      </c>
      <c r="E51" s="3" t="s">
        <v>124</v>
      </c>
      <c r="F51" s="3" t="s">
        <v>168</v>
      </c>
      <c r="G51" s="3" t="s">
        <v>126</v>
      </c>
      <c r="H51" s="3">
        <v>0.34699999999999998</v>
      </c>
      <c r="I51" s="6">
        <v>3.5999999999999997E-2</v>
      </c>
      <c r="J51" s="3" t="s">
        <v>189</v>
      </c>
      <c r="K51" s="3" t="s">
        <v>127</v>
      </c>
      <c r="L51" s="3" t="s">
        <v>128</v>
      </c>
      <c r="M51" s="5">
        <v>1.22</v>
      </c>
      <c r="N51" s="3" t="s">
        <v>14</v>
      </c>
    </row>
    <row r="52" spans="1:14" x14ac:dyDescent="0.3">
      <c r="A52" s="3" t="s">
        <v>479</v>
      </c>
      <c r="B52" s="3" t="s">
        <v>21</v>
      </c>
      <c r="C52" s="3" t="s">
        <v>13</v>
      </c>
      <c r="D52" s="3" t="s">
        <v>182</v>
      </c>
      <c r="E52" s="3" t="s">
        <v>124</v>
      </c>
      <c r="F52" s="3" t="s">
        <v>183</v>
      </c>
      <c r="G52" s="3" t="s">
        <v>162</v>
      </c>
      <c r="H52" s="3">
        <v>0.223</v>
      </c>
      <c r="I52" s="6">
        <v>5.5E-2</v>
      </c>
      <c r="J52" s="3" t="s">
        <v>189</v>
      </c>
      <c r="K52" s="3" t="s">
        <v>144</v>
      </c>
      <c r="L52" s="3" t="s">
        <v>135</v>
      </c>
      <c r="M52" s="5">
        <v>6.29</v>
      </c>
      <c r="N52" s="3" t="s">
        <v>191</v>
      </c>
    </row>
    <row r="53" spans="1:14" x14ac:dyDescent="0.3">
      <c r="A53" s="3" t="s">
        <v>480</v>
      </c>
      <c r="B53" s="3" t="s">
        <v>21</v>
      </c>
      <c r="C53" s="3" t="s">
        <v>13</v>
      </c>
      <c r="D53" s="3" t="s">
        <v>160</v>
      </c>
      <c r="E53" s="3" t="s">
        <v>131</v>
      </c>
      <c r="F53" s="3" t="s">
        <v>161</v>
      </c>
      <c r="G53" s="3" t="s">
        <v>162</v>
      </c>
      <c r="H53" s="3">
        <v>6.4089999999999998</v>
      </c>
      <c r="I53" s="6">
        <v>2.8000000000000001E-2</v>
      </c>
      <c r="J53" s="3" t="s">
        <v>189</v>
      </c>
      <c r="K53" s="3" t="s">
        <v>134</v>
      </c>
      <c r="L53" s="3" t="s">
        <v>135</v>
      </c>
      <c r="M53" s="5">
        <v>1.58</v>
      </c>
      <c r="N53" s="3" t="s">
        <v>191</v>
      </c>
    </row>
    <row r="54" spans="1:14" x14ac:dyDescent="0.3">
      <c r="A54" s="3" t="s">
        <v>481</v>
      </c>
      <c r="B54" s="3" t="s">
        <v>21</v>
      </c>
      <c r="C54" s="3" t="s">
        <v>13</v>
      </c>
      <c r="D54" s="3" t="s">
        <v>130</v>
      </c>
      <c r="E54" s="3" t="s">
        <v>131</v>
      </c>
      <c r="F54" s="3" t="s">
        <v>132</v>
      </c>
      <c r="G54" s="3" t="s">
        <v>133</v>
      </c>
      <c r="H54" s="3">
        <v>11.781000000000001</v>
      </c>
      <c r="I54" s="6">
        <v>3.5999999999999997E-2</v>
      </c>
      <c r="J54" s="3" t="s">
        <v>189</v>
      </c>
      <c r="K54" s="3" t="s">
        <v>141</v>
      </c>
      <c r="L54" s="3" t="s">
        <v>135</v>
      </c>
      <c r="M54" s="5">
        <v>0.22</v>
      </c>
      <c r="N54" s="3" t="s">
        <v>191</v>
      </c>
    </row>
    <row r="55" spans="1:14" x14ac:dyDescent="0.3">
      <c r="A55" s="3" t="s">
        <v>482</v>
      </c>
      <c r="B55" s="3" t="s">
        <v>21</v>
      </c>
      <c r="C55" s="3" t="s">
        <v>13</v>
      </c>
      <c r="D55" s="3" t="s">
        <v>179</v>
      </c>
      <c r="E55" s="3" t="s">
        <v>131</v>
      </c>
      <c r="F55" s="3" t="s">
        <v>161</v>
      </c>
      <c r="G55" s="3" t="s">
        <v>162</v>
      </c>
      <c r="H55" s="3">
        <v>3.1949999999999998</v>
      </c>
      <c r="I55" s="6">
        <v>5.8000000000000003E-2</v>
      </c>
      <c r="J55" s="3" t="s">
        <v>189</v>
      </c>
      <c r="K55" s="3" t="s">
        <v>141</v>
      </c>
      <c r="L55" s="3" t="s">
        <v>135</v>
      </c>
      <c r="M55" s="5">
        <v>2.39</v>
      </c>
      <c r="N55" s="3" t="s">
        <v>191</v>
      </c>
    </row>
    <row r="56" spans="1:14" x14ac:dyDescent="0.3">
      <c r="A56" s="3" t="s">
        <v>483</v>
      </c>
      <c r="B56" s="3" t="s">
        <v>21</v>
      </c>
      <c r="C56" s="3" t="s">
        <v>13</v>
      </c>
      <c r="D56" s="3" t="s">
        <v>139</v>
      </c>
      <c r="E56" s="3" t="s">
        <v>131</v>
      </c>
      <c r="F56" s="3" t="s">
        <v>140</v>
      </c>
      <c r="G56" s="3" t="s">
        <v>133</v>
      </c>
      <c r="H56" s="3">
        <v>14.856999999999999</v>
      </c>
      <c r="I56" s="6">
        <v>2.1000000000000001E-2</v>
      </c>
      <c r="J56" s="3" t="s">
        <v>189</v>
      </c>
      <c r="K56" s="3" t="s">
        <v>134</v>
      </c>
      <c r="L56" s="3" t="s">
        <v>135</v>
      </c>
      <c r="M56" s="5">
        <v>1.38</v>
      </c>
      <c r="N56" s="3" t="s">
        <v>191</v>
      </c>
    </row>
    <row r="57" spans="1:14" x14ac:dyDescent="0.3">
      <c r="A57" s="3" t="s">
        <v>484</v>
      </c>
      <c r="B57" s="3" t="s">
        <v>21</v>
      </c>
      <c r="C57" s="3" t="s">
        <v>13</v>
      </c>
      <c r="D57" s="3" t="s">
        <v>163</v>
      </c>
      <c r="E57" s="3" t="s">
        <v>137</v>
      </c>
      <c r="F57" s="3" t="s">
        <v>138</v>
      </c>
      <c r="G57" s="3" t="s">
        <v>133</v>
      </c>
      <c r="H57" s="3">
        <v>0.61399999999999999</v>
      </c>
      <c r="I57" s="6">
        <v>0.02</v>
      </c>
      <c r="J57" s="3" t="s">
        <v>189</v>
      </c>
      <c r="K57" s="3" t="s">
        <v>141</v>
      </c>
      <c r="L57" s="3" t="s">
        <v>135</v>
      </c>
      <c r="M57" s="5">
        <v>0.66</v>
      </c>
      <c r="N57" s="3" t="s">
        <v>191</v>
      </c>
    </row>
    <row r="58" spans="1:14" x14ac:dyDescent="0.3">
      <c r="A58" s="3" t="s">
        <v>485</v>
      </c>
      <c r="B58" s="3" t="s">
        <v>17</v>
      </c>
      <c r="C58" s="3" t="s">
        <v>18</v>
      </c>
      <c r="D58" s="3" t="s">
        <v>123</v>
      </c>
      <c r="E58" s="3" t="s">
        <v>124</v>
      </c>
      <c r="F58" s="3" t="s">
        <v>125</v>
      </c>
      <c r="G58" s="3" t="s">
        <v>126</v>
      </c>
      <c r="H58" s="3">
        <v>0.96399999999999997</v>
      </c>
      <c r="I58" s="6">
        <v>6.4000000000000001E-2</v>
      </c>
      <c r="J58" s="3" t="s">
        <v>189</v>
      </c>
      <c r="K58" s="3" t="s">
        <v>134</v>
      </c>
      <c r="L58" s="3" t="s">
        <v>135</v>
      </c>
      <c r="M58" s="5">
        <v>3.54</v>
      </c>
      <c r="N58" s="3" t="s">
        <v>191</v>
      </c>
    </row>
    <row r="59" spans="1:14" x14ac:dyDescent="0.3">
      <c r="A59" s="3" t="s">
        <v>486</v>
      </c>
      <c r="B59" s="3" t="s">
        <v>17</v>
      </c>
      <c r="C59" s="3" t="s">
        <v>18</v>
      </c>
      <c r="D59" s="3" t="s">
        <v>158</v>
      </c>
      <c r="E59" s="3" t="s">
        <v>124</v>
      </c>
      <c r="F59" s="3" t="s">
        <v>125</v>
      </c>
      <c r="G59" s="3" t="s">
        <v>126</v>
      </c>
      <c r="H59" s="3">
        <v>1.1910000000000001</v>
      </c>
      <c r="I59" s="6">
        <v>0.03</v>
      </c>
      <c r="J59" s="3" t="s">
        <v>189</v>
      </c>
      <c r="K59" s="3" t="s">
        <v>141</v>
      </c>
      <c r="L59" s="3" t="s">
        <v>135</v>
      </c>
      <c r="M59" s="5">
        <v>2.38</v>
      </c>
      <c r="N59" s="3" t="s">
        <v>191</v>
      </c>
    </row>
    <row r="60" spans="1:14" x14ac:dyDescent="0.3">
      <c r="A60" s="3" t="s">
        <v>487</v>
      </c>
      <c r="B60" s="3" t="s">
        <v>17</v>
      </c>
      <c r="C60" s="3" t="s">
        <v>18</v>
      </c>
      <c r="D60" s="3" t="s">
        <v>176</v>
      </c>
      <c r="E60" s="3" t="s">
        <v>131</v>
      </c>
      <c r="F60" s="3" t="s">
        <v>173</v>
      </c>
      <c r="G60" s="3" t="s">
        <v>174</v>
      </c>
      <c r="H60" s="3">
        <v>13.177</v>
      </c>
      <c r="I60" s="6">
        <v>1.2999999999999999E-2</v>
      </c>
      <c r="J60" s="3" t="s">
        <v>189</v>
      </c>
      <c r="K60" s="3" t="s">
        <v>141</v>
      </c>
      <c r="L60" s="3" t="s">
        <v>135</v>
      </c>
      <c r="M60" s="5">
        <v>0.36</v>
      </c>
      <c r="N60" s="3" t="s">
        <v>191</v>
      </c>
    </row>
    <row r="61" spans="1:14" x14ac:dyDescent="0.3">
      <c r="A61" s="3" t="s">
        <v>488</v>
      </c>
      <c r="B61" s="3" t="s">
        <v>17</v>
      </c>
      <c r="C61" s="3" t="s">
        <v>18</v>
      </c>
      <c r="D61" s="3" t="s">
        <v>170</v>
      </c>
      <c r="E61" s="3" t="s">
        <v>131</v>
      </c>
      <c r="F61" s="3" t="s">
        <v>171</v>
      </c>
      <c r="G61" s="3" t="s">
        <v>133</v>
      </c>
      <c r="H61" s="3">
        <v>1.1839999999999999</v>
      </c>
      <c r="I61" s="6">
        <v>6.0000000000000001E-3</v>
      </c>
      <c r="J61" s="3" t="s">
        <v>189</v>
      </c>
      <c r="K61" s="3" t="s">
        <v>134</v>
      </c>
      <c r="L61" s="3" t="s">
        <v>135</v>
      </c>
      <c r="M61" s="5">
        <v>0.5</v>
      </c>
      <c r="N61" s="3" t="s">
        <v>191</v>
      </c>
    </row>
    <row r="62" spans="1:14" x14ac:dyDescent="0.3">
      <c r="A62" s="3" t="s">
        <v>489</v>
      </c>
      <c r="B62" s="3" t="s">
        <v>17</v>
      </c>
      <c r="C62" s="3" t="s">
        <v>18</v>
      </c>
      <c r="D62" s="3" t="s">
        <v>184</v>
      </c>
      <c r="E62" s="3" t="s">
        <v>131</v>
      </c>
      <c r="F62" s="3" t="s">
        <v>173</v>
      </c>
      <c r="G62" s="3" t="s">
        <v>174</v>
      </c>
      <c r="H62" s="3">
        <v>7.6689999999999996</v>
      </c>
      <c r="I62" s="6">
        <v>3.0000000000000001E-3</v>
      </c>
      <c r="J62" s="3" t="s">
        <v>189</v>
      </c>
      <c r="K62" s="3" t="s">
        <v>134</v>
      </c>
      <c r="L62" s="3" t="s">
        <v>135</v>
      </c>
      <c r="M62" s="5">
        <v>1.3</v>
      </c>
      <c r="N62" s="3" t="s">
        <v>191</v>
      </c>
    </row>
    <row r="63" spans="1:14" x14ac:dyDescent="0.3">
      <c r="A63" s="3" t="s">
        <v>490</v>
      </c>
      <c r="B63" s="3" t="s">
        <v>17</v>
      </c>
      <c r="C63" s="3" t="s">
        <v>18</v>
      </c>
      <c r="D63" s="3" t="s">
        <v>151</v>
      </c>
      <c r="E63" s="3" t="s">
        <v>131</v>
      </c>
      <c r="F63" s="3" t="s">
        <v>140</v>
      </c>
      <c r="G63" s="3" t="s">
        <v>133</v>
      </c>
      <c r="H63" s="3">
        <v>9.3770000000000007</v>
      </c>
      <c r="I63" s="6">
        <v>6.0000000000000001E-3</v>
      </c>
      <c r="J63" s="3" t="s">
        <v>189</v>
      </c>
      <c r="K63" s="3" t="s">
        <v>141</v>
      </c>
      <c r="L63" s="3" t="s">
        <v>135</v>
      </c>
      <c r="M63" s="5">
        <v>0.46</v>
      </c>
      <c r="N63" s="3" t="s">
        <v>191</v>
      </c>
    </row>
    <row r="64" spans="1:14" x14ac:dyDescent="0.3">
      <c r="A64" s="3" t="s">
        <v>491</v>
      </c>
      <c r="B64" s="3" t="s">
        <v>17</v>
      </c>
      <c r="C64" s="3" t="s">
        <v>18</v>
      </c>
      <c r="D64" s="3" t="s">
        <v>150</v>
      </c>
      <c r="E64" s="3" t="s">
        <v>137</v>
      </c>
      <c r="F64" s="3" t="s">
        <v>138</v>
      </c>
      <c r="G64" s="3" t="s">
        <v>133</v>
      </c>
      <c r="H64" s="3">
        <v>0.39800000000000002</v>
      </c>
      <c r="I64" s="6">
        <v>1.4999999999999999E-2</v>
      </c>
      <c r="J64" s="3" t="s">
        <v>189</v>
      </c>
      <c r="K64" s="3" t="s">
        <v>134</v>
      </c>
      <c r="L64" s="3" t="s">
        <v>135</v>
      </c>
      <c r="M64" s="5">
        <v>7.0000000000000007E-2</v>
      </c>
      <c r="N64" s="3" t="s">
        <v>191</v>
      </c>
    </row>
    <row r="65" spans="1:14" x14ac:dyDescent="0.3">
      <c r="A65" s="3" t="s">
        <v>492</v>
      </c>
      <c r="B65" s="3" t="s">
        <v>25</v>
      </c>
      <c r="C65" s="3" t="s">
        <v>26</v>
      </c>
      <c r="D65" s="3" t="s">
        <v>181</v>
      </c>
      <c r="E65" s="3" t="s">
        <v>124</v>
      </c>
      <c r="F65" s="3" t="s">
        <v>153</v>
      </c>
      <c r="G65" s="3" t="s">
        <v>126</v>
      </c>
      <c r="H65" s="3">
        <v>1.095</v>
      </c>
      <c r="I65" s="6">
        <v>1.9E-2</v>
      </c>
      <c r="J65" s="3" t="s">
        <v>189</v>
      </c>
      <c r="K65" s="3" t="s">
        <v>134</v>
      </c>
      <c r="L65" s="3" t="s">
        <v>135</v>
      </c>
      <c r="M65" s="5">
        <v>4.13</v>
      </c>
      <c r="N65" s="3" t="s">
        <v>191</v>
      </c>
    </row>
    <row r="66" spans="1:14" x14ac:dyDescent="0.3">
      <c r="A66" s="3" t="s">
        <v>493</v>
      </c>
      <c r="B66" s="3" t="s">
        <v>25</v>
      </c>
      <c r="C66" s="3" t="s">
        <v>26</v>
      </c>
      <c r="D66" s="3" t="s">
        <v>152</v>
      </c>
      <c r="E66" s="3" t="s">
        <v>124</v>
      </c>
      <c r="F66" s="3" t="s">
        <v>153</v>
      </c>
      <c r="G66" s="3" t="s">
        <v>126</v>
      </c>
      <c r="H66" s="3">
        <v>0.73699999999999999</v>
      </c>
      <c r="I66" s="6">
        <v>1.2999999999999999E-2</v>
      </c>
      <c r="J66" s="3" t="s">
        <v>189</v>
      </c>
      <c r="K66" s="3" t="s">
        <v>134</v>
      </c>
      <c r="L66" s="3" t="s">
        <v>135</v>
      </c>
      <c r="M66" s="5">
        <v>4.62</v>
      </c>
      <c r="N66" s="3" t="s">
        <v>191</v>
      </c>
    </row>
    <row r="67" spans="1:14" x14ac:dyDescent="0.3">
      <c r="A67" s="3" t="s">
        <v>494</v>
      </c>
      <c r="B67" s="3" t="s">
        <v>25</v>
      </c>
      <c r="C67" s="3" t="s">
        <v>26</v>
      </c>
      <c r="D67" s="3" t="s">
        <v>130</v>
      </c>
      <c r="E67" s="3" t="s">
        <v>131</v>
      </c>
      <c r="F67" s="3" t="s">
        <v>132</v>
      </c>
      <c r="G67" s="3" t="s">
        <v>133</v>
      </c>
      <c r="H67" s="3">
        <v>5.2729999999999997</v>
      </c>
      <c r="I67" s="6">
        <v>2.4E-2</v>
      </c>
      <c r="J67" s="3" t="s">
        <v>189</v>
      </c>
      <c r="K67" s="3" t="s">
        <v>141</v>
      </c>
      <c r="L67" s="3" t="s">
        <v>135</v>
      </c>
      <c r="M67" s="5">
        <v>0.22</v>
      </c>
      <c r="N67" s="3" t="s">
        <v>191</v>
      </c>
    </row>
    <row r="68" spans="1:14" x14ac:dyDescent="0.3">
      <c r="A68" s="3" t="s">
        <v>495</v>
      </c>
      <c r="B68" s="3" t="s">
        <v>25</v>
      </c>
      <c r="C68" s="3" t="s">
        <v>26</v>
      </c>
      <c r="D68" s="3" t="s">
        <v>142</v>
      </c>
      <c r="E68" s="3" t="s">
        <v>131</v>
      </c>
      <c r="F68" s="3" t="s">
        <v>143</v>
      </c>
      <c r="G68" s="3" t="s">
        <v>133</v>
      </c>
      <c r="H68" s="3">
        <v>3.073</v>
      </c>
      <c r="I68" s="6">
        <v>5.2999999999999999E-2</v>
      </c>
      <c r="J68" s="3" t="s">
        <v>189</v>
      </c>
      <c r="K68" s="3" t="s">
        <v>149</v>
      </c>
      <c r="L68" s="3" t="s">
        <v>135</v>
      </c>
      <c r="M68" s="5">
        <v>1.08</v>
      </c>
      <c r="N68" s="3" t="s">
        <v>191</v>
      </c>
    </row>
    <row r="69" spans="1:14" x14ac:dyDescent="0.3">
      <c r="A69" s="3" t="s">
        <v>496</v>
      </c>
      <c r="B69" s="3" t="s">
        <v>25</v>
      </c>
      <c r="C69" s="3" t="s">
        <v>26</v>
      </c>
      <c r="D69" s="3" t="s">
        <v>177</v>
      </c>
      <c r="E69" s="3" t="s">
        <v>131</v>
      </c>
      <c r="F69" s="3" t="s">
        <v>161</v>
      </c>
      <c r="G69" s="3" t="s">
        <v>162</v>
      </c>
      <c r="H69" s="3">
        <v>6.0970000000000004</v>
      </c>
      <c r="I69" s="6">
        <v>4.8000000000000001E-2</v>
      </c>
      <c r="J69" s="3" t="s">
        <v>189</v>
      </c>
      <c r="K69" s="3" t="s">
        <v>141</v>
      </c>
      <c r="L69" s="3" t="s">
        <v>135</v>
      </c>
      <c r="M69" s="5">
        <v>1.1100000000000001</v>
      </c>
      <c r="N69" s="3" t="s">
        <v>191</v>
      </c>
    </row>
    <row r="70" spans="1:14" x14ac:dyDescent="0.3">
      <c r="A70" s="3" t="s">
        <v>497</v>
      </c>
      <c r="B70" s="3" t="s">
        <v>25</v>
      </c>
      <c r="C70" s="3" t="s">
        <v>26</v>
      </c>
      <c r="D70" s="3" t="s">
        <v>184</v>
      </c>
      <c r="E70" s="3" t="s">
        <v>131</v>
      </c>
      <c r="F70" s="3" t="s">
        <v>173</v>
      </c>
      <c r="G70" s="3" t="s">
        <v>174</v>
      </c>
      <c r="H70" s="3">
        <v>6.1260000000000003</v>
      </c>
      <c r="I70" s="6">
        <v>7.8E-2</v>
      </c>
      <c r="J70" s="3" t="s">
        <v>189</v>
      </c>
      <c r="K70" s="3" t="s">
        <v>134</v>
      </c>
      <c r="L70" s="3" t="s">
        <v>135</v>
      </c>
      <c r="M70" s="5">
        <v>1.3</v>
      </c>
      <c r="N70" s="3" t="s">
        <v>191</v>
      </c>
    </row>
    <row r="71" spans="1:14" x14ac:dyDescent="0.3">
      <c r="A71" s="3" t="s">
        <v>498</v>
      </c>
      <c r="B71" s="3" t="s">
        <v>25</v>
      </c>
      <c r="C71" s="3" t="s">
        <v>26</v>
      </c>
      <c r="D71" s="3" t="s">
        <v>136</v>
      </c>
      <c r="E71" s="3" t="s">
        <v>137</v>
      </c>
      <c r="F71" s="3" t="s">
        <v>138</v>
      </c>
      <c r="G71" s="3" t="s">
        <v>133</v>
      </c>
      <c r="H71" s="3">
        <v>0.96599999999999997</v>
      </c>
      <c r="I71" s="6">
        <v>5.0999999999999997E-2</v>
      </c>
      <c r="J71" s="3" t="s">
        <v>189</v>
      </c>
      <c r="K71" s="3" t="s">
        <v>144</v>
      </c>
      <c r="L71" s="3" t="s">
        <v>135</v>
      </c>
      <c r="M71" s="5">
        <v>3.83</v>
      </c>
      <c r="N71" s="3" t="s">
        <v>191</v>
      </c>
    </row>
  </sheetData>
  <autoFilter ref="A1:N71" xr:uid="{00000000-0009-0000-0000-00000B000000}"/>
  <pageMargins left="0.75" right="0.75" top="1" bottom="1" header="0.5" footer="0.5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  <pageSetUpPr fitToPage="1"/>
  </sheetPr>
  <dimension ref="A1:N8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4" width="16" customWidth="1"/>
  </cols>
  <sheetData>
    <row r="1" spans="1:14" x14ac:dyDescent="0.3">
      <c r="A1" s="7" t="s">
        <v>499</v>
      </c>
      <c r="B1" s="7" t="s">
        <v>1</v>
      </c>
      <c r="C1" s="7" t="s">
        <v>4</v>
      </c>
      <c r="D1" s="7" t="s">
        <v>6</v>
      </c>
      <c r="E1" s="7" t="s">
        <v>500</v>
      </c>
      <c r="F1" s="7" t="s">
        <v>501</v>
      </c>
      <c r="G1" s="7" t="s">
        <v>502</v>
      </c>
      <c r="H1" s="7" t="s">
        <v>503</v>
      </c>
      <c r="I1" s="7" t="s">
        <v>504</v>
      </c>
      <c r="J1" s="7" t="s">
        <v>505</v>
      </c>
      <c r="K1" s="7" t="s">
        <v>506</v>
      </c>
      <c r="L1" s="7" t="s">
        <v>507</v>
      </c>
      <c r="M1" s="7" t="s">
        <v>508</v>
      </c>
      <c r="N1" s="7" t="s">
        <v>509</v>
      </c>
    </row>
    <row r="2" spans="1:14" x14ac:dyDescent="0.3">
      <c r="A2" s="3" t="s">
        <v>510</v>
      </c>
      <c r="B2" s="3" t="str">
        <f>Order_Sheet!A2</f>
        <v>SO-2026-0001</v>
      </c>
      <c r="C2" s="3" t="str">
        <f>Order_Sheet!D2</f>
        <v>ST-103</v>
      </c>
      <c r="D2" s="3">
        <f>Order_Sheet!F2</f>
        <v>5263</v>
      </c>
      <c r="E2" s="5">
        <f>D2*SUMPRODUCT((BOM!$B$2:$B$71=C2)*(BOM!$E$2:$E$71="Fabric")*(BOM!$N$2:$N$71="BDT")*BOM!$H$2:$H$71*(1+BOM!$I$2:$I$71)*BOM!$M$2:$M$71)</f>
        <v>21179.688590280002</v>
      </c>
      <c r="F2" s="5">
        <f>D2*SUMPRODUCT((BOM!$B$2:$B$71=C2)*(BOM!$E$2:$E$71="Fabric")*(BOM!$N$2:$N$71="USD")*BOM!$H$2:$H$71*(1+BOM!$I$2:$I$71)*BOM!$M$2:$M$71)</f>
        <v>0</v>
      </c>
      <c r="G2" s="5">
        <f>D2*SUMPRODUCT((BOM!$B$2:$B$71=C2)*(BOM!$E$2:$E$71="Accessory")*(BOM!$N$2:$N$71="BDT")*BOM!$H$2:$H$71*(1+BOM!$I$2:$I$71)*BOM!$M$2:$M$71)</f>
        <v>148206.88055492999</v>
      </c>
      <c r="H2" s="5">
        <f>D2*SUMPRODUCT((BOM!$B$2:$B$71=C2)*(BOM!$E$2:$E$71="Accessory")*(BOM!$N$2:$N$71="USD")*BOM!$H$2:$H$71*(1+BOM!$I$2:$I$71)*BOM!$M$2:$M$71)</f>
        <v>0</v>
      </c>
      <c r="I2" s="5">
        <f>D2*SUMPRODUCT((BOM!$B$2:$B$71=C2)*(BOM!$E$2:$E$71="Packing")*(BOM!$N$2:$N$71="BDT")*BOM!$H$2:$H$71*(1+BOM!$I$2:$I$71)*BOM!$M$2:$M$71)</f>
        <v>5416.820016839999</v>
      </c>
      <c r="J2" s="5">
        <f>D2*SUMPRODUCT((BOM!$B$2:$B$71=C2)*(BOM!$E$2:$E$71="Packing")*(BOM!$N$2:$N$71="USD")*BOM!$H$2:$H$71*(1+BOM!$I$2:$I$71)*BOM!$M$2:$M$71)</f>
        <v>0</v>
      </c>
      <c r="K2" s="5">
        <f t="shared" ref="K2:K33" si="0">SUM(E2,G2,I2)</f>
        <v>174803.38916205001</v>
      </c>
      <c r="L2" s="5">
        <f t="shared" ref="L2:L33" si="1">SUM(F2,H2,J2)</f>
        <v>0</v>
      </c>
      <c r="M2" s="5">
        <f t="shared" ref="M2:M33" si="2">IFERROR(K2/D2,0)</f>
        <v>33.213640349999999</v>
      </c>
      <c r="N2" s="5">
        <f t="shared" ref="N2:N33" si="3">IFERROR(L2/D2,0)</f>
        <v>0</v>
      </c>
    </row>
    <row r="3" spans="1:14" x14ac:dyDescent="0.3">
      <c r="A3" s="3" t="s">
        <v>511</v>
      </c>
      <c r="B3" s="3" t="str">
        <f>Order_Sheet!A3</f>
        <v>SO-2026-0002</v>
      </c>
      <c r="C3" s="3" t="str">
        <f>Order_Sheet!D3</f>
        <v>ST-109</v>
      </c>
      <c r="D3" s="3">
        <f>Order_Sheet!F3</f>
        <v>9914</v>
      </c>
      <c r="E3" s="5">
        <f>D3*SUMPRODUCT((BOM!$B$2:$B$71=C3)*(BOM!$E$2:$E$71="Fabric")*(BOM!$N$2:$N$71="BDT")*BOM!$H$2:$H$71*(1+BOM!$I$2:$I$71)*BOM!$M$2:$M$71)</f>
        <v>64942.462413359994</v>
      </c>
      <c r="F3" s="5">
        <f>D3*SUMPRODUCT((BOM!$B$2:$B$71=C3)*(BOM!$E$2:$E$71="Fabric")*(BOM!$N$2:$N$71="USD")*BOM!$H$2:$H$71*(1+BOM!$I$2:$I$71)*BOM!$M$2:$M$71)</f>
        <v>0</v>
      </c>
      <c r="G3" s="5">
        <f>D3*SUMPRODUCT((BOM!$B$2:$B$71=C3)*(BOM!$E$2:$E$71="Accessory")*(BOM!$N$2:$N$71="BDT")*BOM!$H$2:$H$71*(1+BOM!$I$2:$I$71)*BOM!$M$2:$M$71)</f>
        <v>195700.87270171999</v>
      </c>
      <c r="H3" s="5">
        <f>D3*SUMPRODUCT((BOM!$B$2:$B$71=C3)*(BOM!$E$2:$E$71="Accessory")*(BOM!$N$2:$N$71="USD")*BOM!$H$2:$H$71*(1+BOM!$I$2:$I$71)*BOM!$M$2:$M$71)</f>
        <v>0</v>
      </c>
      <c r="I3" s="5">
        <f>D3*SUMPRODUCT((BOM!$B$2:$B$71=C3)*(BOM!$E$2:$E$71="Packing")*(BOM!$N$2:$N$71="BDT")*BOM!$H$2:$H$71*(1+BOM!$I$2:$I$71)*BOM!$M$2:$M$71)</f>
        <v>280.34710060000003</v>
      </c>
      <c r="J3" s="5">
        <f>D3*SUMPRODUCT((BOM!$B$2:$B$71=C3)*(BOM!$E$2:$E$71="Packing")*(BOM!$N$2:$N$71="USD")*BOM!$H$2:$H$71*(1+BOM!$I$2:$I$71)*BOM!$M$2:$M$71)</f>
        <v>0</v>
      </c>
      <c r="K3" s="5">
        <f t="shared" si="0"/>
        <v>260923.68221567996</v>
      </c>
      <c r="L3" s="5">
        <f t="shared" si="1"/>
        <v>0</v>
      </c>
      <c r="M3" s="5">
        <f t="shared" si="2"/>
        <v>26.318709119999998</v>
      </c>
      <c r="N3" s="5">
        <f t="shared" si="3"/>
        <v>0</v>
      </c>
    </row>
    <row r="4" spans="1:14" x14ac:dyDescent="0.3">
      <c r="A4" s="3" t="s">
        <v>512</v>
      </c>
      <c r="B4" s="3" t="str">
        <f>Order_Sheet!A4</f>
        <v>SO-2026-0003</v>
      </c>
      <c r="C4" s="3" t="str">
        <f>Order_Sheet!D4</f>
        <v>ST-108</v>
      </c>
      <c r="D4" s="3">
        <f>Order_Sheet!F4</f>
        <v>1342</v>
      </c>
      <c r="E4" s="5">
        <f>D4*SUMPRODUCT((BOM!$B$2:$B$71=C4)*(BOM!$E$2:$E$71="Fabric")*(BOM!$N$2:$N$71="BDT")*BOM!$H$2:$H$71*(1+BOM!$I$2:$I$71)*BOM!$M$2:$M$71)</f>
        <v>1985.9142127</v>
      </c>
      <c r="F4" s="5">
        <f>D4*SUMPRODUCT((BOM!$B$2:$B$71=C4)*(BOM!$E$2:$E$71="Fabric")*(BOM!$N$2:$N$71="USD")*BOM!$H$2:$H$71*(1+BOM!$I$2:$I$71)*BOM!$M$2:$M$71)</f>
        <v>588.57468207999989</v>
      </c>
      <c r="G4" s="5">
        <f>D4*SUMPRODUCT((BOM!$B$2:$B$71=C4)*(BOM!$E$2:$E$71="Accessory")*(BOM!$N$2:$N$71="BDT")*BOM!$H$2:$H$71*(1+BOM!$I$2:$I$71)*BOM!$M$2:$M$71)</f>
        <v>56507.642902479995</v>
      </c>
      <c r="H4" s="5">
        <f>D4*SUMPRODUCT((BOM!$B$2:$B$71=C4)*(BOM!$E$2:$E$71="Accessory")*(BOM!$N$2:$N$71="USD")*BOM!$H$2:$H$71*(1+BOM!$I$2:$I$71)*BOM!$M$2:$M$71)</f>
        <v>0</v>
      </c>
      <c r="I4" s="5">
        <f>D4*SUMPRODUCT((BOM!$B$2:$B$71=C4)*(BOM!$E$2:$E$71="Packing")*(BOM!$N$2:$N$71="BDT")*BOM!$H$2:$H$71*(1+BOM!$I$2:$I$71)*BOM!$M$2:$M$71)</f>
        <v>554.70872159999999</v>
      </c>
      <c r="J4" s="5">
        <f>D4*SUMPRODUCT((BOM!$B$2:$B$71=C4)*(BOM!$E$2:$E$71="Packing")*(BOM!$N$2:$N$71="USD")*BOM!$H$2:$H$71*(1+BOM!$I$2:$I$71)*BOM!$M$2:$M$71)</f>
        <v>0</v>
      </c>
      <c r="K4" s="5">
        <f t="shared" si="0"/>
        <v>59048.265836779996</v>
      </c>
      <c r="L4" s="5">
        <f t="shared" si="1"/>
        <v>588.57468207999989</v>
      </c>
      <c r="M4" s="5">
        <f t="shared" si="2"/>
        <v>44.000198089999998</v>
      </c>
      <c r="N4" s="5">
        <f t="shared" si="3"/>
        <v>0.4385802399999999</v>
      </c>
    </row>
    <row r="5" spans="1:14" x14ac:dyDescent="0.3">
      <c r="A5" s="3" t="s">
        <v>513</v>
      </c>
      <c r="B5" s="3" t="str">
        <f>Order_Sheet!A5</f>
        <v>SO-2026-0004</v>
      </c>
      <c r="C5" s="3" t="str">
        <f>Order_Sheet!D5</f>
        <v>ST-110</v>
      </c>
      <c r="D5" s="3">
        <f>Order_Sheet!F5</f>
        <v>5769</v>
      </c>
      <c r="E5" s="5">
        <f>D5*SUMPRODUCT((BOM!$B$2:$B$71=C5)*(BOM!$E$2:$E$71="Fabric")*(BOM!$N$2:$N$71="BDT")*BOM!$H$2:$H$71*(1+BOM!$I$2:$I$71)*BOM!$M$2:$M$71)</f>
        <v>46483.595601029992</v>
      </c>
      <c r="F5" s="5">
        <f>D5*SUMPRODUCT((BOM!$B$2:$B$71=C5)*(BOM!$E$2:$E$71="Fabric")*(BOM!$N$2:$N$71="USD")*BOM!$H$2:$H$71*(1+BOM!$I$2:$I$71)*BOM!$M$2:$M$71)</f>
        <v>0</v>
      </c>
      <c r="G5" s="5">
        <f>D5*SUMPRODUCT((BOM!$B$2:$B$71=C5)*(BOM!$E$2:$E$71="Accessory")*(BOM!$N$2:$N$71="BDT")*BOM!$H$2:$H$71*(1+BOM!$I$2:$I$71)*BOM!$M$2:$M$71)</f>
        <v>117457.61604588002</v>
      </c>
      <c r="H5" s="5">
        <f>D5*SUMPRODUCT((BOM!$B$2:$B$71=C5)*(BOM!$E$2:$E$71="Accessory")*(BOM!$N$2:$N$71="USD")*BOM!$H$2:$H$71*(1+BOM!$I$2:$I$71)*BOM!$M$2:$M$71)</f>
        <v>0</v>
      </c>
      <c r="I5" s="5">
        <f>D5*SUMPRODUCT((BOM!$B$2:$B$71=C5)*(BOM!$E$2:$E$71="Packing")*(BOM!$N$2:$N$71="BDT")*BOM!$H$2:$H$71*(1+BOM!$I$2:$I$71)*BOM!$M$2:$M$71)</f>
        <v>22432.576391820003</v>
      </c>
      <c r="J5" s="5">
        <f>D5*SUMPRODUCT((BOM!$B$2:$B$71=C5)*(BOM!$E$2:$E$71="Packing")*(BOM!$N$2:$N$71="USD")*BOM!$H$2:$H$71*(1+BOM!$I$2:$I$71)*BOM!$M$2:$M$71)</f>
        <v>0</v>
      </c>
      <c r="K5" s="5">
        <f t="shared" si="0"/>
        <v>186373.78803873001</v>
      </c>
      <c r="L5" s="5">
        <f t="shared" si="1"/>
        <v>0</v>
      </c>
      <c r="M5" s="5">
        <f t="shared" si="2"/>
        <v>32.306082170000003</v>
      </c>
      <c r="N5" s="5">
        <f t="shared" si="3"/>
        <v>0</v>
      </c>
    </row>
    <row r="6" spans="1:14" x14ac:dyDescent="0.3">
      <c r="A6" s="3" t="s">
        <v>514</v>
      </c>
      <c r="B6" s="3" t="str">
        <f>Order_Sheet!A6</f>
        <v>SO-2026-0005</v>
      </c>
      <c r="C6" s="3" t="str">
        <f>Order_Sheet!D6</f>
        <v>ST-101</v>
      </c>
      <c r="D6" s="3">
        <f>Order_Sheet!F6</f>
        <v>11218</v>
      </c>
      <c r="E6" s="5">
        <f>D6*SUMPRODUCT((BOM!$B$2:$B$71=C6)*(BOM!$E$2:$E$71="Fabric")*(BOM!$N$2:$N$71="BDT")*BOM!$H$2:$H$71*(1+BOM!$I$2:$I$71)*BOM!$M$2:$M$71)</f>
        <v>21892.197578160001</v>
      </c>
      <c r="F6" s="5">
        <f>D6*SUMPRODUCT((BOM!$B$2:$B$71=C6)*(BOM!$E$2:$E$71="Fabric")*(BOM!$N$2:$N$71="USD")*BOM!$H$2:$H$71*(1+BOM!$I$2:$I$71)*BOM!$M$2:$M$71)</f>
        <v>3998.73642088</v>
      </c>
      <c r="G6" s="5">
        <f>D6*SUMPRODUCT((BOM!$B$2:$B$71=C6)*(BOM!$E$2:$E$71="Accessory")*(BOM!$N$2:$N$71="BDT")*BOM!$H$2:$H$71*(1+BOM!$I$2:$I$71)*BOM!$M$2:$M$71)</f>
        <v>329173.91142276005</v>
      </c>
      <c r="H6" s="5">
        <f>D6*SUMPRODUCT((BOM!$B$2:$B$71=C6)*(BOM!$E$2:$E$71="Accessory")*(BOM!$N$2:$N$71="USD")*BOM!$H$2:$H$71*(1+BOM!$I$2:$I$71)*BOM!$M$2:$M$71)</f>
        <v>0</v>
      </c>
      <c r="I6" s="5">
        <f>D6*SUMPRODUCT((BOM!$B$2:$B$71=C6)*(BOM!$E$2:$E$71="Packing")*(BOM!$N$2:$N$71="BDT")*BOM!$H$2:$H$71*(1+BOM!$I$2:$I$71)*BOM!$M$2:$M$71)</f>
        <v>20353.8545041</v>
      </c>
      <c r="J6" s="5">
        <f>D6*SUMPRODUCT((BOM!$B$2:$B$71=C6)*(BOM!$E$2:$E$71="Packing")*(BOM!$N$2:$N$71="USD")*BOM!$H$2:$H$71*(1+BOM!$I$2:$I$71)*BOM!$M$2:$M$71)</f>
        <v>0</v>
      </c>
      <c r="K6" s="5">
        <f t="shared" si="0"/>
        <v>371419.96350502002</v>
      </c>
      <c r="L6" s="5">
        <f t="shared" si="1"/>
        <v>3998.73642088</v>
      </c>
      <c r="M6" s="5">
        <f t="shared" si="2"/>
        <v>33.109285390000004</v>
      </c>
      <c r="N6" s="5">
        <f t="shared" si="3"/>
        <v>0.35645716</v>
      </c>
    </row>
    <row r="7" spans="1:14" x14ac:dyDescent="0.3">
      <c r="A7" s="3" t="s">
        <v>515</v>
      </c>
      <c r="B7" s="3" t="str">
        <f>Order_Sheet!A7</f>
        <v>SO-2026-0006</v>
      </c>
      <c r="C7" s="3" t="str">
        <f>Order_Sheet!D7</f>
        <v>ST-105</v>
      </c>
      <c r="D7" s="3">
        <f>Order_Sheet!F7</f>
        <v>4306</v>
      </c>
      <c r="E7" s="5">
        <f>D7*SUMPRODUCT((BOM!$B$2:$B$71=C7)*(BOM!$E$2:$E$71="Fabric")*(BOM!$N$2:$N$71="BDT")*BOM!$H$2:$H$71*(1+BOM!$I$2:$I$71)*BOM!$M$2:$M$71)</f>
        <v>16750.798847360002</v>
      </c>
      <c r="F7" s="5">
        <f>D7*SUMPRODUCT((BOM!$B$2:$B$71=C7)*(BOM!$E$2:$E$71="Fabric")*(BOM!$N$2:$N$71="USD")*BOM!$H$2:$H$71*(1+BOM!$I$2:$I$71)*BOM!$M$2:$M$71)</f>
        <v>0</v>
      </c>
      <c r="G7" s="5">
        <f>D7*SUMPRODUCT((BOM!$B$2:$B$71=C7)*(BOM!$E$2:$E$71="Accessory")*(BOM!$N$2:$N$71="BDT")*BOM!$H$2:$H$71*(1+BOM!$I$2:$I$71)*BOM!$M$2:$M$71)</f>
        <v>219911.65899864002</v>
      </c>
      <c r="H7" s="5">
        <f>D7*SUMPRODUCT((BOM!$B$2:$B$71=C7)*(BOM!$E$2:$E$71="Accessory")*(BOM!$N$2:$N$71="USD")*BOM!$H$2:$H$71*(1+BOM!$I$2:$I$71)*BOM!$M$2:$M$71)</f>
        <v>0</v>
      </c>
      <c r="I7" s="5">
        <f>D7*SUMPRODUCT((BOM!$B$2:$B$71=C7)*(BOM!$E$2:$E$71="Packing")*(BOM!$N$2:$N$71="BDT")*BOM!$H$2:$H$71*(1+BOM!$I$2:$I$71)*BOM!$M$2:$M$71)</f>
        <v>5342.2330868999998</v>
      </c>
      <c r="J7" s="5">
        <f>D7*SUMPRODUCT((BOM!$B$2:$B$71=C7)*(BOM!$E$2:$E$71="Packing")*(BOM!$N$2:$N$71="USD")*BOM!$H$2:$H$71*(1+BOM!$I$2:$I$71)*BOM!$M$2:$M$71)</f>
        <v>0</v>
      </c>
      <c r="K7" s="5">
        <f t="shared" si="0"/>
        <v>242004.69093290003</v>
      </c>
      <c r="L7" s="5">
        <f t="shared" si="1"/>
        <v>0</v>
      </c>
      <c r="M7" s="5">
        <f t="shared" si="2"/>
        <v>56.201739650000007</v>
      </c>
      <c r="N7" s="5">
        <f t="shared" si="3"/>
        <v>0</v>
      </c>
    </row>
    <row r="8" spans="1:14" x14ac:dyDescent="0.3">
      <c r="A8" s="3" t="s">
        <v>516</v>
      </c>
      <c r="B8" s="3" t="str">
        <f>Order_Sheet!A8</f>
        <v>SO-2026-0007</v>
      </c>
      <c r="C8" s="3" t="str">
        <f>Order_Sheet!D8</f>
        <v>ST-107</v>
      </c>
      <c r="D8" s="3">
        <f>Order_Sheet!F8</f>
        <v>4961</v>
      </c>
      <c r="E8" s="5">
        <f>D8*SUMPRODUCT((BOM!$B$2:$B$71=C8)*(BOM!$E$2:$E$71="Fabric")*(BOM!$N$2:$N$71="BDT")*BOM!$H$2:$H$71*(1+BOM!$I$2:$I$71)*BOM!$M$2:$M$71)</f>
        <v>42747.705431750001</v>
      </c>
      <c r="F8" s="5">
        <f>D8*SUMPRODUCT((BOM!$B$2:$B$71=C8)*(BOM!$E$2:$E$71="Fabric")*(BOM!$N$2:$N$71="USD")*BOM!$H$2:$H$71*(1+BOM!$I$2:$I$71)*BOM!$M$2:$M$71)</f>
        <v>0</v>
      </c>
      <c r="G8" s="5">
        <f>D8*SUMPRODUCT((BOM!$B$2:$B$71=C8)*(BOM!$E$2:$E$71="Accessory")*(BOM!$N$2:$N$71="BDT")*BOM!$H$2:$H$71*(1+BOM!$I$2:$I$71)*BOM!$M$2:$M$71)</f>
        <v>144680.53258405998</v>
      </c>
      <c r="H8" s="5">
        <f>D8*SUMPRODUCT((BOM!$B$2:$B$71=C8)*(BOM!$E$2:$E$71="Accessory")*(BOM!$N$2:$N$71="USD")*BOM!$H$2:$H$71*(1+BOM!$I$2:$I$71)*BOM!$M$2:$M$71)</f>
        <v>0</v>
      </c>
      <c r="I8" s="5">
        <f>D8*SUMPRODUCT((BOM!$B$2:$B$71=C8)*(BOM!$E$2:$E$71="Packing")*(BOM!$N$2:$N$71="BDT")*BOM!$H$2:$H$71*(1+BOM!$I$2:$I$71)*BOM!$M$2:$M$71)</f>
        <v>5120.3919690000002</v>
      </c>
      <c r="J8" s="5">
        <f>D8*SUMPRODUCT((BOM!$B$2:$B$71=C8)*(BOM!$E$2:$E$71="Packing")*(BOM!$N$2:$N$71="USD")*BOM!$H$2:$H$71*(1+BOM!$I$2:$I$71)*BOM!$M$2:$M$71)</f>
        <v>0</v>
      </c>
      <c r="K8" s="5">
        <f t="shared" si="0"/>
        <v>192548.62998480996</v>
      </c>
      <c r="L8" s="5">
        <f t="shared" si="1"/>
        <v>0</v>
      </c>
      <c r="M8" s="5">
        <f t="shared" si="2"/>
        <v>38.81246320999999</v>
      </c>
      <c r="N8" s="5">
        <f t="shared" si="3"/>
        <v>0</v>
      </c>
    </row>
    <row r="9" spans="1:14" x14ac:dyDescent="0.3">
      <c r="A9" s="3" t="s">
        <v>517</v>
      </c>
      <c r="B9" s="3" t="str">
        <f>Order_Sheet!A9</f>
        <v>SO-2026-0008</v>
      </c>
      <c r="C9" s="3" t="str">
        <f>Order_Sheet!D9</f>
        <v>ST-102</v>
      </c>
      <c r="D9" s="3">
        <f>Order_Sheet!F9</f>
        <v>9075</v>
      </c>
      <c r="E9" s="5">
        <f>D9*SUMPRODUCT((BOM!$B$2:$B$71=C9)*(BOM!$E$2:$E$71="Fabric")*(BOM!$N$2:$N$71="BDT")*BOM!$H$2:$H$71*(1+BOM!$I$2:$I$71)*BOM!$M$2:$M$71)</f>
        <v>46072.147852499998</v>
      </c>
      <c r="F9" s="5">
        <f>D9*SUMPRODUCT((BOM!$B$2:$B$71=C9)*(BOM!$E$2:$E$71="Fabric")*(BOM!$N$2:$N$71="USD")*BOM!$H$2:$H$71*(1+BOM!$I$2:$I$71)*BOM!$M$2:$M$71)</f>
        <v>0</v>
      </c>
      <c r="G9" s="5">
        <f>D9*SUMPRODUCT((BOM!$B$2:$B$71=C9)*(BOM!$E$2:$E$71="Accessory")*(BOM!$N$2:$N$71="BDT")*BOM!$H$2:$H$71*(1+BOM!$I$2:$I$71)*BOM!$M$2:$M$71)</f>
        <v>122921.23455149999</v>
      </c>
      <c r="H9" s="5">
        <f>D9*SUMPRODUCT((BOM!$B$2:$B$71=C9)*(BOM!$E$2:$E$71="Accessory")*(BOM!$N$2:$N$71="USD")*BOM!$H$2:$H$71*(1+BOM!$I$2:$I$71)*BOM!$M$2:$M$71)</f>
        <v>0</v>
      </c>
      <c r="I9" s="5">
        <f>D9*SUMPRODUCT((BOM!$B$2:$B$71=C9)*(BOM!$E$2:$E$71="Packing")*(BOM!$N$2:$N$71="BDT")*BOM!$H$2:$H$71*(1+BOM!$I$2:$I$71)*BOM!$M$2:$M$71)</f>
        <v>4092.4516544999997</v>
      </c>
      <c r="J9" s="5">
        <f>D9*SUMPRODUCT((BOM!$B$2:$B$71=C9)*(BOM!$E$2:$E$71="Packing")*(BOM!$N$2:$N$71="USD")*BOM!$H$2:$H$71*(1+BOM!$I$2:$I$71)*BOM!$M$2:$M$71)</f>
        <v>0</v>
      </c>
      <c r="K9" s="5">
        <f t="shared" si="0"/>
        <v>173085.83405849998</v>
      </c>
      <c r="L9" s="5">
        <f t="shared" si="1"/>
        <v>0</v>
      </c>
      <c r="M9" s="5">
        <f t="shared" si="2"/>
        <v>19.07281918</v>
      </c>
      <c r="N9" s="5">
        <f t="shared" si="3"/>
        <v>0</v>
      </c>
    </row>
    <row r="10" spans="1:14" x14ac:dyDescent="0.3">
      <c r="A10" s="3" t="s">
        <v>518</v>
      </c>
      <c r="B10" s="3" t="str">
        <f>Order_Sheet!A10</f>
        <v>SO-2026-0009</v>
      </c>
      <c r="C10" s="3" t="str">
        <f>Order_Sheet!D10</f>
        <v>ST-109</v>
      </c>
      <c r="D10" s="3">
        <f>Order_Sheet!F10</f>
        <v>2613</v>
      </c>
      <c r="E10" s="5">
        <f>D10*SUMPRODUCT((BOM!$B$2:$B$71=C10)*(BOM!$E$2:$E$71="Fabric")*(BOM!$N$2:$N$71="BDT")*BOM!$H$2:$H$71*(1+BOM!$I$2:$I$71)*BOM!$M$2:$M$71)</f>
        <v>17116.668780119999</v>
      </c>
      <c r="F10" s="5">
        <f>D10*SUMPRODUCT((BOM!$B$2:$B$71=C10)*(BOM!$E$2:$E$71="Fabric")*(BOM!$N$2:$N$71="USD")*BOM!$H$2:$H$71*(1+BOM!$I$2:$I$71)*BOM!$M$2:$M$71)</f>
        <v>0</v>
      </c>
      <c r="G10" s="5">
        <f>D10*SUMPRODUCT((BOM!$B$2:$B$71=C10)*(BOM!$E$2:$E$71="Accessory")*(BOM!$N$2:$N$71="BDT")*BOM!$H$2:$H$71*(1+BOM!$I$2:$I$71)*BOM!$M$2:$M$71)</f>
        <v>51580.227997739996</v>
      </c>
      <c r="H10" s="5">
        <f>D10*SUMPRODUCT((BOM!$B$2:$B$71=C10)*(BOM!$E$2:$E$71="Accessory")*(BOM!$N$2:$N$71="USD")*BOM!$H$2:$H$71*(1+BOM!$I$2:$I$71)*BOM!$M$2:$M$71)</f>
        <v>0</v>
      </c>
      <c r="I10" s="5">
        <f>D10*SUMPRODUCT((BOM!$B$2:$B$71=C10)*(BOM!$E$2:$E$71="Packing")*(BOM!$N$2:$N$71="BDT")*BOM!$H$2:$H$71*(1+BOM!$I$2:$I$71)*BOM!$M$2:$M$71)</f>
        <v>73.890152700000002</v>
      </c>
      <c r="J10" s="5">
        <f>D10*SUMPRODUCT((BOM!$B$2:$B$71=C10)*(BOM!$E$2:$E$71="Packing")*(BOM!$N$2:$N$71="USD")*BOM!$H$2:$H$71*(1+BOM!$I$2:$I$71)*BOM!$M$2:$M$71)</f>
        <v>0</v>
      </c>
      <c r="K10" s="5">
        <f t="shared" si="0"/>
        <v>68770.786930559989</v>
      </c>
      <c r="L10" s="5">
        <f t="shared" si="1"/>
        <v>0</v>
      </c>
      <c r="M10" s="5">
        <f t="shared" si="2"/>
        <v>26.318709119999994</v>
      </c>
      <c r="N10" s="5">
        <f t="shared" si="3"/>
        <v>0</v>
      </c>
    </row>
    <row r="11" spans="1:14" x14ac:dyDescent="0.3">
      <c r="A11" s="3" t="s">
        <v>519</v>
      </c>
      <c r="B11" s="3" t="str">
        <f>Order_Sheet!A11</f>
        <v>SO-2026-0010</v>
      </c>
      <c r="C11" s="3" t="str">
        <f>Order_Sheet!D11</f>
        <v>ST-105</v>
      </c>
      <c r="D11" s="3">
        <f>Order_Sheet!F11</f>
        <v>5933</v>
      </c>
      <c r="E11" s="5">
        <f>D11*SUMPRODUCT((BOM!$B$2:$B$71=C11)*(BOM!$E$2:$E$71="Fabric")*(BOM!$N$2:$N$71="BDT")*BOM!$H$2:$H$71*(1+BOM!$I$2:$I$71)*BOM!$M$2:$M$71)</f>
        <v>23080.002220480004</v>
      </c>
      <c r="F11" s="5">
        <f>D11*SUMPRODUCT((BOM!$B$2:$B$71=C11)*(BOM!$E$2:$E$71="Fabric")*(BOM!$N$2:$N$71="USD")*BOM!$H$2:$H$71*(1+BOM!$I$2:$I$71)*BOM!$M$2:$M$71)</f>
        <v>0</v>
      </c>
      <c r="G11" s="5">
        <f>D11*SUMPRODUCT((BOM!$B$2:$B$71=C11)*(BOM!$E$2:$E$71="Accessory")*(BOM!$N$2:$N$71="BDT")*BOM!$H$2:$H$71*(1+BOM!$I$2:$I$71)*BOM!$M$2:$M$71)</f>
        <v>303004.15068252</v>
      </c>
      <c r="H11" s="5">
        <f>D11*SUMPRODUCT((BOM!$B$2:$B$71=C11)*(BOM!$E$2:$E$71="Accessory")*(BOM!$N$2:$N$71="USD")*BOM!$H$2:$H$71*(1+BOM!$I$2:$I$71)*BOM!$M$2:$M$71)</f>
        <v>0</v>
      </c>
      <c r="I11" s="5">
        <f>D11*SUMPRODUCT((BOM!$B$2:$B$71=C11)*(BOM!$E$2:$E$71="Packing")*(BOM!$N$2:$N$71="BDT")*BOM!$H$2:$H$71*(1+BOM!$I$2:$I$71)*BOM!$M$2:$M$71)</f>
        <v>7360.7684404500005</v>
      </c>
      <c r="J11" s="5">
        <f>D11*SUMPRODUCT((BOM!$B$2:$B$71=C11)*(BOM!$E$2:$E$71="Packing")*(BOM!$N$2:$N$71="USD")*BOM!$H$2:$H$71*(1+BOM!$I$2:$I$71)*BOM!$M$2:$M$71)</f>
        <v>0</v>
      </c>
      <c r="K11" s="5">
        <f t="shared" si="0"/>
        <v>333444.92134345003</v>
      </c>
      <c r="L11" s="5">
        <f t="shared" si="1"/>
        <v>0</v>
      </c>
      <c r="M11" s="5">
        <f t="shared" si="2"/>
        <v>56.201739650000007</v>
      </c>
      <c r="N11" s="5">
        <f t="shared" si="3"/>
        <v>0</v>
      </c>
    </row>
    <row r="12" spans="1:14" x14ac:dyDescent="0.3">
      <c r="A12" s="3" t="s">
        <v>520</v>
      </c>
      <c r="B12" s="3" t="str">
        <f>Order_Sheet!A12</f>
        <v>SO-2026-0011</v>
      </c>
      <c r="C12" s="3" t="str">
        <f>Order_Sheet!D12</f>
        <v>ST-107</v>
      </c>
      <c r="D12" s="3">
        <f>Order_Sheet!F12</f>
        <v>3043</v>
      </c>
      <c r="E12" s="5">
        <f>D12*SUMPRODUCT((BOM!$B$2:$B$71=C12)*(BOM!$E$2:$E$71="Fabric")*(BOM!$N$2:$N$71="BDT")*BOM!$H$2:$H$71*(1+BOM!$I$2:$I$71)*BOM!$M$2:$M$71)</f>
        <v>26220.775575250002</v>
      </c>
      <c r="F12" s="5">
        <f>D12*SUMPRODUCT((BOM!$B$2:$B$71=C12)*(BOM!$E$2:$E$71="Fabric")*(BOM!$N$2:$N$71="USD")*BOM!$H$2:$H$71*(1+BOM!$I$2:$I$71)*BOM!$M$2:$M$71)</f>
        <v>0</v>
      </c>
      <c r="G12" s="5">
        <f>D12*SUMPRODUCT((BOM!$B$2:$B$71=C12)*(BOM!$E$2:$E$71="Accessory")*(BOM!$N$2:$N$71="BDT")*BOM!$H$2:$H$71*(1+BOM!$I$2:$I$71)*BOM!$M$2:$M$71)</f>
        <v>88744.781425779991</v>
      </c>
      <c r="H12" s="5">
        <f>D12*SUMPRODUCT((BOM!$B$2:$B$71=C12)*(BOM!$E$2:$E$71="Accessory")*(BOM!$N$2:$N$71="USD")*BOM!$H$2:$H$71*(1+BOM!$I$2:$I$71)*BOM!$M$2:$M$71)</f>
        <v>0</v>
      </c>
      <c r="I12" s="5">
        <f>D12*SUMPRODUCT((BOM!$B$2:$B$71=C12)*(BOM!$E$2:$E$71="Packing")*(BOM!$N$2:$N$71="BDT")*BOM!$H$2:$H$71*(1+BOM!$I$2:$I$71)*BOM!$M$2:$M$71)</f>
        <v>3140.7685470000001</v>
      </c>
      <c r="J12" s="5">
        <f>D12*SUMPRODUCT((BOM!$B$2:$B$71=C12)*(BOM!$E$2:$E$71="Packing")*(BOM!$N$2:$N$71="USD")*BOM!$H$2:$H$71*(1+BOM!$I$2:$I$71)*BOM!$M$2:$M$71)</f>
        <v>0</v>
      </c>
      <c r="K12" s="5">
        <f t="shared" si="0"/>
        <v>118106.32554802998</v>
      </c>
      <c r="L12" s="5">
        <f t="shared" si="1"/>
        <v>0</v>
      </c>
      <c r="M12" s="5">
        <f t="shared" si="2"/>
        <v>38.812463209999997</v>
      </c>
      <c r="N12" s="5">
        <f t="shared" si="3"/>
        <v>0</v>
      </c>
    </row>
    <row r="13" spans="1:14" x14ac:dyDescent="0.3">
      <c r="A13" s="3" t="s">
        <v>521</v>
      </c>
      <c r="B13" s="3" t="str">
        <f>Order_Sheet!A13</f>
        <v>SO-2026-0012</v>
      </c>
      <c r="C13" s="3" t="str">
        <f>Order_Sheet!D13</f>
        <v>ST-102</v>
      </c>
      <c r="D13" s="3">
        <f>Order_Sheet!F13</f>
        <v>7152</v>
      </c>
      <c r="E13" s="5">
        <f>D13*SUMPRODUCT((BOM!$B$2:$B$71=C13)*(BOM!$E$2:$E$71="Fabric")*(BOM!$N$2:$N$71="BDT")*BOM!$H$2:$H$71*(1+BOM!$I$2:$I$71)*BOM!$M$2:$M$71)</f>
        <v>36309.421646399998</v>
      </c>
      <c r="F13" s="5">
        <f>D13*SUMPRODUCT((BOM!$B$2:$B$71=C13)*(BOM!$E$2:$E$71="Fabric")*(BOM!$N$2:$N$71="USD")*BOM!$H$2:$H$71*(1+BOM!$I$2:$I$71)*BOM!$M$2:$M$71)</f>
        <v>0</v>
      </c>
      <c r="G13" s="5">
        <f>D13*SUMPRODUCT((BOM!$B$2:$B$71=C13)*(BOM!$E$2:$E$71="Accessory")*(BOM!$N$2:$N$71="BDT")*BOM!$H$2:$H$71*(1+BOM!$I$2:$I$71)*BOM!$M$2:$M$71)</f>
        <v>96874.123362239989</v>
      </c>
      <c r="H13" s="5">
        <f>D13*SUMPRODUCT((BOM!$B$2:$B$71=C13)*(BOM!$E$2:$E$71="Accessory")*(BOM!$N$2:$N$71="USD")*BOM!$H$2:$H$71*(1+BOM!$I$2:$I$71)*BOM!$M$2:$M$71)</f>
        <v>0</v>
      </c>
      <c r="I13" s="5">
        <f>D13*SUMPRODUCT((BOM!$B$2:$B$71=C13)*(BOM!$E$2:$E$71="Packing")*(BOM!$N$2:$N$71="BDT")*BOM!$H$2:$H$71*(1+BOM!$I$2:$I$71)*BOM!$M$2:$M$71)</f>
        <v>3225.2577667199998</v>
      </c>
      <c r="J13" s="5">
        <f>D13*SUMPRODUCT((BOM!$B$2:$B$71=C13)*(BOM!$E$2:$E$71="Packing")*(BOM!$N$2:$N$71="USD")*BOM!$H$2:$H$71*(1+BOM!$I$2:$I$71)*BOM!$M$2:$M$71)</f>
        <v>0</v>
      </c>
      <c r="K13" s="5">
        <f t="shared" si="0"/>
        <v>136408.80277535997</v>
      </c>
      <c r="L13" s="5">
        <f t="shared" si="1"/>
        <v>0</v>
      </c>
      <c r="M13" s="5">
        <f t="shared" si="2"/>
        <v>19.072819179999996</v>
      </c>
      <c r="N13" s="5">
        <f t="shared" si="3"/>
        <v>0</v>
      </c>
    </row>
    <row r="14" spans="1:14" x14ac:dyDescent="0.3">
      <c r="A14" s="3" t="s">
        <v>522</v>
      </c>
      <c r="B14" s="3" t="str">
        <f>Order_Sheet!A14</f>
        <v>SO-2026-0013</v>
      </c>
      <c r="C14" s="3" t="str">
        <f>Order_Sheet!D14</f>
        <v>ST-101</v>
      </c>
      <c r="D14" s="3">
        <f>Order_Sheet!F14</f>
        <v>10256</v>
      </c>
      <c r="E14" s="5">
        <f>D14*SUMPRODUCT((BOM!$B$2:$B$71=C14)*(BOM!$E$2:$E$71="Fabric")*(BOM!$N$2:$N$71="BDT")*BOM!$H$2:$H$71*(1+BOM!$I$2:$I$71)*BOM!$M$2:$M$71)</f>
        <v>20014.831374720001</v>
      </c>
      <c r="F14" s="5">
        <f>D14*SUMPRODUCT((BOM!$B$2:$B$71=C14)*(BOM!$E$2:$E$71="Fabric")*(BOM!$N$2:$N$71="USD")*BOM!$H$2:$H$71*(1+BOM!$I$2:$I$71)*BOM!$M$2:$M$71)</f>
        <v>3655.8246329600001</v>
      </c>
      <c r="G14" s="5">
        <f>D14*SUMPRODUCT((BOM!$B$2:$B$71=C14)*(BOM!$E$2:$E$71="Accessory")*(BOM!$N$2:$N$71="BDT")*BOM!$H$2:$H$71*(1+BOM!$I$2:$I$71)*BOM!$M$2:$M$71)</f>
        <v>300945.59061792004</v>
      </c>
      <c r="H14" s="5">
        <f>D14*SUMPRODUCT((BOM!$B$2:$B$71=C14)*(BOM!$E$2:$E$71="Accessory")*(BOM!$N$2:$N$71="USD")*BOM!$H$2:$H$71*(1+BOM!$I$2:$I$71)*BOM!$M$2:$M$71)</f>
        <v>0</v>
      </c>
      <c r="I14" s="5">
        <f>D14*SUMPRODUCT((BOM!$B$2:$B$71=C14)*(BOM!$E$2:$E$71="Packing")*(BOM!$N$2:$N$71="BDT")*BOM!$H$2:$H$71*(1+BOM!$I$2:$I$71)*BOM!$M$2:$M$71)</f>
        <v>18608.408967200001</v>
      </c>
      <c r="J14" s="5">
        <f>D14*SUMPRODUCT((BOM!$B$2:$B$71=C14)*(BOM!$E$2:$E$71="Packing")*(BOM!$N$2:$N$71="USD")*BOM!$H$2:$H$71*(1+BOM!$I$2:$I$71)*BOM!$M$2:$M$71)</f>
        <v>0</v>
      </c>
      <c r="K14" s="5">
        <f t="shared" si="0"/>
        <v>339568.83095984004</v>
      </c>
      <c r="L14" s="5">
        <f t="shared" si="1"/>
        <v>3655.8246329600001</v>
      </c>
      <c r="M14" s="5">
        <f t="shared" si="2"/>
        <v>33.109285390000004</v>
      </c>
      <c r="N14" s="5">
        <f t="shared" si="3"/>
        <v>0.35645716</v>
      </c>
    </row>
    <row r="15" spans="1:14" x14ac:dyDescent="0.3">
      <c r="A15" s="3" t="s">
        <v>523</v>
      </c>
      <c r="B15" s="3" t="str">
        <f>Order_Sheet!A15</f>
        <v>SO-2026-0014</v>
      </c>
      <c r="C15" s="3" t="str">
        <f>Order_Sheet!D15</f>
        <v>ST-103</v>
      </c>
      <c r="D15" s="3">
        <f>Order_Sheet!F15</f>
        <v>5526</v>
      </c>
      <c r="E15" s="5">
        <f>D15*SUMPRODUCT((BOM!$B$2:$B$71=C15)*(BOM!$E$2:$E$71="Fabric")*(BOM!$N$2:$N$71="BDT")*BOM!$H$2:$H$71*(1+BOM!$I$2:$I$71)*BOM!$M$2:$M$71)</f>
        <v>22238.069380560002</v>
      </c>
      <c r="F15" s="5">
        <f>D15*SUMPRODUCT((BOM!$B$2:$B$71=C15)*(BOM!$E$2:$E$71="Fabric")*(BOM!$N$2:$N$71="USD")*BOM!$H$2:$H$71*(1+BOM!$I$2:$I$71)*BOM!$M$2:$M$71)</f>
        <v>0</v>
      </c>
      <c r="G15" s="5">
        <f>D15*SUMPRODUCT((BOM!$B$2:$B$71=C15)*(BOM!$E$2:$E$71="Accessory")*(BOM!$N$2:$N$71="BDT")*BOM!$H$2:$H$71*(1+BOM!$I$2:$I$71)*BOM!$M$2:$M$71)</f>
        <v>155613.00055986</v>
      </c>
      <c r="H15" s="5">
        <f>D15*SUMPRODUCT((BOM!$B$2:$B$71=C15)*(BOM!$E$2:$E$71="Accessory")*(BOM!$N$2:$N$71="USD")*BOM!$H$2:$H$71*(1+BOM!$I$2:$I$71)*BOM!$M$2:$M$71)</f>
        <v>0</v>
      </c>
      <c r="I15" s="5">
        <f>D15*SUMPRODUCT((BOM!$B$2:$B$71=C15)*(BOM!$E$2:$E$71="Packing")*(BOM!$N$2:$N$71="BDT")*BOM!$H$2:$H$71*(1+BOM!$I$2:$I$71)*BOM!$M$2:$M$71)</f>
        <v>5687.5066336799991</v>
      </c>
      <c r="J15" s="5">
        <f>D15*SUMPRODUCT((BOM!$B$2:$B$71=C15)*(BOM!$E$2:$E$71="Packing")*(BOM!$N$2:$N$71="USD")*BOM!$H$2:$H$71*(1+BOM!$I$2:$I$71)*BOM!$M$2:$M$71)</f>
        <v>0</v>
      </c>
      <c r="K15" s="5">
        <f t="shared" si="0"/>
        <v>183538.57657409998</v>
      </c>
      <c r="L15" s="5">
        <f t="shared" si="1"/>
        <v>0</v>
      </c>
      <c r="M15" s="5">
        <f t="shared" si="2"/>
        <v>33.213640349999999</v>
      </c>
      <c r="N15" s="5">
        <f t="shared" si="3"/>
        <v>0</v>
      </c>
    </row>
    <row r="16" spans="1:14" x14ac:dyDescent="0.3">
      <c r="A16" s="3" t="s">
        <v>524</v>
      </c>
      <c r="B16" s="3" t="str">
        <f>Order_Sheet!A16</f>
        <v>SO-2026-0015</v>
      </c>
      <c r="C16" s="3" t="str">
        <f>Order_Sheet!D16</f>
        <v>ST-107</v>
      </c>
      <c r="D16" s="3">
        <f>Order_Sheet!F16</f>
        <v>3355</v>
      </c>
      <c r="E16" s="5">
        <f>D16*SUMPRODUCT((BOM!$B$2:$B$71=C16)*(BOM!$E$2:$E$71="Fabric")*(BOM!$N$2:$N$71="BDT")*BOM!$H$2:$H$71*(1+BOM!$I$2:$I$71)*BOM!$M$2:$M$71)</f>
        <v>28909.20212125</v>
      </c>
      <c r="F16" s="5">
        <f>D16*SUMPRODUCT((BOM!$B$2:$B$71=C16)*(BOM!$E$2:$E$71="Fabric")*(BOM!$N$2:$N$71="USD")*BOM!$H$2:$H$71*(1+BOM!$I$2:$I$71)*BOM!$M$2:$M$71)</f>
        <v>0</v>
      </c>
      <c r="G16" s="5">
        <f>D16*SUMPRODUCT((BOM!$B$2:$B$71=C16)*(BOM!$E$2:$E$71="Accessory")*(BOM!$N$2:$N$71="BDT")*BOM!$H$2:$H$71*(1+BOM!$I$2:$I$71)*BOM!$M$2:$M$71)</f>
        <v>97843.819153299992</v>
      </c>
      <c r="H16" s="5">
        <f>D16*SUMPRODUCT((BOM!$B$2:$B$71=C16)*(BOM!$E$2:$E$71="Accessory")*(BOM!$N$2:$N$71="USD")*BOM!$H$2:$H$71*(1+BOM!$I$2:$I$71)*BOM!$M$2:$M$71)</f>
        <v>0</v>
      </c>
      <c r="I16" s="5">
        <f>D16*SUMPRODUCT((BOM!$B$2:$B$71=C16)*(BOM!$E$2:$E$71="Packing")*(BOM!$N$2:$N$71="BDT")*BOM!$H$2:$H$71*(1+BOM!$I$2:$I$71)*BOM!$M$2:$M$71)</f>
        <v>3462.7927950000003</v>
      </c>
      <c r="J16" s="5">
        <f>D16*SUMPRODUCT((BOM!$B$2:$B$71=C16)*(BOM!$E$2:$E$71="Packing")*(BOM!$N$2:$N$71="USD")*BOM!$H$2:$H$71*(1+BOM!$I$2:$I$71)*BOM!$M$2:$M$71)</f>
        <v>0</v>
      </c>
      <c r="K16" s="5">
        <f t="shared" si="0"/>
        <v>130215.81406954999</v>
      </c>
      <c r="L16" s="5">
        <f t="shared" si="1"/>
        <v>0</v>
      </c>
      <c r="M16" s="5">
        <f t="shared" si="2"/>
        <v>38.812463209999997</v>
      </c>
      <c r="N16" s="5">
        <f t="shared" si="3"/>
        <v>0</v>
      </c>
    </row>
    <row r="17" spans="1:14" x14ac:dyDescent="0.3">
      <c r="A17" s="3" t="s">
        <v>525</v>
      </c>
      <c r="B17" s="3" t="str">
        <f>Order_Sheet!A17</f>
        <v>SO-2026-0016</v>
      </c>
      <c r="C17" s="3" t="str">
        <f>Order_Sheet!D17</f>
        <v>ST-101</v>
      </c>
      <c r="D17" s="3">
        <f>Order_Sheet!F17</f>
        <v>10419</v>
      </c>
      <c r="E17" s="5">
        <f>D17*SUMPRODUCT((BOM!$B$2:$B$71=C17)*(BOM!$E$2:$E$71="Fabric")*(BOM!$N$2:$N$71="BDT")*BOM!$H$2:$H$71*(1+BOM!$I$2:$I$71)*BOM!$M$2:$M$71)</f>
        <v>20332.929806280001</v>
      </c>
      <c r="F17" s="5">
        <f>D17*SUMPRODUCT((BOM!$B$2:$B$71=C17)*(BOM!$E$2:$E$71="Fabric")*(BOM!$N$2:$N$71="USD")*BOM!$H$2:$H$71*(1+BOM!$I$2:$I$71)*BOM!$M$2:$M$71)</f>
        <v>3713.92715004</v>
      </c>
      <c r="G17" s="5">
        <f>D17*SUMPRODUCT((BOM!$B$2:$B$71=C17)*(BOM!$E$2:$E$71="Accessory")*(BOM!$N$2:$N$71="BDT")*BOM!$H$2:$H$71*(1+BOM!$I$2:$I$71)*BOM!$M$2:$M$71)</f>
        <v>305728.55973558</v>
      </c>
      <c r="H17" s="5">
        <f>D17*SUMPRODUCT((BOM!$B$2:$B$71=C17)*(BOM!$E$2:$E$71="Accessory")*(BOM!$N$2:$N$71="USD")*BOM!$H$2:$H$71*(1+BOM!$I$2:$I$71)*BOM!$M$2:$M$71)</f>
        <v>0</v>
      </c>
      <c r="I17" s="5">
        <f>D17*SUMPRODUCT((BOM!$B$2:$B$71=C17)*(BOM!$E$2:$E$71="Packing")*(BOM!$N$2:$N$71="BDT")*BOM!$H$2:$H$71*(1+BOM!$I$2:$I$71)*BOM!$M$2:$M$71)</f>
        <v>18904.15493655</v>
      </c>
      <c r="J17" s="5">
        <f>D17*SUMPRODUCT((BOM!$B$2:$B$71=C17)*(BOM!$E$2:$E$71="Packing")*(BOM!$N$2:$N$71="USD")*BOM!$H$2:$H$71*(1+BOM!$I$2:$I$71)*BOM!$M$2:$M$71)</f>
        <v>0</v>
      </c>
      <c r="K17" s="5">
        <f t="shared" si="0"/>
        <v>344965.64447841002</v>
      </c>
      <c r="L17" s="5">
        <f t="shared" si="1"/>
        <v>3713.92715004</v>
      </c>
      <c r="M17" s="5">
        <f t="shared" si="2"/>
        <v>33.109285390000004</v>
      </c>
      <c r="N17" s="5">
        <f t="shared" si="3"/>
        <v>0.35645716</v>
      </c>
    </row>
    <row r="18" spans="1:14" x14ac:dyDescent="0.3">
      <c r="A18" s="3" t="s">
        <v>526</v>
      </c>
      <c r="B18" s="3" t="str">
        <f>Order_Sheet!A18</f>
        <v>SO-2026-0017</v>
      </c>
      <c r="C18" s="3" t="str">
        <f>Order_Sheet!D18</f>
        <v>ST-105</v>
      </c>
      <c r="D18" s="3">
        <f>Order_Sheet!F18</f>
        <v>2668</v>
      </c>
      <c r="E18" s="5">
        <f>D18*SUMPRODUCT((BOM!$B$2:$B$71=C18)*(BOM!$E$2:$E$71="Fabric")*(BOM!$N$2:$N$71="BDT")*BOM!$H$2:$H$71*(1+BOM!$I$2:$I$71)*BOM!$M$2:$M$71)</f>
        <v>10378.804302080001</v>
      </c>
      <c r="F18" s="5">
        <f>D18*SUMPRODUCT((BOM!$B$2:$B$71=C18)*(BOM!$E$2:$E$71="Fabric")*(BOM!$N$2:$N$71="USD")*BOM!$H$2:$H$71*(1+BOM!$I$2:$I$71)*BOM!$M$2:$M$71)</f>
        <v>0</v>
      </c>
      <c r="G18" s="5">
        <f>D18*SUMPRODUCT((BOM!$B$2:$B$71=C18)*(BOM!$E$2:$E$71="Accessory")*(BOM!$N$2:$N$71="BDT")*BOM!$H$2:$H$71*(1+BOM!$I$2:$I$71)*BOM!$M$2:$M$71)</f>
        <v>136257.38648592</v>
      </c>
      <c r="H18" s="5">
        <f>D18*SUMPRODUCT((BOM!$B$2:$B$71=C18)*(BOM!$E$2:$E$71="Accessory")*(BOM!$N$2:$N$71="USD")*BOM!$H$2:$H$71*(1+BOM!$I$2:$I$71)*BOM!$M$2:$M$71)</f>
        <v>0</v>
      </c>
      <c r="I18" s="5">
        <f>D18*SUMPRODUCT((BOM!$B$2:$B$71=C18)*(BOM!$E$2:$E$71="Packing")*(BOM!$N$2:$N$71="BDT")*BOM!$H$2:$H$71*(1+BOM!$I$2:$I$71)*BOM!$M$2:$M$71)</f>
        <v>3310.0505982</v>
      </c>
      <c r="J18" s="5">
        <f>D18*SUMPRODUCT((BOM!$B$2:$B$71=C18)*(BOM!$E$2:$E$71="Packing")*(BOM!$N$2:$N$71="USD")*BOM!$H$2:$H$71*(1+BOM!$I$2:$I$71)*BOM!$M$2:$M$71)</f>
        <v>0</v>
      </c>
      <c r="K18" s="5">
        <f t="shared" si="0"/>
        <v>149946.24138620001</v>
      </c>
      <c r="L18" s="5">
        <f t="shared" si="1"/>
        <v>0</v>
      </c>
      <c r="M18" s="5">
        <f t="shared" si="2"/>
        <v>56.20173965</v>
      </c>
      <c r="N18" s="5">
        <f t="shared" si="3"/>
        <v>0</v>
      </c>
    </row>
    <row r="19" spans="1:14" x14ac:dyDescent="0.3">
      <c r="A19" s="3" t="s">
        <v>527</v>
      </c>
      <c r="B19" s="3" t="str">
        <f>Order_Sheet!A19</f>
        <v>SO-2026-0018</v>
      </c>
      <c r="C19" s="3" t="str">
        <f>Order_Sheet!D19</f>
        <v>ST-105</v>
      </c>
      <c r="D19" s="3">
        <f>Order_Sheet!F19</f>
        <v>9312</v>
      </c>
      <c r="E19" s="5">
        <f>D19*SUMPRODUCT((BOM!$B$2:$B$71=C19)*(BOM!$E$2:$E$71="Fabric")*(BOM!$N$2:$N$71="BDT")*BOM!$H$2:$H$71*(1+BOM!$I$2:$I$71)*BOM!$M$2:$M$71)</f>
        <v>36224.672286720001</v>
      </c>
      <c r="F19" s="5">
        <f>D19*SUMPRODUCT((BOM!$B$2:$B$71=C19)*(BOM!$E$2:$E$71="Fabric")*(BOM!$N$2:$N$71="USD")*BOM!$H$2:$H$71*(1+BOM!$I$2:$I$71)*BOM!$M$2:$M$71)</f>
        <v>0</v>
      </c>
      <c r="G19" s="5">
        <f>D19*SUMPRODUCT((BOM!$B$2:$B$71=C19)*(BOM!$E$2:$E$71="Accessory")*(BOM!$N$2:$N$71="BDT")*BOM!$H$2:$H$71*(1+BOM!$I$2:$I$71)*BOM!$M$2:$M$71)</f>
        <v>475573.00710528006</v>
      </c>
      <c r="H19" s="5">
        <f>D19*SUMPRODUCT((BOM!$B$2:$B$71=C19)*(BOM!$E$2:$E$71="Accessory")*(BOM!$N$2:$N$71="USD")*BOM!$H$2:$H$71*(1+BOM!$I$2:$I$71)*BOM!$M$2:$M$71)</f>
        <v>0</v>
      </c>
      <c r="I19" s="5">
        <f>D19*SUMPRODUCT((BOM!$B$2:$B$71=C19)*(BOM!$E$2:$E$71="Packing")*(BOM!$N$2:$N$71="BDT")*BOM!$H$2:$H$71*(1+BOM!$I$2:$I$71)*BOM!$M$2:$M$71)</f>
        <v>11552.9202288</v>
      </c>
      <c r="J19" s="5">
        <f>D19*SUMPRODUCT((BOM!$B$2:$B$71=C19)*(BOM!$E$2:$E$71="Packing")*(BOM!$N$2:$N$71="USD")*BOM!$H$2:$H$71*(1+BOM!$I$2:$I$71)*BOM!$M$2:$M$71)</f>
        <v>0</v>
      </c>
      <c r="K19" s="5">
        <f t="shared" si="0"/>
        <v>523350.59962080006</v>
      </c>
      <c r="L19" s="5">
        <f t="shared" si="1"/>
        <v>0</v>
      </c>
      <c r="M19" s="5">
        <f t="shared" si="2"/>
        <v>56.201739650000007</v>
      </c>
      <c r="N19" s="5">
        <f t="shared" si="3"/>
        <v>0</v>
      </c>
    </row>
    <row r="20" spans="1:14" x14ac:dyDescent="0.3">
      <c r="A20" s="3" t="s">
        <v>528</v>
      </c>
      <c r="B20" s="3" t="str">
        <f>Order_Sheet!A20</f>
        <v>SO-2026-0019</v>
      </c>
      <c r="C20" s="3" t="str">
        <f>Order_Sheet!D20</f>
        <v>ST-105</v>
      </c>
      <c r="D20" s="3">
        <f>Order_Sheet!F20</f>
        <v>9785</v>
      </c>
      <c r="E20" s="5">
        <f>D20*SUMPRODUCT((BOM!$B$2:$B$71=C20)*(BOM!$E$2:$E$71="Fabric")*(BOM!$N$2:$N$71="BDT")*BOM!$H$2:$H$71*(1+BOM!$I$2:$I$71)*BOM!$M$2:$M$71)</f>
        <v>38064.692689600008</v>
      </c>
      <c r="F20" s="5">
        <f>D20*SUMPRODUCT((BOM!$B$2:$B$71=C20)*(BOM!$E$2:$E$71="Fabric")*(BOM!$N$2:$N$71="USD")*BOM!$H$2:$H$71*(1+BOM!$I$2:$I$71)*BOM!$M$2:$M$71)</f>
        <v>0</v>
      </c>
      <c r="G20" s="5">
        <f>D20*SUMPRODUCT((BOM!$B$2:$B$71=C20)*(BOM!$E$2:$E$71="Accessory")*(BOM!$N$2:$N$71="BDT")*BOM!$H$2:$H$71*(1+BOM!$I$2:$I$71)*BOM!$M$2:$M$71)</f>
        <v>499729.58274540002</v>
      </c>
      <c r="H20" s="5">
        <f>D20*SUMPRODUCT((BOM!$B$2:$B$71=C20)*(BOM!$E$2:$E$71="Accessory")*(BOM!$N$2:$N$71="USD")*BOM!$H$2:$H$71*(1+BOM!$I$2:$I$71)*BOM!$M$2:$M$71)</f>
        <v>0</v>
      </c>
      <c r="I20" s="5">
        <f>D20*SUMPRODUCT((BOM!$B$2:$B$71=C20)*(BOM!$E$2:$E$71="Packing")*(BOM!$N$2:$N$71="BDT")*BOM!$H$2:$H$71*(1+BOM!$I$2:$I$71)*BOM!$M$2:$M$71)</f>
        <v>12139.74704025</v>
      </c>
      <c r="J20" s="5">
        <f>D20*SUMPRODUCT((BOM!$B$2:$B$71=C20)*(BOM!$E$2:$E$71="Packing")*(BOM!$N$2:$N$71="USD")*BOM!$H$2:$H$71*(1+BOM!$I$2:$I$71)*BOM!$M$2:$M$71)</f>
        <v>0</v>
      </c>
      <c r="K20" s="5">
        <f t="shared" si="0"/>
        <v>549934.02247525007</v>
      </c>
      <c r="L20" s="5">
        <f t="shared" si="1"/>
        <v>0</v>
      </c>
      <c r="M20" s="5">
        <f t="shared" si="2"/>
        <v>56.201739650000007</v>
      </c>
      <c r="N20" s="5">
        <f t="shared" si="3"/>
        <v>0</v>
      </c>
    </row>
    <row r="21" spans="1:14" x14ac:dyDescent="0.3">
      <c r="A21" s="3" t="s">
        <v>529</v>
      </c>
      <c r="B21" s="3" t="str">
        <f>Order_Sheet!A21</f>
        <v>SO-2026-0020</v>
      </c>
      <c r="C21" s="3" t="str">
        <f>Order_Sheet!D21</f>
        <v>ST-108</v>
      </c>
      <c r="D21" s="3">
        <f>Order_Sheet!F21</f>
        <v>4846</v>
      </c>
      <c r="E21" s="5">
        <f>D21*SUMPRODUCT((BOM!$B$2:$B$71=C21)*(BOM!$E$2:$E$71="Fabric")*(BOM!$N$2:$N$71="BDT")*BOM!$H$2:$H$71*(1+BOM!$I$2:$I$71)*BOM!$M$2:$M$71)</f>
        <v>7171.1924551000002</v>
      </c>
      <c r="F21" s="5">
        <f>D21*SUMPRODUCT((BOM!$B$2:$B$71=C21)*(BOM!$E$2:$E$71="Fabric")*(BOM!$N$2:$N$71="USD")*BOM!$H$2:$H$71*(1+BOM!$I$2:$I$71)*BOM!$M$2:$M$71)</f>
        <v>2125.3598430399998</v>
      </c>
      <c r="G21" s="5">
        <f>D21*SUMPRODUCT((BOM!$B$2:$B$71=C21)*(BOM!$E$2:$E$71="Accessory")*(BOM!$N$2:$N$71="BDT")*BOM!$H$2:$H$71*(1+BOM!$I$2:$I$71)*BOM!$M$2:$M$71)</f>
        <v>204050.69858823996</v>
      </c>
      <c r="H21" s="5">
        <f>D21*SUMPRODUCT((BOM!$B$2:$B$71=C21)*(BOM!$E$2:$E$71="Accessory")*(BOM!$N$2:$N$71="USD")*BOM!$H$2:$H$71*(1+BOM!$I$2:$I$71)*BOM!$M$2:$M$71)</f>
        <v>0</v>
      </c>
      <c r="I21" s="5">
        <f>D21*SUMPRODUCT((BOM!$B$2:$B$71=C21)*(BOM!$E$2:$E$71="Packing")*(BOM!$N$2:$N$71="BDT")*BOM!$H$2:$H$71*(1+BOM!$I$2:$I$71)*BOM!$M$2:$M$71)</f>
        <v>2003.0689008000002</v>
      </c>
      <c r="J21" s="5">
        <f>D21*SUMPRODUCT((BOM!$B$2:$B$71=C21)*(BOM!$E$2:$E$71="Packing")*(BOM!$N$2:$N$71="USD")*BOM!$H$2:$H$71*(1+BOM!$I$2:$I$71)*BOM!$M$2:$M$71)</f>
        <v>0</v>
      </c>
      <c r="K21" s="5">
        <f t="shared" si="0"/>
        <v>213224.95994413996</v>
      </c>
      <c r="L21" s="5">
        <f t="shared" si="1"/>
        <v>2125.3598430399998</v>
      </c>
      <c r="M21" s="5">
        <f t="shared" si="2"/>
        <v>44.000198089999991</v>
      </c>
      <c r="N21" s="5">
        <f t="shared" si="3"/>
        <v>0.43858023999999995</v>
      </c>
    </row>
    <row r="22" spans="1:14" x14ac:dyDescent="0.3">
      <c r="A22" s="3" t="s">
        <v>530</v>
      </c>
      <c r="B22" s="3" t="str">
        <f>Order_Sheet!A22</f>
        <v>SO-2026-0021</v>
      </c>
      <c r="C22" s="3" t="str">
        <f>Order_Sheet!D22</f>
        <v>ST-104</v>
      </c>
      <c r="D22" s="3">
        <f>Order_Sheet!F22</f>
        <v>7858</v>
      </c>
      <c r="E22" s="5">
        <f>D22*SUMPRODUCT((BOM!$B$2:$B$71=C22)*(BOM!$E$2:$E$71="Fabric")*(BOM!$N$2:$N$71="BDT")*BOM!$H$2:$H$71*(1+BOM!$I$2:$I$71)*BOM!$M$2:$M$71)</f>
        <v>30720.120520319993</v>
      </c>
      <c r="F22" s="5">
        <f>D22*SUMPRODUCT((BOM!$B$2:$B$71=C22)*(BOM!$E$2:$E$71="Fabric")*(BOM!$N$2:$N$71="USD")*BOM!$H$2:$H$71*(1+BOM!$I$2:$I$71)*BOM!$M$2:$M$71)</f>
        <v>7181.6240644399986</v>
      </c>
      <c r="G22" s="5">
        <f>D22*SUMPRODUCT((BOM!$B$2:$B$71=C22)*(BOM!$E$2:$E$71="Accessory")*(BOM!$N$2:$N$71="BDT")*BOM!$H$2:$H$71*(1+BOM!$I$2:$I$71)*BOM!$M$2:$M$71)</f>
        <v>230056.52029452001</v>
      </c>
      <c r="H22" s="5">
        <f>D22*SUMPRODUCT((BOM!$B$2:$B$71=C22)*(BOM!$E$2:$E$71="Accessory")*(BOM!$N$2:$N$71="USD")*BOM!$H$2:$H$71*(1+BOM!$I$2:$I$71)*BOM!$M$2:$M$71)</f>
        <v>0</v>
      </c>
      <c r="I22" s="5">
        <f>D22*SUMPRODUCT((BOM!$B$2:$B$71=C22)*(BOM!$E$2:$E$71="Packing")*(BOM!$N$2:$N$71="BDT")*BOM!$H$2:$H$71*(1+BOM!$I$2:$I$71)*BOM!$M$2:$M$71)</f>
        <v>7868.4526330199997</v>
      </c>
      <c r="J22" s="5">
        <f>D22*SUMPRODUCT((BOM!$B$2:$B$71=C22)*(BOM!$E$2:$E$71="Packing")*(BOM!$N$2:$N$71="USD")*BOM!$H$2:$H$71*(1+BOM!$I$2:$I$71)*BOM!$M$2:$M$71)</f>
        <v>0</v>
      </c>
      <c r="K22" s="5">
        <f t="shared" si="0"/>
        <v>268645.09344785998</v>
      </c>
      <c r="L22" s="5">
        <f t="shared" si="1"/>
        <v>7181.6240644399986</v>
      </c>
      <c r="M22" s="5">
        <f t="shared" si="2"/>
        <v>34.187464169999998</v>
      </c>
      <c r="N22" s="5">
        <f t="shared" si="3"/>
        <v>0.91392517999999978</v>
      </c>
    </row>
    <row r="23" spans="1:14" x14ac:dyDescent="0.3">
      <c r="A23" s="3" t="s">
        <v>531</v>
      </c>
      <c r="B23" s="3" t="str">
        <f>Order_Sheet!A23</f>
        <v>SO-2026-0022</v>
      </c>
      <c r="C23" s="3" t="str">
        <f>Order_Sheet!D23</f>
        <v>ST-105</v>
      </c>
      <c r="D23" s="3">
        <f>Order_Sheet!F23</f>
        <v>5048</v>
      </c>
      <c r="E23" s="5">
        <f>D23*SUMPRODUCT((BOM!$B$2:$B$71=C23)*(BOM!$E$2:$E$71="Fabric")*(BOM!$N$2:$N$71="BDT")*BOM!$H$2:$H$71*(1+BOM!$I$2:$I$71)*BOM!$M$2:$M$71)</f>
        <v>19637.257914880003</v>
      </c>
      <c r="F23" s="5">
        <f>D23*SUMPRODUCT((BOM!$B$2:$B$71=C23)*(BOM!$E$2:$E$71="Fabric")*(BOM!$N$2:$N$71="USD")*BOM!$H$2:$H$71*(1+BOM!$I$2:$I$71)*BOM!$M$2:$M$71)</f>
        <v>0</v>
      </c>
      <c r="G23" s="5">
        <f>D23*SUMPRODUCT((BOM!$B$2:$B$71=C23)*(BOM!$E$2:$E$71="Accessory")*(BOM!$N$2:$N$71="BDT")*BOM!$H$2:$H$71*(1+BOM!$I$2:$I$71)*BOM!$M$2:$M$71)</f>
        <v>257806.32945312001</v>
      </c>
      <c r="H23" s="5">
        <f>D23*SUMPRODUCT((BOM!$B$2:$B$71=C23)*(BOM!$E$2:$E$71="Accessory")*(BOM!$N$2:$N$71="USD")*BOM!$H$2:$H$71*(1+BOM!$I$2:$I$71)*BOM!$M$2:$M$71)</f>
        <v>0</v>
      </c>
      <c r="I23" s="5">
        <f>D23*SUMPRODUCT((BOM!$B$2:$B$71=C23)*(BOM!$E$2:$E$71="Packing")*(BOM!$N$2:$N$71="BDT")*BOM!$H$2:$H$71*(1+BOM!$I$2:$I$71)*BOM!$M$2:$M$71)</f>
        <v>6262.7943851999999</v>
      </c>
      <c r="J23" s="5">
        <f>D23*SUMPRODUCT((BOM!$B$2:$B$71=C23)*(BOM!$E$2:$E$71="Packing")*(BOM!$N$2:$N$71="USD")*BOM!$H$2:$H$71*(1+BOM!$I$2:$I$71)*BOM!$M$2:$M$71)</f>
        <v>0</v>
      </c>
      <c r="K23" s="5">
        <f t="shared" si="0"/>
        <v>283706.38175320002</v>
      </c>
      <c r="L23" s="5">
        <f t="shared" si="1"/>
        <v>0</v>
      </c>
      <c r="M23" s="5">
        <f t="shared" si="2"/>
        <v>56.201739650000007</v>
      </c>
      <c r="N23" s="5">
        <f t="shared" si="3"/>
        <v>0</v>
      </c>
    </row>
    <row r="24" spans="1:14" x14ac:dyDescent="0.3">
      <c r="A24" s="3" t="s">
        <v>532</v>
      </c>
      <c r="B24" s="3" t="str">
        <f>Order_Sheet!A24</f>
        <v>SO-2026-0023</v>
      </c>
      <c r="C24" s="3" t="str">
        <f>Order_Sheet!D24</f>
        <v>ST-109</v>
      </c>
      <c r="D24" s="3">
        <f>Order_Sheet!F24</f>
        <v>5182</v>
      </c>
      <c r="E24" s="5">
        <f>D24*SUMPRODUCT((BOM!$B$2:$B$71=C24)*(BOM!$E$2:$E$71="Fabric")*(BOM!$N$2:$N$71="BDT")*BOM!$H$2:$H$71*(1+BOM!$I$2:$I$71)*BOM!$M$2:$M$71)</f>
        <v>33945.11198568</v>
      </c>
      <c r="F24" s="5">
        <f>D24*SUMPRODUCT((BOM!$B$2:$B$71=C24)*(BOM!$E$2:$E$71="Fabric")*(BOM!$N$2:$N$71="USD")*BOM!$H$2:$H$71*(1+BOM!$I$2:$I$71)*BOM!$M$2:$M$71)</f>
        <v>0</v>
      </c>
      <c r="G24" s="5">
        <f>D24*SUMPRODUCT((BOM!$B$2:$B$71=C24)*(BOM!$E$2:$E$71="Accessory")*(BOM!$N$2:$N$71="BDT")*BOM!$H$2:$H$71*(1+BOM!$I$2:$I$71)*BOM!$M$2:$M$71)</f>
        <v>102291.90259636</v>
      </c>
      <c r="H24" s="5">
        <f>D24*SUMPRODUCT((BOM!$B$2:$B$71=C24)*(BOM!$E$2:$E$71="Accessory")*(BOM!$N$2:$N$71="USD")*BOM!$H$2:$H$71*(1+BOM!$I$2:$I$71)*BOM!$M$2:$M$71)</f>
        <v>0</v>
      </c>
      <c r="I24" s="5">
        <f>D24*SUMPRODUCT((BOM!$B$2:$B$71=C24)*(BOM!$E$2:$E$71="Packing")*(BOM!$N$2:$N$71="BDT")*BOM!$H$2:$H$71*(1+BOM!$I$2:$I$71)*BOM!$M$2:$M$71)</f>
        <v>146.53607780000002</v>
      </c>
      <c r="J24" s="5">
        <f>D24*SUMPRODUCT((BOM!$B$2:$B$71=C24)*(BOM!$E$2:$E$71="Packing")*(BOM!$N$2:$N$71="USD")*BOM!$H$2:$H$71*(1+BOM!$I$2:$I$71)*BOM!$M$2:$M$71)</f>
        <v>0</v>
      </c>
      <c r="K24" s="5">
        <f t="shared" si="0"/>
        <v>136383.55065984</v>
      </c>
      <c r="L24" s="5">
        <f t="shared" si="1"/>
        <v>0</v>
      </c>
      <c r="M24" s="5">
        <f t="shared" si="2"/>
        <v>26.318709119999998</v>
      </c>
      <c r="N24" s="5">
        <f t="shared" si="3"/>
        <v>0</v>
      </c>
    </row>
    <row r="25" spans="1:14" x14ac:dyDescent="0.3">
      <c r="A25" s="3" t="s">
        <v>533</v>
      </c>
      <c r="B25" s="3" t="str">
        <f>Order_Sheet!A25</f>
        <v>SO-2026-0024</v>
      </c>
      <c r="C25" s="3" t="str">
        <f>Order_Sheet!D25</f>
        <v>ST-101</v>
      </c>
      <c r="D25" s="3">
        <f>Order_Sheet!F25</f>
        <v>8093</v>
      </c>
      <c r="E25" s="5">
        <f>D25*SUMPRODUCT((BOM!$B$2:$B$71=C25)*(BOM!$E$2:$E$71="Fabric")*(BOM!$N$2:$N$71="BDT")*BOM!$H$2:$H$71*(1+BOM!$I$2:$I$71)*BOM!$M$2:$M$71)</f>
        <v>15793.684703160001</v>
      </c>
      <c r="F25" s="5">
        <f>D25*SUMPRODUCT((BOM!$B$2:$B$71=C25)*(BOM!$E$2:$E$71="Fabric")*(BOM!$N$2:$N$71="USD")*BOM!$H$2:$H$71*(1+BOM!$I$2:$I$71)*BOM!$M$2:$M$71)</f>
        <v>2884.80779588</v>
      </c>
      <c r="G25" s="5">
        <f>D25*SUMPRODUCT((BOM!$B$2:$B$71=C25)*(BOM!$E$2:$E$71="Accessory")*(BOM!$N$2:$N$71="BDT")*BOM!$H$2:$H$71*(1+BOM!$I$2:$I$71)*BOM!$M$2:$M$71)</f>
        <v>237475.88386026002</v>
      </c>
      <c r="H25" s="5">
        <f>D25*SUMPRODUCT((BOM!$B$2:$B$71=C25)*(BOM!$E$2:$E$71="Accessory")*(BOM!$N$2:$N$71="USD")*BOM!$H$2:$H$71*(1+BOM!$I$2:$I$71)*BOM!$M$2:$M$71)</f>
        <v>0</v>
      </c>
      <c r="I25" s="5">
        <f>D25*SUMPRODUCT((BOM!$B$2:$B$71=C25)*(BOM!$E$2:$E$71="Packing")*(BOM!$N$2:$N$71="BDT")*BOM!$H$2:$H$71*(1+BOM!$I$2:$I$71)*BOM!$M$2:$M$71)</f>
        <v>14683.87809785</v>
      </c>
      <c r="J25" s="5">
        <f>D25*SUMPRODUCT((BOM!$B$2:$B$71=C25)*(BOM!$E$2:$E$71="Packing")*(BOM!$N$2:$N$71="USD")*BOM!$H$2:$H$71*(1+BOM!$I$2:$I$71)*BOM!$M$2:$M$71)</f>
        <v>0</v>
      </c>
      <c r="K25" s="5">
        <f t="shared" si="0"/>
        <v>267953.44666126999</v>
      </c>
      <c r="L25" s="5">
        <f t="shared" si="1"/>
        <v>2884.80779588</v>
      </c>
      <c r="M25" s="5">
        <f t="shared" si="2"/>
        <v>33.109285389999997</v>
      </c>
      <c r="N25" s="5">
        <f t="shared" si="3"/>
        <v>0.35645716</v>
      </c>
    </row>
    <row r="26" spans="1:14" x14ac:dyDescent="0.3">
      <c r="A26" s="3" t="s">
        <v>534</v>
      </c>
      <c r="B26" s="3" t="str">
        <f>Order_Sheet!A26</f>
        <v>SO-2026-0025</v>
      </c>
      <c r="C26" s="3" t="str">
        <f>Order_Sheet!D26</f>
        <v>ST-103</v>
      </c>
      <c r="D26" s="3">
        <f>Order_Sheet!F26</f>
        <v>6759</v>
      </c>
      <c r="E26" s="5">
        <f>D26*SUMPRODUCT((BOM!$B$2:$B$71=C26)*(BOM!$E$2:$E$71="Fabric")*(BOM!$N$2:$N$71="BDT")*BOM!$H$2:$H$71*(1+BOM!$I$2:$I$71)*BOM!$M$2:$M$71)</f>
        <v>27199.983884040001</v>
      </c>
      <c r="F26" s="5">
        <f>D26*SUMPRODUCT((BOM!$B$2:$B$71=C26)*(BOM!$E$2:$E$71="Fabric")*(BOM!$N$2:$N$71="USD")*BOM!$H$2:$H$71*(1+BOM!$I$2:$I$71)*BOM!$M$2:$M$71)</f>
        <v>0</v>
      </c>
      <c r="G26" s="5">
        <f>D26*SUMPRODUCT((BOM!$B$2:$B$71=C26)*(BOM!$E$2:$E$71="Accessory")*(BOM!$N$2:$N$71="BDT")*BOM!$H$2:$H$71*(1+BOM!$I$2:$I$71)*BOM!$M$2:$M$71)</f>
        <v>190334.46811148999</v>
      </c>
      <c r="H26" s="5">
        <f>D26*SUMPRODUCT((BOM!$B$2:$B$71=C26)*(BOM!$E$2:$E$71="Accessory")*(BOM!$N$2:$N$71="USD")*BOM!$H$2:$H$71*(1+BOM!$I$2:$I$71)*BOM!$M$2:$M$71)</f>
        <v>0</v>
      </c>
      <c r="I26" s="5">
        <f>D26*SUMPRODUCT((BOM!$B$2:$B$71=C26)*(BOM!$E$2:$E$71="Packing")*(BOM!$N$2:$N$71="BDT")*BOM!$H$2:$H$71*(1+BOM!$I$2:$I$71)*BOM!$M$2:$M$71)</f>
        <v>6956.5431301199988</v>
      </c>
      <c r="J26" s="5">
        <f>D26*SUMPRODUCT((BOM!$B$2:$B$71=C26)*(BOM!$E$2:$E$71="Packing")*(BOM!$N$2:$N$71="USD")*BOM!$H$2:$H$71*(1+BOM!$I$2:$I$71)*BOM!$M$2:$M$71)</f>
        <v>0</v>
      </c>
      <c r="K26" s="5">
        <f t="shared" si="0"/>
        <v>224490.99512564999</v>
      </c>
      <c r="L26" s="5">
        <f t="shared" si="1"/>
        <v>0</v>
      </c>
      <c r="M26" s="5">
        <f t="shared" si="2"/>
        <v>33.213640349999999</v>
      </c>
      <c r="N26" s="5">
        <f t="shared" si="3"/>
        <v>0</v>
      </c>
    </row>
    <row r="27" spans="1:14" x14ac:dyDescent="0.3">
      <c r="A27" s="3" t="s">
        <v>535</v>
      </c>
      <c r="B27" s="3" t="str">
        <f>Order_Sheet!A27</f>
        <v>SO-2026-0026</v>
      </c>
      <c r="C27" s="3" t="str">
        <f>Order_Sheet!D27</f>
        <v>ST-109</v>
      </c>
      <c r="D27" s="3">
        <f>Order_Sheet!F27</f>
        <v>1596</v>
      </c>
      <c r="E27" s="5">
        <f>D27*SUMPRODUCT((BOM!$B$2:$B$71=C27)*(BOM!$E$2:$E$71="Fabric")*(BOM!$N$2:$N$71="BDT")*BOM!$H$2:$H$71*(1+BOM!$I$2:$I$71)*BOM!$M$2:$M$71)</f>
        <v>10454.72765904</v>
      </c>
      <c r="F27" s="5">
        <f>D27*SUMPRODUCT((BOM!$B$2:$B$71=C27)*(BOM!$E$2:$E$71="Fabric")*(BOM!$N$2:$N$71="USD")*BOM!$H$2:$H$71*(1+BOM!$I$2:$I$71)*BOM!$M$2:$M$71)</f>
        <v>0</v>
      </c>
      <c r="G27" s="5">
        <f>D27*SUMPRODUCT((BOM!$B$2:$B$71=C27)*(BOM!$E$2:$E$71="Accessory")*(BOM!$N$2:$N$71="BDT")*BOM!$H$2:$H$71*(1+BOM!$I$2:$I$71)*BOM!$M$2:$M$71)</f>
        <v>31504.800568079998</v>
      </c>
      <c r="H27" s="5">
        <f>D27*SUMPRODUCT((BOM!$B$2:$B$71=C27)*(BOM!$E$2:$E$71="Accessory")*(BOM!$N$2:$N$71="USD")*BOM!$H$2:$H$71*(1+BOM!$I$2:$I$71)*BOM!$M$2:$M$71)</f>
        <v>0</v>
      </c>
      <c r="I27" s="5">
        <f>D27*SUMPRODUCT((BOM!$B$2:$B$71=C27)*(BOM!$E$2:$E$71="Packing")*(BOM!$N$2:$N$71="BDT")*BOM!$H$2:$H$71*(1+BOM!$I$2:$I$71)*BOM!$M$2:$M$71)</f>
        <v>45.131528400000001</v>
      </c>
      <c r="J27" s="5">
        <f>D27*SUMPRODUCT((BOM!$B$2:$B$71=C27)*(BOM!$E$2:$E$71="Packing")*(BOM!$N$2:$N$71="USD")*BOM!$H$2:$H$71*(1+BOM!$I$2:$I$71)*BOM!$M$2:$M$71)</f>
        <v>0</v>
      </c>
      <c r="K27" s="5">
        <f t="shared" si="0"/>
        <v>42004.659755519999</v>
      </c>
      <c r="L27" s="5">
        <f t="shared" si="1"/>
        <v>0</v>
      </c>
      <c r="M27" s="5">
        <f t="shared" si="2"/>
        <v>26.318709119999998</v>
      </c>
      <c r="N27" s="5">
        <f t="shared" si="3"/>
        <v>0</v>
      </c>
    </row>
    <row r="28" spans="1:14" x14ac:dyDescent="0.3">
      <c r="A28" s="3" t="s">
        <v>536</v>
      </c>
      <c r="B28" s="3" t="str">
        <f>Order_Sheet!A28</f>
        <v>SO-2026-0027</v>
      </c>
      <c r="C28" s="3" t="str">
        <f>Order_Sheet!D28</f>
        <v>ST-102</v>
      </c>
      <c r="D28" s="3">
        <f>Order_Sheet!F28</f>
        <v>8326</v>
      </c>
      <c r="E28" s="5">
        <f>D28*SUMPRODUCT((BOM!$B$2:$B$71=C28)*(BOM!$E$2:$E$71="Fabric")*(BOM!$N$2:$N$71="BDT")*BOM!$H$2:$H$71*(1+BOM!$I$2:$I$71)*BOM!$M$2:$M$71)</f>
        <v>42269.609148199997</v>
      </c>
      <c r="F28" s="5">
        <f>D28*SUMPRODUCT((BOM!$B$2:$B$71=C28)*(BOM!$E$2:$E$71="Fabric")*(BOM!$N$2:$N$71="USD")*BOM!$H$2:$H$71*(1+BOM!$I$2:$I$71)*BOM!$M$2:$M$71)</f>
        <v>0</v>
      </c>
      <c r="G28" s="5">
        <f>D28*SUMPRODUCT((BOM!$B$2:$B$71=C28)*(BOM!$E$2:$E$71="Accessory")*(BOM!$N$2:$N$71="BDT")*BOM!$H$2:$H$71*(1+BOM!$I$2:$I$71)*BOM!$M$2:$M$71)</f>
        <v>112775.99987612</v>
      </c>
      <c r="H28" s="5">
        <f>D28*SUMPRODUCT((BOM!$B$2:$B$71=C28)*(BOM!$E$2:$E$71="Accessory")*(BOM!$N$2:$N$71="USD")*BOM!$H$2:$H$71*(1+BOM!$I$2:$I$71)*BOM!$M$2:$M$71)</f>
        <v>0</v>
      </c>
      <c r="I28" s="5">
        <f>D28*SUMPRODUCT((BOM!$B$2:$B$71=C28)*(BOM!$E$2:$E$71="Packing")*(BOM!$N$2:$N$71="BDT")*BOM!$H$2:$H$71*(1+BOM!$I$2:$I$71)*BOM!$M$2:$M$71)</f>
        <v>3754.6834683599996</v>
      </c>
      <c r="J28" s="5">
        <f>D28*SUMPRODUCT((BOM!$B$2:$B$71=C28)*(BOM!$E$2:$E$71="Packing")*(BOM!$N$2:$N$71="USD")*BOM!$H$2:$H$71*(1+BOM!$I$2:$I$71)*BOM!$M$2:$M$71)</f>
        <v>0</v>
      </c>
      <c r="K28" s="5">
        <f t="shared" si="0"/>
        <v>158800.29249267999</v>
      </c>
      <c r="L28" s="5">
        <f t="shared" si="1"/>
        <v>0</v>
      </c>
      <c r="M28" s="5">
        <f t="shared" si="2"/>
        <v>19.07281918</v>
      </c>
      <c r="N28" s="5">
        <f t="shared" si="3"/>
        <v>0</v>
      </c>
    </row>
    <row r="29" spans="1:14" x14ac:dyDescent="0.3">
      <c r="A29" s="3" t="s">
        <v>537</v>
      </c>
      <c r="B29" s="3" t="str">
        <f>Order_Sheet!A29</f>
        <v>SO-2026-0028</v>
      </c>
      <c r="C29" s="3" t="str">
        <f>Order_Sheet!D29</f>
        <v>ST-110</v>
      </c>
      <c r="D29" s="3">
        <f>Order_Sheet!F29</f>
        <v>7743</v>
      </c>
      <c r="E29" s="5">
        <f>D29*SUMPRODUCT((BOM!$B$2:$B$71=C29)*(BOM!$E$2:$E$71="Fabric")*(BOM!$N$2:$N$71="BDT")*BOM!$H$2:$H$71*(1+BOM!$I$2:$I$71)*BOM!$M$2:$M$71)</f>
        <v>62389.058890409993</v>
      </c>
      <c r="F29" s="5">
        <f>D29*SUMPRODUCT((BOM!$B$2:$B$71=C29)*(BOM!$E$2:$E$71="Fabric")*(BOM!$N$2:$N$71="USD")*BOM!$H$2:$H$71*(1+BOM!$I$2:$I$71)*BOM!$M$2:$M$71)</f>
        <v>0</v>
      </c>
      <c r="G29" s="5">
        <f>D29*SUMPRODUCT((BOM!$B$2:$B$71=C29)*(BOM!$E$2:$E$71="Accessory")*(BOM!$N$2:$N$71="BDT")*BOM!$H$2:$H$71*(1+BOM!$I$2:$I$71)*BOM!$M$2:$M$71)</f>
        <v>157648.52158836002</v>
      </c>
      <c r="H29" s="5">
        <f>D29*SUMPRODUCT((BOM!$B$2:$B$71=C29)*(BOM!$E$2:$E$71="Accessory")*(BOM!$N$2:$N$71="USD")*BOM!$H$2:$H$71*(1+BOM!$I$2:$I$71)*BOM!$M$2:$M$71)</f>
        <v>0</v>
      </c>
      <c r="I29" s="5">
        <f>D29*SUMPRODUCT((BOM!$B$2:$B$71=C29)*(BOM!$E$2:$E$71="Packing")*(BOM!$N$2:$N$71="BDT")*BOM!$H$2:$H$71*(1+BOM!$I$2:$I$71)*BOM!$M$2:$M$71)</f>
        <v>30108.41376354</v>
      </c>
      <c r="J29" s="5">
        <f>D29*SUMPRODUCT((BOM!$B$2:$B$71=C29)*(BOM!$E$2:$E$71="Packing")*(BOM!$N$2:$N$71="USD")*BOM!$H$2:$H$71*(1+BOM!$I$2:$I$71)*BOM!$M$2:$M$71)</f>
        <v>0</v>
      </c>
      <c r="K29" s="5">
        <f t="shared" si="0"/>
        <v>250145.99424231003</v>
      </c>
      <c r="L29" s="5">
        <f t="shared" si="1"/>
        <v>0</v>
      </c>
      <c r="M29" s="5">
        <f t="shared" si="2"/>
        <v>32.306082170000003</v>
      </c>
      <c r="N29" s="5">
        <f t="shared" si="3"/>
        <v>0</v>
      </c>
    </row>
    <row r="30" spans="1:14" x14ac:dyDescent="0.3">
      <c r="A30" s="3" t="s">
        <v>538</v>
      </c>
      <c r="B30" s="3" t="str">
        <f>Order_Sheet!A30</f>
        <v>SO-2026-0029</v>
      </c>
      <c r="C30" s="3" t="str">
        <f>Order_Sheet!D30</f>
        <v>ST-110</v>
      </c>
      <c r="D30" s="3">
        <f>Order_Sheet!F30</f>
        <v>9672</v>
      </c>
      <c r="E30" s="5">
        <f>D30*SUMPRODUCT((BOM!$B$2:$B$71=C30)*(BOM!$E$2:$E$71="Fabric")*(BOM!$N$2:$N$71="BDT")*BOM!$H$2:$H$71*(1+BOM!$I$2:$I$71)*BOM!$M$2:$M$71)</f>
        <v>77931.935630639986</v>
      </c>
      <c r="F30" s="5">
        <f>D30*SUMPRODUCT((BOM!$B$2:$B$71=C30)*(BOM!$E$2:$E$71="Fabric")*(BOM!$N$2:$N$71="USD")*BOM!$H$2:$H$71*(1+BOM!$I$2:$I$71)*BOM!$M$2:$M$71)</f>
        <v>0</v>
      </c>
      <c r="G30" s="5">
        <f>D30*SUMPRODUCT((BOM!$B$2:$B$71=C30)*(BOM!$E$2:$E$71="Accessory")*(BOM!$N$2:$N$71="BDT")*BOM!$H$2:$H$71*(1+BOM!$I$2:$I$71)*BOM!$M$2:$M$71)</f>
        <v>196923.22107744002</v>
      </c>
      <c r="H30" s="5">
        <f>D30*SUMPRODUCT((BOM!$B$2:$B$71=C30)*(BOM!$E$2:$E$71="Accessory")*(BOM!$N$2:$N$71="USD")*BOM!$H$2:$H$71*(1+BOM!$I$2:$I$71)*BOM!$M$2:$M$71)</f>
        <v>0</v>
      </c>
      <c r="I30" s="5">
        <f>D30*SUMPRODUCT((BOM!$B$2:$B$71=C30)*(BOM!$E$2:$E$71="Packing")*(BOM!$N$2:$N$71="BDT")*BOM!$H$2:$H$71*(1+BOM!$I$2:$I$71)*BOM!$M$2:$M$71)</f>
        <v>37609.270040160001</v>
      </c>
      <c r="J30" s="5">
        <f>D30*SUMPRODUCT((BOM!$B$2:$B$71=C30)*(BOM!$E$2:$E$71="Packing")*(BOM!$N$2:$N$71="USD")*BOM!$H$2:$H$71*(1+BOM!$I$2:$I$71)*BOM!$M$2:$M$71)</f>
        <v>0</v>
      </c>
      <c r="K30" s="5">
        <f t="shared" si="0"/>
        <v>312464.42674823996</v>
      </c>
      <c r="L30" s="5">
        <f t="shared" si="1"/>
        <v>0</v>
      </c>
      <c r="M30" s="5">
        <f t="shared" si="2"/>
        <v>32.306082169999996</v>
      </c>
      <c r="N30" s="5">
        <f t="shared" si="3"/>
        <v>0</v>
      </c>
    </row>
    <row r="31" spans="1:14" x14ac:dyDescent="0.3">
      <c r="A31" s="3" t="s">
        <v>539</v>
      </c>
      <c r="B31" s="3" t="str">
        <f>Order_Sheet!A31</f>
        <v>SO-2026-0030</v>
      </c>
      <c r="C31" s="3" t="str">
        <f>Order_Sheet!D31</f>
        <v>ST-102</v>
      </c>
      <c r="D31" s="3">
        <f>Order_Sheet!F31</f>
        <v>9850</v>
      </c>
      <c r="E31" s="5">
        <f>D31*SUMPRODUCT((BOM!$B$2:$B$71=C31)*(BOM!$E$2:$E$71="Fabric")*(BOM!$N$2:$N$71="BDT")*BOM!$H$2:$H$71*(1+BOM!$I$2:$I$71)*BOM!$M$2:$M$71)</f>
        <v>50006.683895000002</v>
      </c>
      <c r="F31" s="5">
        <f>D31*SUMPRODUCT((BOM!$B$2:$B$71=C31)*(BOM!$E$2:$E$71="Fabric")*(BOM!$N$2:$N$71="USD")*BOM!$H$2:$H$71*(1+BOM!$I$2:$I$71)*BOM!$M$2:$M$71)</f>
        <v>0</v>
      </c>
      <c r="G31" s="5">
        <f>D31*SUMPRODUCT((BOM!$B$2:$B$71=C31)*(BOM!$E$2:$E$71="Accessory")*(BOM!$N$2:$N$71="BDT")*BOM!$H$2:$H$71*(1+BOM!$I$2:$I$71)*BOM!$M$2:$M$71)</f>
        <v>133418.64025699999</v>
      </c>
      <c r="H31" s="5">
        <f>D31*SUMPRODUCT((BOM!$B$2:$B$71=C31)*(BOM!$E$2:$E$71="Accessory")*(BOM!$N$2:$N$71="USD")*BOM!$H$2:$H$71*(1+BOM!$I$2:$I$71)*BOM!$M$2:$M$71)</f>
        <v>0</v>
      </c>
      <c r="I31" s="5">
        <f>D31*SUMPRODUCT((BOM!$B$2:$B$71=C31)*(BOM!$E$2:$E$71="Packing")*(BOM!$N$2:$N$71="BDT")*BOM!$H$2:$H$71*(1+BOM!$I$2:$I$71)*BOM!$M$2:$M$71)</f>
        <v>4441.9447709999995</v>
      </c>
      <c r="J31" s="5">
        <f>D31*SUMPRODUCT((BOM!$B$2:$B$71=C31)*(BOM!$E$2:$E$71="Packing")*(BOM!$N$2:$N$71="USD")*BOM!$H$2:$H$71*(1+BOM!$I$2:$I$71)*BOM!$M$2:$M$71)</f>
        <v>0</v>
      </c>
      <c r="K31" s="5">
        <f t="shared" si="0"/>
        <v>187867.268923</v>
      </c>
      <c r="L31" s="5">
        <f t="shared" si="1"/>
        <v>0</v>
      </c>
      <c r="M31" s="5">
        <f t="shared" si="2"/>
        <v>19.07281918</v>
      </c>
      <c r="N31" s="5">
        <f t="shared" si="3"/>
        <v>0</v>
      </c>
    </row>
    <row r="32" spans="1:14" x14ac:dyDescent="0.3">
      <c r="A32" s="3" t="s">
        <v>540</v>
      </c>
      <c r="B32" s="3" t="str">
        <f>Order_Sheet!A32</f>
        <v>SO-2026-0031</v>
      </c>
      <c r="C32" s="3" t="str">
        <f>Order_Sheet!D32</f>
        <v>ST-106</v>
      </c>
      <c r="D32" s="3">
        <f>Order_Sheet!F32</f>
        <v>10153</v>
      </c>
      <c r="E32" s="5">
        <f>D32*SUMPRODUCT((BOM!$B$2:$B$71=C32)*(BOM!$E$2:$E$71="Fabric")*(BOM!$N$2:$N$71="BDT")*BOM!$H$2:$H$71*(1+BOM!$I$2:$I$71)*BOM!$M$2:$M$71)</f>
        <v>48673.819079600005</v>
      </c>
      <c r="F32" s="5">
        <f>D32*SUMPRODUCT((BOM!$B$2:$B$71=C32)*(BOM!$E$2:$E$71="Fabric")*(BOM!$N$2:$N$71="USD")*BOM!$H$2:$H$71*(1+BOM!$I$2:$I$71)*BOM!$M$2:$M$71)</f>
        <v>0</v>
      </c>
      <c r="G32" s="5">
        <f>D32*SUMPRODUCT((BOM!$B$2:$B$71=C32)*(BOM!$E$2:$E$71="Accessory")*(BOM!$N$2:$N$71="BDT")*BOM!$H$2:$H$71*(1+BOM!$I$2:$I$71)*BOM!$M$2:$M$71)</f>
        <v>339303.35716991994</v>
      </c>
      <c r="H32" s="5">
        <f>D32*SUMPRODUCT((BOM!$B$2:$B$71=C32)*(BOM!$E$2:$E$71="Accessory")*(BOM!$N$2:$N$71="USD")*BOM!$H$2:$H$71*(1+BOM!$I$2:$I$71)*BOM!$M$2:$M$71)</f>
        <v>0</v>
      </c>
      <c r="I32" s="5">
        <f>D32*SUMPRODUCT((BOM!$B$2:$B$71=C32)*(BOM!$E$2:$E$71="Packing")*(BOM!$N$2:$N$71="BDT")*BOM!$H$2:$H$71*(1+BOM!$I$2:$I$71)*BOM!$M$2:$M$71)</f>
        <v>21000.405601890001</v>
      </c>
      <c r="J32" s="5">
        <f>D32*SUMPRODUCT((BOM!$B$2:$B$71=C32)*(BOM!$E$2:$E$71="Packing")*(BOM!$N$2:$N$71="USD")*BOM!$H$2:$H$71*(1+BOM!$I$2:$I$71)*BOM!$M$2:$M$71)</f>
        <v>0</v>
      </c>
      <c r="K32" s="5">
        <f t="shared" si="0"/>
        <v>408977.58185140992</v>
      </c>
      <c r="L32" s="5">
        <f t="shared" si="1"/>
        <v>0</v>
      </c>
      <c r="M32" s="5">
        <f t="shared" si="2"/>
        <v>40.281451969999992</v>
      </c>
      <c r="N32" s="5">
        <f t="shared" si="3"/>
        <v>0</v>
      </c>
    </row>
    <row r="33" spans="1:14" x14ac:dyDescent="0.3">
      <c r="A33" s="3" t="s">
        <v>541</v>
      </c>
      <c r="B33" s="3" t="str">
        <f>Order_Sheet!A33</f>
        <v>SO-2026-0032</v>
      </c>
      <c r="C33" s="3" t="str">
        <f>Order_Sheet!D33</f>
        <v>ST-104</v>
      </c>
      <c r="D33" s="3">
        <f>Order_Sheet!F33</f>
        <v>11479</v>
      </c>
      <c r="E33" s="5">
        <f>D33*SUMPRODUCT((BOM!$B$2:$B$71=C33)*(BOM!$E$2:$E$71="Fabric")*(BOM!$N$2:$N$71="BDT")*BOM!$H$2:$H$71*(1+BOM!$I$2:$I$71)*BOM!$M$2:$M$71)</f>
        <v>44876.083412159991</v>
      </c>
      <c r="F33" s="5">
        <f>D33*SUMPRODUCT((BOM!$B$2:$B$71=C33)*(BOM!$E$2:$E$71="Fabric")*(BOM!$N$2:$N$71="USD")*BOM!$H$2:$H$71*(1+BOM!$I$2:$I$71)*BOM!$M$2:$M$71)</f>
        <v>10490.947141219998</v>
      </c>
      <c r="G33" s="5">
        <f>D33*SUMPRODUCT((BOM!$B$2:$B$71=C33)*(BOM!$E$2:$E$71="Accessory")*(BOM!$N$2:$N$71="BDT")*BOM!$H$2:$H$71*(1+BOM!$I$2:$I$71)*BOM!$M$2:$M$71)</f>
        <v>336067.54854426003</v>
      </c>
      <c r="H33" s="5">
        <f>D33*SUMPRODUCT((BOM!$B$2:$B$71=C33)*(BOM!$E$2:$E$71="Accessory")*(BOM!$N$2:$N$71="USD")*BOM!$H$2:$H$71*(1+BOM!$I$2:$I$71)*BOM!$M$2:$M$71)</f>
        <v>0</v>
      </c>
      <c r="I33" s="5">
        <f>D33*SUMPRODUCT((BOM!$B$2:$B$71=C33)*(BOM!$E$2:$E$71="Packing")*(BOM!$N$2:$N$71="BDT")*BOM!$H$2:$H$71*(1+BOM!$I$2:$I$71)*BOM!$M$2:$M$71)</f>
        <v>11494.269251010001</v>
      </c>
      <c r="J33" s="5">
        <f>D33*SUMPRODUCT((BOM!$B$2:$B$71=C33)*(BOM!$E$2:$E$71="Packing")*(BOM!$N$2:$N$71="USD")*BOM!$H$2:$H$71*(1+BOM!$I$2:$I$71)*BOM!$M$2:$M$71)</f>
        <v>0</v>
      </c>
      <c r="K33" s="5">
        <f t="shared" si="0"/>
        <v>392437.90120743</v>
      </c>
      <c r="L33" s="5">
        <f t="shared" si="1"/>
        <v>10490.947141219998</v>
      </c>
      <c r="M33" s="5">
        <f t="shared" si="2"/>
        <v>34.187464169999998</v>
      </c>
      <c r="N33" s="5">
        <f t="shared" si="3"/>
        <v>0.91392517999999989</v>
      </c>
    </row>
    <row r="34" spans="1:14" x14ac:dyDescent="0.3">
      <c r="A34" s="3" t="s">
        <v>542</v>
      </c>
      <c r="B34" s="3" t="str">
        <f>Order_Sheet!A34</f>
        <v>SO-2026-0033</v>
      </c>
      <c r="C34" s="3" t="str">
        <f>Order_Sheet!D34</f>
        <v>ST-102</v>
      </c>
      <c r="D34" s="3">
        <f>Order_Sheet!F34</f>
        <v>7357</v>
      </c>
      <c r="E34" s="5">
        <f>D34*SUMPRODUCT((BOM!$B$2:$B$71=C34)*(BOM!$E$2:$E$71="Fabric")*(BOM!$N$2:$N$71="BDT")*BOM!$H$2:$H$71*(1+BOM!$I$2:$I$71)*BOM!$M$2:$M$71)</f>
        <v>37350.169889899997</v>
      </c>
      <c r="F34" s="5">
        <f>D34*SUMPRODUCT((BOM!$B$2:$B$71=C34)*(BOM!$E$2:$E$71="Fabric")*(BOM!$N$2:$N$71="USD")*BOM!$H$2:$H$71*(1+BOM!$I$2:$I$71)*BOM!$M$2:$M$71)</f>
        <v>0</v>
      </c>
      <c r="G34" s="5">
        <f>D34*SUMPRODUCT((BOM!$B$2:$B$71=C34)*(BOM!$E$2:$E$71="Accessory")*(BOM!$N$2:$N$71="BDT")*BOM!$H$2:$H$71*(1+BOM!$I$2:$I$71)*BOM!$M$2:$M$71)</f>
        <v>99650.856484339994</v>
      </c>
      <c r="H34" s="5">
        <f>D34*SUMPRODUCT((BOM!$B$2:$B$71=C34)*(BOM!$E$2:$E$71="Accessory")*(BOM!$N$2:$N$71="USD")*BOM!$H$2:$H$71*(1+BOM!$I$2:$I$71)*BOM!$M$2:$M$71)</f>
        <v>0</v>
      </c>
      <c r="I34" s="5">
        <f>D34*SUMPRODUCT((BOM!$B$2:$B$71=C34)*(BOM!$E$2:$E$71="Packing")*(BOM!$N$2:$N$71="BDT")*BOM!$H$2:$H$71*(1+BOM!$I$2:$I$71)*BOM!$M$2:$M$71)</f>
        <v>3317.7043330199999</v>
      </c>
      <c r="J34" s="5">
        <f>D34*SUMPRODUCT((BOM!$B$2:$B$71=C34)*(BOM!$E$2:$E$71="Packing")*(BOM!$N$2:$N$71="USD")*BOM!$H$2:$H$71*(1+BOM!$I$2:$I$71)*BOM!$M$2:$M$71)</f>
        <v>0</v>
      </c>
      <c r="K34" s="5">
        <f t="shared" ref="K34:K65" si="4">SUM(E34,G34,I34)</f>
        <v>140318.73070725999</v>
      </c>
      <c r="L34" s="5">
        <f t="shared" ref="L34:L65" si="5">SUM(F34,H34,J34)</f>
        <v>0</v>
      </c>
      <c r="M34" s="5">
        <f t="shared" ref="M34:M65" si="6">IFERROR(K34/D34,0)</f>
        <v>19.07281918</v>
      </c>
      <c r="N34" s="5">
        <f t="shared" ref="N34:N65" si="7">IFERROR(L34/D34,0)</f>
        <v>0</v>
      </c>
    </row>
    <row r="35" spans="1:14" x14ac:dyDescent="0.3">
      <c r="A35" s="3" t="s">
        <v>543</v>
      </c>
      <c r="B35" s="3" t="str">
        <f>Order_Sheet!A35</f>
        <v>SO-2026-0034</v>
      </c>
      <c r="C35" s="3" t="str">
        <f>Order_Sheet!D35</f>
        <v>ST-109</v>
      </c>
      <c r="D35" s="3">
        <f>Order_Sheet!F35</f>
        <v>5174</v>
      </c>
      <c r="E35" s="5">
        <f>D35*SUMPRODUCT((BOM!$B$2:$B$71=C35)*(BOM!$E$2:$E$71="Fabric")*(BOM!$N$2:$N$71="BDT")*BOM!$H$2:$H$71*(1+BOM!$I$2:$I$71)*BOM!$M$2:$M$71)</f>
        <v>33892.707335759995</v>
      </c>
      <c r="F35" s="5">
        <f>D35*SUMPRODUCT((BOM!$B$2:$B$71=C35)*(BOM!$E$2:$E$71="Fabric")*(BOM!$N$2:$N$71="USD")*BOM!$H$2:$H$71*(1+BOM!$I$2:$I$71)*BOM!$M$2:$M$71)</f>
        <v>0</v>
      </c>
      <c r="G35" s="5">
        <f>D35*SUMPRODUCT((BOM!$B$2:$B$71=C35)*(BOM!$E$2:$E$71="Accessory")*(BOM!$N$2:$N$71="BDT")*BOM!$H$2:$H$71*(1+BOM!$I$2:$I$71)*BOM!$M$2:$M$71)</f>
        <v>102133.98379652</v>
      </c>
      <c r="H35" s="5">
        <f>D35*SUMPRODUCT((BOM!$B$2:$B$71=C35)*(BOM!$E$2:$E$71="Accessory")*(BOM!$N$2:$N$71="USD")*BOM!$H$2:$H$71*(1+BOM!$I$2:$I$71)*BOM!$M$2:$M$71)</f>
        <v>0</v>
      </c>
      <c r="I35" s="5">
        <f>D35*SUMPRODUCT((BOM!$B$2:$B$71=C35)*(BOM!$E$2:$E$71="Packing")*(BOM!$N$2:$N$71="BDT")*BOM!$H$2:$H$71*(1+BOM!$I$2:$I$71)*BOM!$M$2:$M$71)</f>
        <v>146.30985460000002</v>
      </c>
      <c r="J35" s="5">
        <f>D35*SUMPRODUCT((BOM!$B$2:$B$71=C35)*(BOM!$E$2:$E$71="Packing")*(BOM!$N$2:$N$71="USD")*BOM!$H$2:$H$71*(1+BOM!$I$2:$I$71)*BOM!$M$2:$M$71)</f>
        <v>0</v>
      </c>
      <c r="K35" s="5">
        <f t="shared" si="4"/>
        <v>136173.00098687998</v>
      </c>
      <c r="L35" s="5">
        <f t="shared" si="5"/>
        <v>0</v>
      </c>
      <c r="M35" s="5">
        <f t="shared" si="6"/>
        <v>26.318709119999998</v>
      </c>
      <c r="N35" s="5">
        <f t="shared" si="7"/>
        <v>0</v>
      </c>
    </row>
    <row r="36" spans="1:14" x14ac:dyDescent="0.3">
      <c r="A36" s="3" t="s">
        <v>544</v>
      </c>
      <c r="B36" s="3" t="str">
        <f>Order_Sheet!A36</f>
        <v>SO-2026-0035</v>
      </c>
      <c r="C36" s="3" t="str">
        <f>Order_Sheet!D36</f>
        <v>ST-110</v>
      </c>
      <c r="D36" s="3">
        <f>Order_Sheet!F36</f>
        <v>7852</v>
      </c>
      <c r="E36" s="5">
        <f>D36*SUMPRODUCT((BOM!$B$2:$B$71=C36)*(BOM!$E$2:$E$71="Fabric")*(BOM!$N$2:$N$71="BDT")*BOM!$H$2:$H$71*(1+BOM!$I$2:$I$71)*BOM!$M$2:$M$71)</f>
        <v>63267.324087239991</v>
      </c>
      <c r="F36" s="5">
        <f>D36*SUMPRODUCT((BOM!$B$2:$B$71=C36)*(BOM!$E$2:$E$71="Fabric")*(BOM!$N$2:$N$71="USD")*BOM!$H$2:$H$71*(1+BOM!$I$2:$I$71)*BOM!$M$2:$M$71)</f>
        <v>0</v>
      </c>
      <c r="G36" s="5">
        <f>D36*SUMPRODUCT((BOM!$B$2:$B$71=C36)*(BOM!$E$2:$E$71="Accessory")*(BOM!$N$2:$N$71="BDT")*BOM!$H$2:$H$71*(1+BOM!$I$2:$I$71)*BOM!$M$2:$M$71)</f>
        <v>159867.77625104002</v>
      </c>
      <c r="H36" s="5">
        <f>D36*SUMPRODUCT((BOM!$B$2:$B$71=C36)*(BOM!$E$2:$E$71="Accessory")*(BOM!$N$2:$N$71="USD")*BOM!$H$2:$H$71*(1+BOM!$I$2:$I$71)*BOM!$M$2:$M$71)</f>
        <v>0</v>
      </c>
      <c r="I36" s="5">
        <f>D36*SUMPRODUCT((BOM!$B$2:$B$71=C36)*(BOM!$E$2:$E$71="Packing")*(BOM!$N$2:$N$71="BDT")*BOM!$H$2:$H$71*(1+BOM!$I$2:$I$71)*BOM!$M$2:$M$71)</f>
        <v>30532.256860560003</v>
      </c>
      <c r="J36" s="5">
        <f>D36*SUMPRODUCT((BOM!$B$2:$B$71=C36)*(BOM!$E$2:$E$71="Packing")*(BOM!$N$2:$N$71="USD")*BOM!$H$2:$H$71*(1+BOM!$I$2:$I$71)*BOM!$M$2:$M$71)</f>
        <v>0</v>
      </c>
      <c r="K36" s="5">
        <f t="shared" si="4"/>
        <v>253667.35719884004</v>
      </c>
      <c r="L36" s="5">
        <f t="shared" si="5"/>
        <v>0</v>
      </c>
      <c r="M36" s="5">
        <f t="shared" si="6"/>
        <v>32.306082170000003</v>
      </c>
      <c r="N36" s="5">
        <f t="shared" si="7"/>
        <v>0</v>
      </c>
    </row>
    <row r="37" spans="1:14" x14ac:dyDescent="0.3">
      <c r="A37" s="3" t="s">
        <v>545</v>
      </c>
      <c r="B37" s="3" t="str">
        <f>Order_Sheet!A37</f>
        <v>SO-2026-0036</v>
      </c>
      <c r="C37" s="3" t="str">
        <f>Order_Sheet!D37</f>
        <v>ST-103</v>
      </c>
      <c r="D37" s="3">
        <f>Order_Sheet!F37</f>
        <v>11193</v>
      </c>
      <c r="E37" s="5">
        <f>D37*SUMPRODUCT((BOM!$B$2:$B$71=C37)*(BOM!$E$2:$E$71="Fabric")*(BOM!$N$2:$N$71="BDT")*BOM!$H$2:$H$71*(1+BOM!$I$2:$I$71)*BOM!$M$2:$M$71)</f>
        <v>45043.559641080006</v>
      </c>
      <c r="F37" s="5">
        <f>D37*SUMPRODUCT((BOM!$B$2:$B$71=C37)*(BOM!$E$2:$E$71="Fabric")*(BOM!$N$2:$N$71="USD")*BOM!$H$2:$H$71*(1+BOM!$I$2:$I$71)*BOM!$M$2:$M$71)</f>
        <v>0</v>
      </c>
      <c r="G37" s="5">
        <f>D37*SUMPRODUCT((BOM!$B$2:$B$71=C37)*(BOM!$E$2:$E$71="Accessory")*(BOM!$N$2:$N$71="BDT")*BOM!$H$2:$H$71*(1+BOM!$I$2:$I$71)*BOM!$M$2:$M$71)</f>
        <v>315196.58256722998</v>
      </c>
      <c r="H37" s="5">
        <f>D37*SUMPRODUCT((BOM!$B$2:$B$71=C37)*(BOM!$E$2:$E$71="Accessory")*(BOM!$N$2:$N$71="USD")*BOM!$H$2:$H$71*(1+BOM!$I$2:$I$71)*BOM!$M$2:$M$71)</f>
        <v>0</v>
      </c>
      <c r="I37" s="5">
        <f>D37*SUMPRODUCT((BOM!$B$2:$B$71=C37)*(BOM!$E$2:$E$71="Packing")*(BOM!$N$2:$N$71="BDT")*BOM!$H$2:$H$71*(1+BOM!$I$2:$I$71)*BOM!$M$2:$M$71)</f>
        <v>11520.134229239999</v>
      </c>
      <c r="J37" s="5">
        <f>D37*SUMPRODUCT((BOM!$B$2:$B$71=C37)*(BOM!$E$2:$E$71="Packing")*(BOM!$N$2:$N$71="USD")*BOM!$H$2:$H$71*(1+BOM!$I$2:$I$71)*BOM!$M$2:$M$71)</f>
        <v>0</v>
      </c>
      <c r="K37" s="5">
        <f t="shared" si="4"/>
        <v>371760.27643754997</v>
      </c>
      <c r="L37" s="5">
        <f t="shared" si="5"/>
        <v>0</v>
      </c>
      <c r="M37" s="5">
        <f t="shared" si="6"/>
        <v>33.213640349999999</v>
      </c>
      <c r="N37" s="5">
        <f t="shared" si="7"/>
        <v>0</v>
      </c>
    </row>
    <row r="38" spans="1:14" x14ac:dyDescent="0.3">
      <c r="A38" s="3" t="s">
        <v>546</v>
      </c>
      <c r="B38" s="3" t="str">
        <f>Order_Sheet!A38</f>
        <v>SO-2026-0037</v>
      </c>
      <c r="C38" s="3" t="str">
        <f>Order_Sheet!D38</f>
        <v>ST-102</v>
      </c>
      <c r="D38" s="3">
        <f>Order_Sheet!F38</f>
        <v>8139</v>
      </c>
      <c r="E38" s="5">
        <f>D38*SUMPRODUCT((BOM!$B$2:$B$71=C38)*(BOM!$E$2:$E$71="Fabric")*(BOM!$N$2:$N$71="BDT")*BOM!$H$2:$H$71*(1+BOM!$I$2:$I$71)*BOM!$M$2:$M$71)</f>
        <v>41320.243677300001</v>
      </c>
      <c r="F38" s="5">
        <f>D38*SUMPRODUCT((BOM!$B$2:$B$71=C38)*(BOM!$E$2:$E$71="Fabric")*(BOM!$N$2:$N$71="USD")*BOM!$H$2:$H$71*(1+BOM!$I$2:$I$71)*BOM!$M$2:$M$71)</f>
        <v>0</v>
      </c>
      <c r="G38" s="5">
        <f>D38*SUMPRODUCT((BOM!$B$2:$B$71=C38)*(BOM!$E$2:$E$71="Accessory")*(BOM!$N$2:$N$71="BDT")*BOM!$H$2:$H$71*(1+BOM!$I$2:$I$71)*BOM!$M$2:$M$71)</f>
        <v>110243.07746717999</v>
      </c>
      <c r="H38" s="5">
        <f>D38*SUMPRODUCT((BOM!$B$2:$B$71=C38)*(BOM!$E$2:$E$71="Accessory")*(BOM!$N$2:$N$71="USD")*BOM!$H$2:$H$71*(1+BOM!$I$2:$I$71)*BOM!$M$2:$M$71)</f>
        <v>0</v>
      </c>
      <c r="I38" s="5">
        <f>D38*SUMPRODUCT((BOM!$B$2:$B$71=C38)*(BOM!$E$2:$E$71="Packing")*(BOM!$N$2:$N$71="BDT")*BOM!$H$2:$H$71*(1+BOM!$I$2:$I$71)*BOM!$M$2:$M$71)</f>
        <v>3670.3541615399995</v>
      </c>
      <c r="J38" s="5">
        <f>D38*SUMPRODUCT((BOM!$B$2:$B$71=C38)*(BOM!$E$2:$E$71="Packing")*(BOM!$N$2:$N$71="USD")*BOM!$H$2:$H$71*(1+BOM!$I$2:$I$71)*BOM!$M$2:$M$71)</f>
        <v>0</v>
      </c>
      <c r="K38" s="5">
        <f t="shared" si="4"/>
        <v>155233.67530601998</v>
      </c>
      <c r="L38" s="5">
        <f t="shared" si="5"/>
        <v>0</v>
      </c>
      <c r="M38" s="5">
        <f t="shared" si="6"/>
        <v>19.07281918</v>
      </c>
      <c r="N38" s="5">
        <f t="shared" si="7"/>
        <v>0</v>
      </c>
    </row>
    <row r="39" spans="1:14" x14ac:dyDescent="0.3">
      <c r="A39" s="3" t="s">
        <v>547</v>
      </c>
      <c r="B39" s="3" t="str">
        <f>Order_Sheet!A39</f>
        <v>SO-2026-0038</v>
      </c>
      <c r="C39" s="3" t="str">
        <f>Order_Sheet!D39</f>
        <v>ST-108</v>
      </c>
      <c r="D39" s="3">
        <f>Order_Sheet!F39</f>
        <v>7076</v>
      </c>
      <c r="E39" s="5">
        <f>D39*SUMPRODUCT((BOM!$B$2:$B$71=C39)*(BOM!$E$2:$E$71="Fabric")*(BOM!$N$2:$N$71="BDT")*BOM!$H$2:$H$71*(1+BOM!$I$2:$I$71)*BOM!$M$2:$M$71)</f>
        <v>10471.184030599999</v>
      </c>
      <c r="F39" s="5">
        <f>D39*SUMPRODUCT((BOM!$B$2:$B$71=C39)*(BOM!$E$2:$E$71="Fabric")*(BOM!$N$2:$N$71="USD")*BOM!$H$2:$H$71*(1+BOM!$I$2:$I$71)*BOM!$M$2:$M$71)</f>
        <v>3103.3937782399998</v>
      </c>
      <c r="G39" s="5">
        <f>D39*SUMPRODUCT((BOM!$B$2:$B$71=C39)*(BOM!$E$2:$E$71="Accessory")*(BOM!$N$2:$N$71="BDT")*BOM!$H$2:$H$71*(1+BOM!$I$2:$I$71)*BOM!$M$2:$M$71)</f>
        <v>297949.38984943996</v>
      </c>
      <c r="H39" s="5">
        <f>D39*SUMPRODUCT((BOM!$B$2:$B$71=C39)*(BOM!$E$2:$E$71="Accessory")*(BOM!$N$2:$N$71="USD")*BOM!$H$2:$H$71*(1+BOM!$I$2:$I$71)*BOM!$M$2:$M$71)</f>
        <v>0</v>
      </c>
      <c r="I39" s="5">
        <f>D39*SUMPRODUCT((BOM!$B$2:$B$71=C39)*(BOM!$E$2:$E$71="Packing")*(BOM!$N$2:$N$71="BDT")*BOM!$H$2:$H$71*(1+BOM!$I$2:$I$71)*BOM!$M$2:$M$71)</f>
        <v>2924.8278048000002</v>
      </c>
      <c r="J39" s="5">
        <f>D39*SUMPRODUCT((BOM!$B$2:$B$71=C39)*(BOM!$E$2:$E$71="Packing")*(BOM!$N$2:$N$71="USD")*BOM!$H$2:$H$71*(1+BOM!$I$2:$I$71)*BOM!$M$2:$M$71)</f>
        <v>0</v>
      </c>
      <c r="K39" s="5">
        <f t="shared" si="4"/>
        <v>311345.40168483998</v>
      </c>
      <c r="L39" s="5">
        <f t="shared" si="5"/>
        <v>3103.3937782399998</v>
      </c>
      <c r="M39" s="5">
        <f t="shared" si="6"/>
        <v>44.000198089999998</v>
      </c>
      <c r="N39" s="5">
        <f t="shared" si="7"/>
        <v>0.43858023999999995</v>
      </c>
    </row>
    <row r="40" spans="1:14" x14ac:dyDescent="0.3">
      <c r="A40" s="3" t="s">
        <v>548</v>
      </c>
      <c r="B40" s="3" t="str">
        <f>Order_Sheet!A40</f>
        <v>SO-2026-0039</v>
      </c>
      <c r="C40" s="3" t="str">
        <f>Order_Sheet!D40</f>
        <v>ST-104</v>
      </c>
      <c r="D40" s="3">
        <f>Order_Sheet!F40</f>
        <v>3093</v>
      </c>
      <c r="E40" s="5">
        <f>D40*SUMPRODUCT((BOM!$B$2:$B$71=C40)*(BOM!$E$2:$E$71="Fabric")*(BOM!$N$2:$N$71="BDT")*BOM!$H$2:$H$71*(1+BOM!$I$2:$I$71)*BOM!$M$2:$M$71)</f>
        <v>12091.795974719997</v>
      </c>
      <c r="F40" s="5">
        <f>D40*SUMPRODUCT((BOM!$B$2:$B$71=C40)*(BOM!$E$2:$E$71="Fabric")*(BOM!$N$2:$N$71="USD")*BOM!$H$2:$H$71*(1+BOM!$I$2:$I$71)*BOM!$M$2:$M$71)</f>
        <v>2826.7705817399992</v>
      </c>
      <c r="G40" s="5">
        <f>D40*SUMPRODUCT((BOM!$B$2:$B$71=C40)*(BOM!$E$2:$E$71="Accessory")*(BOM!$N$2:$N$71="BDT")*BOM!$H$2:$H$71*(1+BOM!$I$2:$I$71)*BOM!$M$2:$M$71)</f>
        <v>90552.916425420015</v>
      </c>
      <c r="H40" s="5">
        <f>D40*SUMPRODUCT((BOM!$B$2:$B$71=C40)*(BOM!$E$2:$E$71="Accessory")*(BOM!$N$2:$N$71="USD")*BOM!$H$2:$H$71*(1+BOM!$I$2:$I$71)*BOM!$M$2:$M$71)</f>
        <v>0</v>
      </c>
      <c r="I40" s="5">
        <f>D40*SUMPRODUCT((BOM!$B$2:$B$71=C40)*(BOM!$E$2:$E$71="Packing")*(BOM!$N$2:$N$71="BDT")*BOM!$H$2:$H$71*(1+BOM!$I$2:$I$71)*BOM!$M$2:$M$71)</f>
        <v>3097.1142776699999</v>
      </c>
      <c r="J40" s="5">
        <f>D40*SUMPRODUCT((BOM!$B$2:$B$71=C40)*(BOM!$E$2:$E$71="Packing")*(BOM!$N$2:$N$71="USD")*BOM!$H$2:$H$71*(1+BOM!$I$2:$I$71)*BOM!$M$2:$M$71)</f>
        <v>0</v>
      </c>
      <c r="K40" s="5">
        <f t="shared" si="4"/>
        <v>105741.82667781001</v>
      </c>
      <c r="L40" s="5">
        <f t="shared" si="5"/>
        <v>2826.7705817399992</v>
      </c>
      <c r="M40" s="5">
        <f t="shared" si="6"/>
        <v>34.187464170000005</v>
      </c>
      <c r="N40" s="5">
        <f t="shared" si="7"/>
        <v>0.91392517999999978</v>
      </c>
    </row>
    <row r="41" spans="1:14" x14ac:dyDescent="0.3">
      <c r="A41" s="3" t="s">
        <v>549</v>
      </c>
      <c r="B41" s="3" t="str">
        <f>Order_Sheet!A41</f>
        <v>SO-2026-0040</v>
      </c>
      <c r="C41" s="3" t="str">
        <f>Order_Sheet!D41</f>
        <v>ST-104</v>
      </c>
      <c r="D41" s="3">
        <f>Order_Sheet!F41</f>
        <v>2353</v>
      </c>
      <c r="E41" s="5">
        <f>D41*SUMPRODUCT((BOM!$B$2:$B$71=C41)*(BOM!$E$2:$E$71="Fabric")*(BOM!$N$2:$N$71="BDT")*BOM!$H$2:$H$71*(1+BOM!$I$2:$I$71)*BOM!$M$2:$M$71)</f>
        <v>9198.8347651199983</v>
      </c>
      <c r="F41" s="5">
        <f>D41*SUMPRODUCT((BOM!$B$2:$B$71=C41)*(BOM!$E$2:$E$71="Fabric")*(BOM!$N$2:$N$71="USD")*BOM!$H$2:$H$71*(1+BOM!$I$2:$I$71)*BOM!$M$2:$M$71)</f>
        <v>2150.4659485399993</v>
      </c>
      <c r="G41" s="5">
        <f>D41*SUMPRODUCT((BOM!$B$2:$B$71=C41)*(BOM!$E$2:$E$71="Accessory")*(BOM!$N$2:$N$71="BDT")*BOM!$H$2:$H$71*(1+BOM!$I$2:$I$71)*BOM!$M$2:$M$71)</f>
        <v>68888.138489820005</v>
      </c>
      <c r="H41" s="5">
        <f>D41*SUMPRODUCT((BOM!$B$2:$B$71=C41)*(BOM!$E$2:$E$71="Accessory")*(BOM!$N$2:$N$71="USD")*BOM!$H$2:$H$71*(1+BOM!$I$2:$I$71)*BOM!$M$2:$M$71)</f>
        <v>0</v>
      </c>
      <c r="I41" s="5">
        <f>D41*SUMPRODUCT((BOM!$B$2:$B$71=C41)*(BOM!$E$2:$E$71="Packing")*(BOM!$N$2:$N$71="BDT")*BOM!$H$2:$H$71*(1+BOM!$I$2:$I$71)*BOM!$M$2:$M$71)</f>
        <v>2356.1299370699999</v>
      </c>
      <c r="J41" s="5">
        <f>D41*SUMPRODUCT((BOM!$B$2:$B$71=C41)*(BOM!$E$2:$E$71="Packing")*(BOM!$N$2:$N$71="USD")*BOM!$H$2:$H$71*(1+BOM!$I$2:$I$71)*BOM!$M$2:$M$71)</f>
        <v>0</v>
      </c>
      <c r="K41" s="5">
        <f t="shared" si="4"/>
        <v>80443.103192010007</v>
      </c>
      <c r="L41" s="5">
        <f t="shared" si="5"/>
        <v>2150.4659485399993</v>
      </c>
      <c r="M41" s="5">
        <f t="shared" si="6"/>
        <v>34.187464170000005</v>
      </c>
      <c r="N41" s="5">
        <f t="shared" si="7"/>
        <v>0.91392517999999967</v>
      </c>
    </row>
    <row r="42" spans="1:14" x14ac:dyDescent="0.3">
      <c r="A42" s="3" t="s">
        <v>550</v>
      </c>
      <c r="B42" s="3" t="str">
        <f>Order_Sheet!A42</f>
        <v>SO-2026-0041</v>
      </c>
      <c r="C42" s="3" t="str">
        <f>Order_Sheet!D42</f>
        <v>ST-105</v>
      </c>
      <c r="D42" s="3">
        <f>Order_Sheet!F42</f>
        <v>9483</v>
      </c>
      <c r="E42" s="5">
        <f>D42*SUMPRODUCT((BOM!$B$2:$B$71=C42)*(BOM!$E$2:$E$71="Fabric")*(BOM!$N$2:$N$71="BDT")*BOM!$H$2:$H$71*(1+BOM!$I$2:$I$71)*BOM!$M$2:$M$71)</f>
        <v>36889.880508480004</v>
      </c>
      <c r="F42" s="5">
        <f>D42*SUMPRODUCT((BOM!$B$2:$B$71=C42)*(BOM!$E$2:$E$71="Fabric")*(BOM!$N$2:$N$71="USD")*BOM!$H$2:$H$71*(1+BOM!$I$2:$I$71)*BOM!$M$2:$M$71)</f>
        <v>0</v>
      </c>
      <c r="G42" s="5">
        <f>D42*SUMPRODUCT((BOM!$B$2:$B$71=C42)*(BOM!$E$2:$E$71="Accessory")*(BOM!$N$2:$N$71="BDT")*BOM!$H$2:$H$71*(1+BOM!$I$2:$I$71)*BOM!$M$2:$M$71)</f>
        <v>484306.14544452005</v>
      </c>
      <c r="H42" s="5">
        <f>D42*SUMPRODUCT((BOM!$B$2:$B$71=C42)*(BOM!$E$2:$E$71="Accessory")*(BOM!$N$2:$N$71="USD")*BOM!$H$2:$H$71*(1+BOM!$I$2:$I$71)*BOM!$M$2:$M$71)</f>
        <v>0</v>
      </c>
      <c r="I42" s="5">
        <f>D42*SUMPRODUCT((BOM!$B$2:$B$71=C42)*(BOM!$E$2:$E$71="Packing")*(BOM!$N$2:$N$71="BDT")*BOM!$H$2:$H$71*(1+BOM!$I$2:$I$71)*BOM!$M$2:$M$71)</f>
        <v>11765.071147950001</v>
      </c>
      <c r="J42" s="5">
        <f>D42*SUMPRODUCT((BOM!$B$2:$B$71=C42)*(BOM!$E$2:$E$71="Packing")*(BOM!$N$2:$N$71="USD")*BOM!$H$2:$H$71*(1+BOM!$I$2:$I$71)*BOM!$M$2:$M$71)</f>
        <v>0</v>
      </c>
      <c r="K42" s="5">
        <f t="shared" si="4"/>
        <v>532961.09710095008</v>
      </c>
      <c r="L42" s="5">
        <f t="shared" si="5"/>
        <v>0</v>
      </c>
      <c r="M42" s="5">
        <f t="shared" si="6"/>
        <v>56.201739650000007</v>
      </c>
      <c r="N42" s="5">
        <f t="shared" si="7"/>
        <v>0</v>
      </c>
    </row>
    <row r="43" spans="1:14" x14ac:dyDescent="0.3">
      <c r="A43" s="3" t="s">
        <v>551</v>
      </c>
      <c r="B43" s="3" t="str">
        <f>Order_Sheet!A43</f>
        <v>SO-2026-0042</v>
      </c>
      <c r="C43" s="3" t="str">
        <f>Order_Sheet!D43</f>
        <v>ST-103</v>
      </c>
      <c r="D43" s="3">
        <f>Order_Sheet!F43</f>
        <v>9553</v>
      </c>
      <c r="E43" s="5">
        <f>D43*SUMPRODUCT((BOM!$B$2:$B$71=C43)*(BOM!$E$2:$E$71="Fabric")*(BOM!$N$2:$N$71="BDT")*BOM!$H$2:$H$71*(1+BOM!$I$2:$I$71)*BOM!$M$2:$M$71)</f>
        <v>38443.770682680006</v>
      </c>
      <c r="F43" s="5">
        <f>D43*SUMPRODUCT((BOM!$B$2:$B$71=C43)*(BOM!$E$2:$E$71="Fabric")*(BOM!$N$2:$N$71="USD")*BOM!$H$2:$H$71*(1+BOM!$I$2:$I$71)*BOM!$M$2:$M$71)</f>
        <v>0</v>
      </c>
      <c r="G43" s="5">
        <f>D43*SUMPRODUCT((BOM!$B$2:$B$71=C43)*(BOM!$E$2:$E$71="Accessory")*(BOM!$N$2:$N$71="BDT")*BOM!$H$2:$H$71*(1+BOM!$I$2:$I$71)*BOM!$M$2:$M$71)</f>
        <v>269013.93310682999</v>
      </c>
      <c r="H43" s="5">
        <f>D43*SUMPRODUCT((BOM!$B$2:$B$71=C43)*(BOM!$E$2:$E$71="Accessory")*(BOM!$N$2:$N$71="USD")*BOM!$H$2:$H$71*(1+BOM!$I$2:$I$71)*BOM!$M$2:$M$71)</f>
        <v>0</v>
      </c>
      <c r="I43" s="5">
        <f>D43*SUMPRODUCT((BOM!$B$2:$B$71=C43)*(BOM!$E$2:$E$71="Packing")*(BOM!$N$2:$N$71="BDT")*BOM!$H$2:$H$71*(1+BOM!$I$2:$I$71)*BOM!$M$2:$M$71)</f>
        <v>9832.2024740399993</v>
      </c>
      <c r="J43" s="5">
        <f>D43*SUMPRODUCT((BOM!$B$2:$B$71=C43)*(BOM!$E$2:$E$71="Packing")*(BOM!$N$2:$N$71="USD")*BOM!$H$2:$H$71*(1+BOM!$I$2:$I$71)*BOM!$M$2:$M$71)</f>
        <v>0</v>
      </c>
      <c r="K43" s="5">
        <f t="shared" si="4"/>
        <v>317289.90626354999</v>
      </c>
      <c r="L43" s="5">
        <f t="shared" si="5"/>
        <v>0</v>
      </c>
      <c r="M43" s="5">
        <f t="shared" si="6"/>
        <v>33.213640349999999</v>
      </c>
      <c r="N43" s="5">
        <f t="shared" si="7"/>
        <v>0</v>
      </c>
    </row>
    <row r="44" spans="1:14" x14ac:dyDescent="0.3">
      <c r="A44" s="3" t="s">
        <v>552</v>
      </c>
      <c r="B44" s="3" t="str">
        <f>Order_Sheet!A44</f>
        <v>SO-2026-0043</v>
      </c>
      <c r="C44" s="3" t="str">
        <f>Order_Sheet!D44</f>
        <v>ST-105</v>
      </c>
      <c r="D44" s="3">
        <f>Order_Sheet!F44</f>
        <v>8032</v>
      </c>
      <c r="E44" s="5">
        <f>D44*SUMPRODUCT((BOM!$B$2:$B$71=C44)*(BOM!$E$2:$E$71="Fabric")*(BOM!$N$2:$N$71="BDT")*BOM!$H$2:$H$71*(1+BOM!$I$2:$I$71)*BOM!$M$2:$M$71)</f>
        <v>31245.335889920003</v>
      </c>
      <c r="F44" s="5">
        <f>D44*SUMPRODUCT((BOM!$B$2:$B$71=C44)*(BOM!$E$2:$E$71="Fabric")*(BOM!$N$2:$N$71="USD")*BOM!$H$2:$H$71*(1+BOM!$I$2:$I$71)*BOM!$M$2:$M$71)</f>
        <v>0</v>
      </c>
      <c r="G44" s="5">
        <f>D44*SUMPRODUCT((BOM!$B$2:$B$71=C44)*(BOM!$E$2:$E$71="Accessory")*(BOM!$N$2:$N$71="BDT")*BOM!$H$2:$H$71*(1+BOM!$I$2:$I$71)*BOM!$M$2:$M$71)</f>
        <v>410202.14702208003</v>
      </c>
      <c r="H44" s="5">
        <f>D44*SUMPRODUCT((BOM!$B$2:$B$71=C44)*(BOM!$E$2:$E$71="Accessory")*(BOM!$N$2:$N$71="USD")*BOM!$H$2:$H$71*(1+BOM!$I$2:$I$71)*BOM!$M$2:$M$71)</f>
        <v>0</v>
      </c>
      <c r="I44" s="5">
        <f>D44*SUMPRODUCT((BOM!$B$2:$B$71=C44)*(BOM!$E$2:$E$71="Packing")*(BOM!$N$2:$N$71="BDT")*BOM!$H$2:$H$71*(1+BOM!$I$2:$I$71)*BOM!$M$2:$M$71)</f>
        <v>9964.8899567999997</v>
      </c>
      <c r="J44" s="5">
        <f>D44*SUMPRODUCT((BOM!$B$2:$B$71=C44)*(BOM!$E$2:$E$71="Packing")*(BOM!$N$2:$N$71="USD")*BOM!$H$2:$H$71*(1+BOM!$I$2:$I$71)*BOM!$M$2:$M$71)</f>
        <v>0</v>
      </c>
      <c r="K44" s="5">
        <f t="shared" si="4"/>
        <v>451412.37286880001</v>
      </c>
      <c r="L44" s="5">
        <f t="shared" si="5"/>
        <v>0</v>
      </c>
      <c r="M44" s="5">
        <f t="shared" si="6"/>
        <v>56.20173965</v>
      </c>
      <c r="N44" s="5">
        <f t="shared" si="7"/>
        <v>0</v>
      </c>
    </row>
    <row r="45" spans="1:14" x14ac:dyDescent="0.3">
      <c r="A45" s="3" t="s">
        <v>553</v>
      </c>
      <c r="B45" s="3" t="str">
        <f>Order_Sheet!A45</f>
        <v>SO-2026-0044</v>
      </c>
      <c r="C45" s="3" t="str">
        <f>Order_Sheet!D45</f>
        <v>ST-107</v>
      </c>
      <c r="D45" s="3">
        <f>Order_Sheet!F45</f>
        <v>11036</v>
      </c>
      <c r="E45" s="5">
        <f>D45*SUMPRODUCT((BOM!$B$2:$B$71=C45)*(BOM!$E$2:$E$71="Fabric")*(BOM!$N$2:$N$71="BDT")*BOM!$H$2:$H$71*(1+BOM!$I$2:$I$71)*BOM!$M$2:$M$71)</f>
        <v>95094.472313000006</v>
      </c>
      <c r="F45" s="5">
        <f>D45*SUMPRODUCT((BOM!$B$2:$B$71=C45)*(BOM!$E$2:$E$71="Fabric")*(BOM!$N$2:$N$71="USD")*BOM!$H$2:$H$71*(1+BOM!$I$2:$I$71)*BOM!$M$2:$M$71)</f>
        <v>0</v>
      </c>
      <c r="G45" s="5">
        <f>D45*SUMPRODUCT((BOM!$B$2:$B$71=C45)*(BOM!$E$2:$E$71="Accessory")*(BOM!$N$2:$N$71="BDT")*BOM!$H$2:$H$71*(1+BOM!$I$2:$I$71)*BOM!$M$2:$M$71)</f>
        <v>321849.29602855997</v>
      </c>
      <c r="H45" s="5">
        <f>D45*SUMPRODUCT((BOM!$B$2:$B$71=C45)*(BOM!$E$2:$E$71="Accessory")*(BOM!$N$2:$N$71="USD")*BOM!$H$2:$H$71*(1+BOM!$I$2:$I$71)*BOM!$M$2:$M$71)</f>
        <v>0</v>
      </c>
      <c r="I45" s="5">
        <f>D45*SUMPRODUCT((BOM!$B$2:$B$71=C45)*(BOM!$E$2:$E$71="Packing")*(BOM!$N$2:$N$71="BDT")*BOM!$H$2:$H$71*(1+BOM!$I$2:$I$71)*BOM!$M$2:$M$71)</f>
        <v>11390.575644</v>
      </c>
      <c r="J45" s="5">
        <f>D45*SUMPRODUCT((BOM!$B$2:$B$71=C45)*(BOM!$E$2:$E$71="Packing")*(BOM!$N$2:$N$71="USD")*BOM!$H$2:$H$71*(1+BOM!$I$2:$I$71)*BOM!$M$2:$M$71)</f>
        <v>0</v>
      </c>
      <c r="K45" s="5">
        <f t="shared" si="4"/>
        <v>428334.34398556</v>
      </c>
      <c r="L45" s="5">
        <f t="shared" si="5"/>
        <v>0</v>
      </c>
      <c r="M45" s="5">
        <f t="shared" si="6"/>
        <v>38.812463209999997</v>
      </c>
      <c r="N45" s="5">
        <f t="shared" si="7"/>
        <v>0</v>
      </c>
    </row>
    <row r="46" spans="1:14" x14ac:dyDescent="0.3">
      <c r="A46" s="3" t="s">
        <v>554</v>
      </c>
      <c r="B46" s="3" t="str">
        <f>Order_Sheet!A46</f>
        <v>SO-2026-0045</v>
      </c>
      <c r="C46" s="3" t="str">
        <f>Order_Sheet!D46</f>
        <v>ST-108</v>
      </c>
      <c r="D46" s="3">
        <f>Order_Sheet!F46</f>
        <v>1567</v>
      </c>
      <c r="E46" s="5">
        <f>D46*SUMPRODUCT((BOM!$B$2:$B$71=C46)*(BOM!$E$2:$E$71="Fabric")*(BOM!$N$2:$N$71="BDT")*BOM!$H$2:$H$71*(1+BOM!$I$2:$I$71)*BOM!$M$2:$M$71)</f>
        <v>2318.8730039500001</v>
      </c>
      <c r="F46" s="5">
        <f>D46*SUMPRODUCT((BOM!$B$2:$B$71=C46)*(BOM!$E$2:$E$71="Fabric")*(BOM!$N$2:$N$71="USD")*BOM!$H$2:$H$71*(1+BOM!$I$2:$I$71)*BOM!$M$2:$M$71)</f>
        <v>687.25523607999992</v>
      </c>
      <c r="G46" s="5">
        <f>D46*SUMPRODUCT((BOM!$B$2:$B$71=C46)*(BOM!$E$2:$E$71="Accessory")*(BOM!$N$2:$N$71="BDT")*BOM!$H$2:$H$71*(1+BOM!$I$2:$I$71)*BOM!$M$2:$M$71)</f>
        <v>65981.726101479988</v>
      </c>
      <c r="H46" s="5">
        <f>D46*SUMPRODUCT((BOM!$B$2:$B$71=C46)*(BOM!$E$2:$E$71="Accessory")*(BOM!$N$2:$N$71="USD")*BOM!$H$2:$H$71*(1+BOM!$I$2:$I$71)*BOM!$M$2:$M$71)</f>
        <v>0</v>
      </c>
      <c r="I46" s="5">
        <f>D46*SUMPRODUCT((BOM!$B$2:$B$71=C46)*(BOM!$E$2:$E$71="Packing")*(BOM!$N$2:$N$71="BDT")*BOM!$H$2:$H$71*(1+BOM!$I$2:$I$71)*BOM!$M$2:$M$71)</f>
        <v>647.71130160000007</v>
      </c>
      <c r="J46" s="5">
        <f>D46*SUMPRODUCT((BOM!$B$2:$B$71=C46)*(BOM!$E$2:$E$71="Packing")*(BOM!$N$2:$N$71="USD")*BOM!$H$2:$H$71*(1+BOM!$I$2:$I$71)*BOM!$M$2:$M$71)</f>
        <v>0</v>
      </c>
      <c r="K46" s="5">
        <f t="shared" si="4"/>
        <v>68948.310407029974</v>
      </c>
      <c r="L46" s="5">
        <f t="shared" si="5"/>
        <v>687.25523607999992</v>
      </c>
      <c r="M46" s="5">
        <f t="shared" si="6"/>
        <v>44.000198089999984</v>
      </c>
      <c r="N46" s="5">
        <f t="shared" si="7"/>
        <v>0.43858023999999995</v>
      </c>
    </row>
    <row r="47" spans="1:14" x14ac:dyDescent="0.3">
      <c r="A47" s="3" t="s">
        <v>555</v>
      </c>
      <c r="B47" s="3" t="str">
        <f>Order_Sheet!A47</f>
        <v>SO-2026-0046</v>
      </c>
      <c r="C47" s="3" t="str">
        <f>Order_Sheet!D47</f>
        <v>ST-110</v>
      </c>
      <c r="D47" s="3">
        <f>Order_Sheet!F47</f>
        <v>10342</v>
      </c>
      <c r="E47" s="5">
        <f>D47*SUMPRODUCT((BOM!$B$2:$B$71=C47)*(BOM!$E$2:$E$71="Fabric")*(BOM!$N$2:$N$71="BDT")*BOM!$H$2:$H$71*(1+BOM!$I$2:$I$71)*BOM!$M$2:$M$71)</f>
        <v>83330.446473539982</v>
      </c>
      <c r="F47" s="5">
        <f>D47*SUMPRODUCT((BOM!$B$2:$B$71=C47)*(BOM!$E$2:$E$71="Fabric")*(BOM!$N$2:$N$71="USD")*BOM!$H$2:$H$71*(1+BOM!$I$2:$I$71)*BOM!$M$2:$M$71)</f>
        <v>0</v>
      </c>
      <c r="G47" s="5">
        <f>D47*SUMPRODUCT((BOM!$B$2:$B$71=C47)*(BOM!$E$2:$E$71="Accessory")*(BOM!$N$2:$N$71="BDT")*BOM!$H$2:$H$71*(1+BOM!$I$2:$I$71)*BOM!$M$2:$M$71)</f>
        <v>210564.51120584004</v>
      </c>
      <c r="H47" s="5">
        <f>D47*SUMPRODUCT((BOM!$B$2:$B$71=C47)*(BOM!$E$2:$E$71="Accessory")*(BOM!$N$2:$N$71="USD")*BOM!$H$2:$H$71*(1+BOM!$I$2:$I$71)*BOM!$M$2:$M$71)</f>
        <v>0</v>
      </c>
      <c r="I47" s="5">
        <f>D47*SUMPRODUCT((BOM!$B$2:$B$71=C47)*(BOM!$E$2:$E$71="Packing")*(BOM!$N$2:$N$71="BDT")*BOM!$H$2:$H$71*(1+BOM!$I$2:$I$71)*BOM!$M$2:$M$71)</f>
        <v>40214.544122760002</v>
      </c>
      <c r="J47" s="5">
        <f>D47*SUMPRODUCT((BOM!$B$2:$B$71=C47)*(BOM!$E$2:$E$71="Packing")*(BOM!$N$2:$N$71="USD")*BOM!$H$2:$H$71*(1+BOM!$I$2:$I$71)*BOM!$M$2:$M$71)</f>
        <v>0</v>
      </c>
      <c r="K47" s="5">
        <f t="shared" si="4"/>
        <v>334109.50180214003</v>
      </c>
      <c r="L47" s="5">
        <f t="shared" si="5"/>
        <v>0</v>
      </c>
      <c r="M47" s="5">
        <f t="shared" si="6"/>
        <v>32.306082170000003</v>
      </c>
      <c r="N47" s="5">
        <f t="shared" si="7"/>
        <v>0</v>
      </c>
    </row>
    <row r="48" spans="1:14" x14ac:dyDescent="0.3">
      <c r="A48" s="3" t="s">
        <v>556</v>
      </c>
      <c r="B48" s="3" t="str">
        <f>Order_Sheet!A48</f>
        <v>SO-2026-0047</v>
      </c>
      <c r="C48" s="3" t="str">
        <f>Order_Sheet!D48</f>
        <v>ST-110</v>
      </c>
      <c r="D48" s="3">
        <f>Order_Sheet!F48</f>
        <v>2257</v>
      </c>
      <c r="E48" s="5">
        <f>D48*SUMPRODUCT((BOM!$B$2:$B$71=C48)*(BOM!$E$2:$E$71="Fabric")*(BOM!$N$2:$N$71="BDT")*BOM!$H$2:$H$71*(1+BOM!$I$2:$I$71)*BOM!$M$2:$M$71)</f>
        <v>18185.729809589997</v>
      </c>
      <c r="F48" s="5">
        <f>D48*SUMPRODUCT((BOM!$B$2:$B$71=C48)*(BOM!$E$2:$E$71="Fabric")*(BOM!$N$2:$N$71="USD")*BOM!$H$2:$H$71*(1+BOM!$I$2:$I$71)*BOM!$M$2:$M$71)</f>
        <v>0</v>
      </c>
      <c r="G48" s="5">
        <f>D48*SUMPRODUCT((BOM!$B$2:$B$71=C48)*(BOM!$E$2:$E$71="Accessory")*(BOM!$N$2:$N$71="BDT")*BOM!$H$2:$H$71*(1+BOM!$I$2:$I$71)*BOM!$M$2:$M$71)</f>
        <v>45952.823611640008</v>
      </c>
      <c r="H48" s="5">
        <f>D48*SUMPRODUCT((BOM!$B$2:$B$71=C48)*(BOM!$E$2:$E$71="Accessory")*(BOM!$N$2:$N$71="USD")*BOM!$H$2:$H$71*(1+BOM!$I$2:$I$71)*BOM!$M$2:$M$71)</f>
        <v>0</v>
      </c>
      <c r="I48" s="5">
        <f>D48*SUMPRODUCT((BOM!$B$2:$B$71=C48)*(BOM!$E$2:$E$71="Packing")*(BOM!$N$2:$N$71="BDT")*BOM!$H$2:$H$71*(1+BOM!$I$2:$I$71)*BOM!$M$2:$M$71)</f>
        <v>8776.2740364600013</v>
      </c>
      <c r="J48" s="5">
        <f>D48*SUMPRODUCT((BOM!$B$2:$B$71=C48)*(BOM!$E$2:$E$71="Packing")*(BOM!$N$2:$N$71="USD")*BOM!$H$2:$H$71*(1+BOM!$I$2:$I$71)*BOM!$M$2:$M$71)</f>
        <v>0</v>
      </c>
      <c r="K48" s="5">
        <f t="shared" si="4"/>
        <v>72914.82745769</v>
      </c>
      <c r="L48" s="5">
        <f t="shared" si="5"/>
        <v>0</v>
      </c>
      <c r="M48" s="5">
        <f t="shared" si="6"/>
        <v>32.306082170000003</v>
      </c>
      <c r="N48" s="5">
        <f t="shared" si="7"/>
        <v>0</v>
      </c>
    </row>
    <row r="49" spans="1:14" x14ac:dyDescent="0.3">
      <c r="A49" s="3" t="s">
        <v>557</v>
      </c>
      <c r="B49" s="3" t="str">
        <f>Order_Sheet!A49</f>
        <v>SO-2026-0048</v>
      </c>
      <c r="C49" s="3" t="str">
        <f>Order_Sheet!D49</f>
        <v>ST-108</v>
      </c>
      <c r="D49" s="3">
        <f>Order_Sheet!F49</f>
        <v>6149</v>
      </c>
      <c r="E49" s="5">
        <f>D49*SUMPRODUCT((BOM!$B$2:$B$71=C49)*(BOM!$E$2:$E$71="Fabric")*(BOM!$N$2:$N$71="BDT")*BOM!$H$2:$H$71*(1+BOM!$I$2:$I$71)*BOM!$M$2:$M$71)</f>
        <v>9099.3938106499991</v>
      </c>
      <c r="F49" s="5">
        <f>D49*SUMPRODUCT((BOM!$B$2:$B$71=C49)*(BOM!$E$2:$E$71="Fabric")*(BOM!$N$2:$N$71="USD")*BOM!$H$2:$H$71*(1+BOM!$I$2:$I$71)*BOM!$M$2:$M$71)</f>
        <v>2696.8298957599995</v>
      </c>
      <c r="G49" s="5">
        <f>D49*SUMPRODUCT((BOM!$B$2:$B$71=C49)*(BOM!$E$2:$E$71="Accessory")*(BOM!$N$2:$N$71="BDT")*BOM!$H$2:$H$71*(1+BOM!$I$2:$I$71)*BOM!$M$2:$M$71)</f>
        <v>258916.16706955998</v>
      </c>
      <c r="H49" s="5">
        <f>D49*SUMPRODUCT((BOM!$B$2:$B$71=C49)*(BOM!$E$2:$E$71="Accessory")*(BOM!$N$2:$N$71="USD")*BOM!$H$2:$H$71*(1+BOM!$I$2:$I$71)*BOM!$M$2:$M$71)</f>
        <v>0</v>
      </c>
      <c r="I49" s="5">
        <f>D49*SUMPRODUCT((BOM!$B$2:$B$71=C49)*(BOM!$E$2:$E$71="Packing")*(BOM!$N$2:$N$71="BDT")*BOM!$H$2:$H$71*(1+BOM!$I$2:$I$71)*BOM!$M$2:$M$71)</f>
        <v>2541.6571752</v>
      </c>
      <c r="J49" s="5">
        <f>D49*SUMPRODUCT((BOM!$B$2:$B$71=C49)*(BOM!$E$2:$E$71="Packing")*(BOM!$N$2:$N$71="USD")*BOM!$H$2:$H$71*(1+BOM!$I$2:$I$71)*BOM!$M$2:$M$71)</f>
        <v>0</v>
      </c>
      <c r="K49" s="5">
        <f t="shared" si="4"/>
        <v>270557.21805540996</v>
      </c>
      <c r="L49" s="5">
        <f t="shared" si="5"/>
        <v>2696.8298957599995</v>
      </c>
      <c r="M49" s="5">
        <f t="shared" si="6"/>
        <v>44.000198089999991</v>
      </c>
      <c r="N49" s="5">
        <f t="shared" si="7"/>
        <v>0.4385802399999999</v>
      </c>
    </row>
    <row r="50" spans="1:14" x14ac:dyDescent="0.3">
      <c r="A50" s="3" t="s">
        <v>558</v>
      </c>
      <c r="B50" s="3" t="str">
        <f>Order_Sheet!A50</f>
        <v>SO-2026-0049</v>
      </c>
      <c r="C50" s="3" t="str">
        <f>Order_Sheet!D50</f>
        <v>ST-105</v>
      </c>
      <c r="D50" s="3">
        <f>Order_Sheet!F50</f>
        <v>11316</v>
      </c>
      <c r="E50" s="5">
        <f>D50*SUMPRODUCT((BOM!$B$2:$B$71=C50)*(BOM!$E$2:$E$71="Fabric")*(BOM!$N$2:$N$71="BDT")*BOM!$H$2:$H$71*(1+BOM!$I$2:$I$71)*BOM!$M$2:$M$71)</f>
        <v>44020.445832960002</v>
      </c>
      <c r="F50" s="5">
        <f>D50*SUMPRODUCT((BOM!$B$2:$B$71=C50)*(BOM!$E$2:$E$71="Fabric")*(BOM!$N$2:$N$71="USD")*BOM!$H$2:$H$71*(1+BOM!$I$2:$I$71)*BOM!$M$2:$M$71)</f>
        <v>0</v>
      </c>
      <c r="G50" s="5">
        <f>D50*SUMPRODUCT((BOM!$B$2:$B$71=C50)*(BOM!$E$2:$E$71="Accessory")*(BOM!$N$2:$N$71="BDT")*BOM!$H$2:$H$71*(1+BOM!$I$2:$I$71)*BOM!$M$2:$M$71)</f>
        <v>577919.25992304005</v>
      </c>
      <c r="H50" s="5">
        <f>D50*SUMPRODUCT((BOM!$B$2:$B$71=C50)*(BOM!$E$2:$E$71="Accessory")*(BOM!$N$2:$N$71="USD")*BOM!$H$2:$H$71*(1+BOM!$I$2:$I$71)*BOM!$M$2:$M$71)</f>
        <v>0</v>
      </c>
      <c r="I50" s="5">
        <f>D50*SUMPRODUCT((BOM!$B$2:$B$71=C50)*(BOM!$E$2:$E$71="Packing")*(BOM!$N$2:$N$71="BDT")*BOM!$H$2:$H$71*(1+BOM!$I$2:$I$71)*BOM!$M$2:$M$71)</f>
        <v>14039.1801234</v>
      </c>
      <c r="J50" s="5">
        <f>D50*SUMPRODUCT((BOM!$B$2:$B$71=C50)*(BOM!$E$2:$E$71="Packing")*(BOM!$N$2:$N$71="USD")*BOM!$H$2:$H$71*(1+BOM!$I$2:$I$71)*BOM!$M$2:$M$71)</f>
        <v>0</v>
      </c>
      <c r="K50" s="5">
        <f t="shared" si="4"/>
        <v>635978.88587939995</v>
      </c>
      <c r="L50" s="5">
        <f t="shared" si="5"/>
        <v>0</v>
      </c>
      <c r="M50" s="5">
        <f t="shared" si="6"/>
        <v>56.201739649999993</v>
      </c>
      <c r="N50" s="5">
        <f t="shared" si="7"/>
        <v>0</v>
      </c>
    </row>
    <row r="51" spans="1:14" x14ac:dyDescent="0.3">
      <c r="A51" s="3" t="s">
        <v>559</v>
      </c>
      <c r="B51" s="3" t="str">
        <f>Order_Sheet!A51</f>
        <v>SO-2026-0050</v>
      </c>
      <c r="C51" s="3" t="str">
        <f>Order_Sheet!D51</f>
        <v>ST-103</v>
      </c>
      <c r="D51" s="3">
        <f>Order_Sheet!F51</f>
        <v>2721</v>
      </c>
      <c r="E51" s="5">
        <f>D51*SUMPRODUCT((BOM!$B$2:$B$71=C51)*(BOM!$E$2:$E$71="Fabric")*(BOM!$N$2:$N$71="BDT")*BOM!$H$2:$H$71*(1+BOM!$I$2:$I$71)*BOM!$M$2:$M$71)</f>
        <v>10950.015704760001</v>
      </c>
      <c r="F51" s="5">
        <f>D51*SUMPRODUCT((BOM!$B$2:$B$71=C51)*(BOM!$E$2:$E$71="Fabric")*(BOM!$N$2:$N$71="USD")*BOM!$H$2:$H$71*(1+BOM!$I$2:$I$71)*BOM!$M$2:$M$71)</f>
        <v>0</v>
      </c>
      <c r="G51" s="5">
        <f>D51*SUMPRODUCT((BOM!$B$2:$B$71=C51)*(BOM!$E$2:$E$71="Accessory")*(BOM!$N$2:$N$71="BDT")*BOM!$H$2:$H$71*(1+BOM!$I$2:$I$71)*BOM!$M$2:$M$71)</f>
        <v>76623.773891309989</v>
      </c>
      <c r="H51" s="5">
        <f>D51*SUMPRODUCT((BOM!$B$2:$B$71=C51)*(BOM!$E$2:$E$71="Accessory")*(BOM!$N$2:$N$71="USD")*BOM!$H$2:$H$71*(1+BOM!$I$2:$I$71)*BOM!$M$2:$M$71)</f>
        <v>0</v>
      </c>
      <c r="I51" s="5">
        <f>D51*SUMPRODUCT((BOM!$B$2:$B$71=C51)*(BOM!$E$2:$E$71="Packing")*(BOM!$N$2:$N$71="BDT")*BOM!$H$2:$H$71*(1+BOM!$I$2:$I$71)*BOM!$M$2:$M$71)</f>
        <v>2800.5257962799997</v>
      </c>
      <c r="J51" s="5">
        <f>D51*SUMPRODUCT((BOM!$B$2:$B$71=C51)*(BOM!$E$2:$E$71="Packing")*(BOM!$N$2:$N$71="USD")*BOM!$H$2:$H$71*(1+BOM!$I$2:$I$71)*BOM!$M$2:$M$71)</f>
        <v>0</v>
      </c>
      <c r="K51" s="5">
        <f t="shared" si="4"/>
        <v>90374.315392349978</v>
      </c>
      <c r="L51" s="5">
        <f t="shared" si="5"/>
        <v>0</v>
      </c>
      <c r="M51" s="5">
        <f t="shared" si="6"/>
        <v>33.213640349999991</v>
      </c>
      <c r="N51" s="5">
        <f t="shared" si="7"/>
        <v>0</v>
      </c>
    </row>
    <row r="52" spans="1:14" x14ac:dyDescent="0.3">
      <c r="A52" s="3" t="s">
        <v>560</v>
      </c>
      <c r="B52" s="3" t="str">
        <f>Order_Sheet!A52</f>
        <v>SO-2026-0051</v>
      </c>
      <c r="C52" s="3" t="str">
        <f>Order_Sheet!D52</f>
        <v>ST-105</v>
      </c>
      <c r="D52" s="3">
        <f>Order_Sheet!F52</f>
        <v>8888</v>
      </c>
      <c r="E52" s="5">
        <f>D52*SUMPRODUCT((BOM!$B$2:$B$71=C52)*(BOM!$E$2:$E$71="Fabric")*(BOM!$N$2:$N$71="BDT")*BOM!$H$2:$H$71*(1+BOM!$I$2:$I$71)*BOM!$M$2:$M$71)</f>
        <v>34575.267105280007</v>
      </c>
      <c r="F52" s="5">
        <f>D52*SUMPRODUCT((BOM!$B$2:$B$71=C52)*(BOM!$E$2:$E$71="Fabric")*(BOM!$N$2:$N$71="USD")*BOM!$H$2:$H$71*(1+BOM!$I$2:$I$71)*BOM!$M$2:$M$71)</f>
        <v>0</v>
      </c>
      <c r="G52" s="5">
        <f>D52*SUMPRODUCT((BOM!$B$2:$B$71=C52)*(BOM!$E$2:$E$71="Accessory")*(BOM!$N$2:$N$71="BDT")*BOM!$H$2:$H$71*(1+BOM!$I$2:$I$71)*BOM!$M$2:$M$71)</f>
        <v>453918.90970272</v>
      </c>
      <c r="H52" s="5">
        <f>D52*SUMPRODUCT((BOM!$B$2:$B$71=C52)*(BOM!$E$2:$E$71="Accessory")*(BOM!$N$2:$N$71="USD")*BOM!$H$2:$H$71*(1+BOM!$I$2:$I$71)*BOM!$M$2:$M$71)</f>
        <v>0</v>
      </c>
      <c r="I52" s="5">
        <f>D52*SUMPRODUCT((BOM!$B$2:$B$71=C52)*(BOM!$E$2:$E$71="Packing")*(BOM!$N$2:$N$71="BDT")*BOM!$H$2:$H$71*(1+BOM!$I$2:$I$71)*BOM!$M$2:$M$71)</f>
        <v>11026.885201200001</v>
      </c>
      <c r="J52" s="5">
        <f>D52*SUMPRODUCT((BOM!$B$2:$B$71=C52)*(BOM!$E$2:$E$71="Packing")*(BOM!$N$2:$N$71="USD")*BOM!$H$2:$H$71*(1+BOM!$I$2:$I$71)*BOM!$M$2:$M$71)</f>
        <v>0</v>
      </c>
      <c r="K52" s="5">
        <f t="shared" si="4"/>
        <v>499521.06200920005</v>
      </c>
      <c r="L52" s="5">
        <f t="shared" si="5"/>
        <v>0</v>
      </c>
      <c r="M52" s="5">
        <f t="shared" si="6"/>
        <v>56.201739650000007</v>
      </c>
      <c r="N52" s="5">
        <f t="shared" si="7"/>
        <v>0</v>
      </c>
    </row>
    <row r="53" spans="1:14" x14ac:dyDescent="0.3">
      <c r="A53" s="3" t="s">
        <v>561</v>
      </c>
      <c r="B53" s="3" t="str">
        <f>Order_Sheet!A53</f>
        <v>SO-2026-0052</v>
      </c>
      <c r="C53" s="3" t="str">
        <f>Order_Sheet!D53</f>
        <v>ST-103</v>
      </c>
      <c r="D53" s="3">
        <f>Order_Sheet!F53</f>
        <v>3009</v>
      </c>
      <c r="E53" s="5">
        <f>D53*SUMPRODUCT((BOM!$B$2:$B$71=C53)*(BOM!$E$2:$E$71="Fabric")*(BOM!$N$2:$N$71="BDT")*BOM!$H$2:$H$71*(1+BOM!$I$2:$I$71)*BOM!$M$2:$M$71)</f>
        <v>12109.003034040001</v>
      </c>
      <c r="F53" s="5">
        <f>D53*SUMPRODUCT((BOM!$B$2:$B$71=C53)*(BOM!$E$2:$E$71="Fabric")*(BOM!$N$2:$N$71="USD")*BOM!$H$2:$H$71*(1+BOM!$I$2:$I$71)*BOM!$M$2:$M$71)</f>
        <v>0</v>
      </c>
      <c r="G53" s="5">
        <f>D53*SUMPRODUCT((BOM!$B$2:$B$71=C53)*(BOM!$E$2:$E$71="Accessory")*(BOM!$N$2:$N$71="BDT")*BOM!$H$2:$H$71*(1+BOM!$I$2:$I$71)*BOM!$M$2:$M$71)</f>
        <v>84733.897698989997</v>
      </c>
      <c r="H53" s="5">
        <f>D53*SUMPRODUCT((BOM!$B$2:$B$71=C53)*(BOM!$E$2:$E$71="Accessory")*(BOM!$N$2:$N$71="USD")*BOM!$H$2:$H$71*(1+BOM!$I$2:$I$71)*BOM!$M$2:$M$71)</f>
        <v>0</v>
      </c>
      <c r="I53" s="5">
        <f>D53*SUMPRODUCT((BOM!$B$2:$B$71=C53)*(BOM!$E$2:$E$71="Packing")*(BOM!$N$2:$N$71="BDT")*BOM!$H$2:$H$71*(1+BOM!$I$2:$I$71)*BOM!$M$2:$M$71)</f>
        <v>3096.9430801199996</v>
      </c>
      <c r="J53" s="5">
        <f>D53*SUMPRODUCT((BOM!$B$2:$B$71=C53)*(BOM!$E$2:$E$71="Packing")*(BOM!$N$2:$N$71="USD")*BOM!$H$2:$H$71*(1+BOM!$I$2:$I$71)*BOM!$M$2:$M$71)</f>
        <v>0</v>
      </c>
      <c r="K53" s="5">
        <f t="shared" si="4"/>
        <v>99939.843813149986</v>
      </c>
      <c r="L53" s="5">
        <f t="shared" si="5"/>
        <v>0</v>
      </c>
      <c r="M53" s="5">
        <f t="shared" si="6"/>
        <v>33.213640349999999</v>
      </c>
      <c r="N53" s="5">
        <f t="shared" si="7"/>
        <v>0</v>
      </c>
    </row>
    <row r="54" spans="1:14" x14ac:dyDescent="0.3">
      <c r="A54" s="3" t="s">
        <v>562</v>
      </c>
      <c r="B54" s="3" t="str">
        <f>Order_Sheet!A54</f>
        <v>SO-2026-0053</v>
      </c>
      <c r="C54" s="3" t="str">
        <f>Order_Sheet!D54</f>
        <v>ST-102</v>
      </c>
      <c r="D54" s="3">
        <f>Order_Sheet!F54</f>
        <v>4422</v>
      </c>
      <c r="E54" s="5">
        <f>D54*SUMPRODUCT((BOM!$B$2:$B$71=C54)*(BOM!$E$2:$E$71="Fabric")*(BOM!$N$2:$N$71="BDT")*BOM!$H$2:$H$71*(1+BOM!$I$2:$I$71)*BOM!$M$2:$M$71)</f>
        <v>22449.701135399999</v>
      </c>
      <c r="F54" s="5">
        <f>D54*SUMPRODUCT((BOM!$B$2:$B$71=C54)*(BOM!$E$2:$E$71="Fabric")*(BOM!$N$2:$N$71="USD")*BOM!$H$2:$H$71*(1+BOM!$I$2:$I$71)*BOM!$M$2:$M$71)</f>
        <v>0</v>
      </c>
      <c r="G54" s="5">
        <f>D54*SUMPRODUCT((BOM!$B$2:$B$71=C54)*(BOM!$E$2:$E$71="Accessory")*(BOM!$N$2:$N$71="BDT")*BOM!$H$2:$H$71*(1+BOM!$I$2:$I$71)*BOM!$M$2:$M$71)</f>
        <v>59896.165199639996</v>
      </c>
      <c r="H54" s="5">
        <f>D54*SUMPRODUCT((BOM!$B$2:$B$71=C54)*(BOM!$E$2:$E$71="Accessory")*(BOM!$N$2:$N$71="USD")*BOM!$H$2:$H$71*(1+BOM!$I$2:$I$71)*BOM!$M$2:$M$71)</f>
        <v>0</v>
      </c>
      <c r="I54" s="5">
        <f>D54*SUMPRODUCT((BOM!$B$2:$B$71=C54)*(BOM!$E$2:$E$71="Packing")*(BOM!$N$2:$N$71="BDT")*BOM!$H$2:$H$71*(1+BOM!$I$2:$I$71)*BOM!$M$2:$M$71)</f>
        <v>1994.1400789199997</v>
      </c>
      <c r="J54" s="5">
        <f>D54*SUMPRODUCT((BOM!$B$2:$B$71=C54)*(BOM!$E$2:$E$71="Packing")*(BOM!$N$2:$N$71="USD")*BOM!$H$2:$H$71*(1+BOM!$I$2:$I$71)*BOM!$M$2:$M$71)</f>
        <v>0</v>
      </c>
      <c r="K54" s="5">
        <f t="shared" si="4"/>
        <v>84340.006413959985</v>
      </c>
      <c r="L54" s="5">
        <f t="shared" si="5"/>
        <v>0</v>
      </c>
      <c r="M54" s="5">
        <f t="shared" si="6"/>
        <v>19.072819179999996</v>
      </c>
      <c r="N54" s="5">
        <f t="shared" si="7"/>
        <v>0</v>
      </c>
    </row>
    <row r="55" spans="1:14" x14ac:dyDescent="0.3">
      <c r="A55" s="3" t="s">
        <v>563</v>
      </c>
      <c r="B55" s="3" t="str">
        <f>Order_Sheet!A55</f>
        <v>SO-2026-0054</v>
      </c>
      <c r="C55" s="3" t="str">
        <f>Order_Sheet!D55</f>
        <v>ST-105</v>
      </c>
      <c r="D55" s="3">
        <f>Order_Sheet!F55</f>
        <v>7422</v>
      </c>
      <c r="E55" s="5">
        <f>D55*SUMPRODUCT((BOM!$B$2:$B$71=C55)*(BOM!$E$2:$E$71="Fabric")*(BOM!$N$2:$N$71="BDT")*BOM!$H$2:$H$71*(1+BOM!$I$2:$I$71)*BOM!$M$2:$M$71)</f>
        <v>28872.370888320002</v>
      </c>
      <c r="F55" s="5">
        <f>D55*SUMPRODUCT((BOM!$B$2:$B$71=C55)*(BOM!$E$2:$E$71="Fabric")*(BOM!$N$2:$N$71="USD")*BOM!$H$2:$H$71*(1+BOM!$I$2:$I$71)*BOM!$M$2:$M$71)</f>
        <v>0</v>
      </c>
      <c r="G55" s="5">
        <f>D55*SUMPRODUCT((BOM!$B$2:$B$71=C55)*(BOM!$E$2:$E$71="Accessory")*(BOM!$N$2:$N$71="BDT")*BOM!$H$2:$H$71*(1+BOM!$I$2:$I$71)*BOM!$M$2:$M$71)</f>
        <v>379048.84651368001</v>
      </c>
      <c r="H55" s="5">
        <f>D55*SUMPRODUCT((BOM!$B$2:$B$71=C55)*(BOM!$E$2:$E$71="Accessory")*(BOM!$N$2:$N$71="USD")*BOM!$H$2:$H$71*(1+BOM!$I$2:$I$71)*BOM!$M$2:$M$71)</f>
        <v>0</v>
      </c>
      <c r="I55" s="5">
        <f>D55*SUMPRODUCT((BOM!$B$2:$B$71=C55)*(BOM!$E$2:$E$71="Packing")*(BOM!$N$2:$N$71="BDT")*BOM!$H$2:$H$71*(1+BOM!$I$2:$I$71)*BOM!$M$2:$M$71)</f>
        <v>9208.0942802999998</v>
      </c>
      <c r="J55" s="5">
        <f>D55*SUMPRODUCT((BOM!$B$2:$B$71=C55)*(BOM!$E$2:$E$71="Packing")*(BOM!$N$2:$N$71="USD")*BOM!$H$2:$H$71*(1+BOM!$I$2:$I$71)*BOM!$M$2:$M$71)</f>
        <v>0</v>
      </c>
      <c r="K55" s="5">
        <f t="shared" si="4"/>
        <v>417129.3116823</v>
      </c>
      <c r="L55" s="5">
        <f t="shared" si="5"/>
        <v>0</v>
      </c>
      <c r="M55" s="5">
        <f t="shared" si="6"/>
        <v>56.20173965</v>
      </c>
      <c r="N55" s="5">
        <f t="shared" si="7"/>
        <v>0</v>
      </c>
    </row>
    <row r="56" spans="1:14" x14ac:dyDescent="0.3">
      <c r="A56" s="3" t="s">
        <v>564</v>
      </c>
      <c r="B56" s="3" t="str">
        <f>Order_Sheet!A56</f>
        <v>SO-2026-0055</v>
      </c>
      <c r="C56" s="3" t="str">
        <f>Order_Sheet!D56</f>
        <v>ST-102</v>
      </c>
      <c r="D56" s="3">
        <f>Order_Sheet!F56</f>
        <v>5352</v>
      </c>
      <c r="E56" s="5">
        <f>D56*SUMPRODUCT((BOM!$B$2:$B$71=C56)*(BOM!$E$2:$E$71="Fabric")*(BOM!$N$2:$N$71="BDT")*BOM!$H$2:$H$71*(1+BOM!$I$2:$I$71)*BOM!$M$2:$M$71)</f>
        <v>27171.144386399999</v>
      </c>
      <c r="F56" s="5">
        <f>D56*SUMPRODUCT((BOM!$B$2:$B$71=C56)*(BOM!$E$2:$E$71="Fabric")*(BOM!$N$2:$N$71="USD")*BOM!$H$2:$H$71*(1+BOM!$I$2:$I$71)*BOM!$M$2:$M$71)</f>
        <v>0</v>
      </c>
      <c r="G56" s="5">
        <f>D56*SUMPRODUCT((BOM!$B$2:$B$71=C56)*(BOM!$E$2:$E$71="Accessory")*(BOM!$N$2:$N$71="BDT")*BOM!$H$2:$H$71*(1+BOM!$I$2:$I$71)*BOM!$M$2:$M$71)</f>
        <v>72493.052046239987</v>
      </c>
      <c r="H56" s="5">
        <f>D56*SUMPRODUCT((BOM!$B$2:$B$71=C56)*(BOM!$E$2:$E$71="Accessory")*(BOM!$N$2:$N$71="USD")*BOM!$H$2:$H$71*(1+BOM!$I$2:$I$71)*BOM!$M$2:$M$71)</f>
        <v>0</v>
      </c>
      <c r="I56" s="5">
        <f>D56*SUMPRODUCT((BOM!$B$2:$B$71=C56)*(BOM!$E$2:$E$71="Packing")*(BOM!$N$2:$N$71="BDT")*BOM!$H$2:$H$71*(1+BOM!$I$2:$I$71)*BOM!$M$2:$M$71)</f>
        <v>2413.5318187199996</v>
      </c>
      <c r="J56" s="5">
        <f>D56*SUMPRODUCT((BOM!$B$2:$B$71=C56)*(BOM!$E$2:$E$71="Packing")*(BOM!$N$2:$N$71="USD")*BOM!$H$2:$H$71*(1+BOM!$I$2:$I$71)*BOM!$M$2:$M$71)</f>
        <v>0</v>
      </c>
      <c r="K56" s="5">
        <f t="shared" si="4"/>
        <v>102077.72825135999</v>
      </c>
      <c r="L56" s="5">
        <f t="shared" si="5"/>
        <v>0</v>
      </c>
      <c r="M56" s="5">
        <f t="shared" si="6"/>
        <v>19.07281918</v>
      </c>
      <c r="N56" s="5">
        <f t="shared" si="7"/>
        <v>0</v>
      </c>
    </row>
    <row r="57" spans="1:14" x14ac:dyDescent="0.3">
      <c r="A57" s="3" t="s">
        <v>565</v>
      </c>
      <c r="B57" s="3" t="str">
        <f>Order_Sheet!A57</f>
        <v>SO-2026-0056</v>
      </c>
      <c r="C57" s="3" t="str">
        <f>Order_Sheet!D57</f>
        <v>ST-108</v>
      </c>
      <c r="D57" s="3">
        <f>Order_Sheet!F57</f>
        <v>11180</v>
      </c>
      <c r="E57" s="5">
        <f>D57*SUMPRODUCT((BOM!$B$2:$B$71=C57)*(BOM!$E$2:$E$71="Fabric")*(BOM!$N$2:$N$71="BDT")*BOM!$H$2:$H$71*(1+BOM!$I$2:$I$71)*BOM!$M$2:$M$71)</f>
        <v>16544.352383000001</v>
      </c>
      <c r="F57" s="5">
        <f>D57*SUMPRODUCT((BOM!$B$2:$B$71=C57)*(BOM!$E$2:$E$71="Fabric")*(BOM!$N$2:$N$71="USD")*BOM!$H$2:$H$71*(1+BOM!$I$2:$I$71)*BOM!$M$2:$M$71)</f>
        <v>4903.3270831999998</v>
      </c>
      <c r="G57" s="5">
        <f>D57*SUMPRODUCT((BOM!$B$2:$B$71=C57)*(BOM!$E$2:$E$71="Accessory")*(BOM!$N$2:$N$71="BDT")*BOM!$H$2:$H$71*(1+BOM!$I$2:$I$71)*BOM!$M$2:$M$71)</f>
        <v>470756.66739919991</v>
      </c>
      <c r="H57" s="5">
        <f>D57*SUMPRODUCT((BOM!$B$2:$B$71=C57)*(BOM!$E$2:$E$71="Accessory")*(BOM!$N$2:$N$71="USD")*BOM!$H$2:$H$71*(1+BOM!$I$2:$I$71)*BOM!$M$2:$M$71)</f>
        <v>0</v>
      </c>
      <c r="I57" s="5">
        <f>D57*SUMPRODUCT((BOM!$B$2:$B$71=C57)*(BOM!$E$2:$E$71="Packing")*(BOM!$N$2:$N$71="BDT")*BOM!$H$2:$H$71*(1+BOM!$I$2:$I$71)*BOM!$M$2:$M$71)</f>
        <v>4621.1948640000001</v>
      </c>
      <c r="J57" s="5">
        <f>D57*SUMPRODUCT((BOM!$B$2:$B$71=C57)*(BOM!$E$2:$E$71="Packing")*(BOM!$N$2:$N$71="USD")*BOM!$H$2:$H$71*(1+BOM!$I$2:$I$71)*BOM!$M$2:$M$71)</f>
        <v>0</v>
      </c>
      <c r="K57" s="5">
        <f t="shared" si="4"/>
        <v>491922.21464619995</v>
      </c>
      <c r="L57" s="5">
        <f t="shared" si="5"/>
        <v>4903.3270831999998</v>
      </c>
      <c r="M57" s="5">
        <f t="shared" si="6"/>
        <v>44.000198089999998</v>
      </c>
      <c r="N57" s="5">
        <f t="shared" si="7"/>
        <v>0.43858024000000001</v>
      </c>
    </row>
    <row r="58" spans="1:14" x14ac:dyDescent="0.3">
      <c r="A58" s="3" t="s">
        <v>566</v>
      </c>
      <c r="B58" s="3" t="str">
        <f>Order_Sheet!A58</f>
        <v>SO-2026-0057</v>
      </c>
      <c r="C58" s="3" t="str">
        <f>Order_Sheet!D58</f>
        <v>ST-102</v>
      </c>
      <c r="D58" s="3">
        <f>Order_Sheet!F58</f>
        <v>6317</v>
      </c>
      <c r="E58" s="5">
        <f>D58*SUMPRODUCT((BOM!$B$2:$B$71=C58)*(BOM!$E$2:$E$71="Fabric")*(BOM!$N$2:$N$71="BDT")*BOM!$H$2:$H$71*(1+BOM!$I$2:$I$71)*BOM!$M$2:$M$71)</f>
        <v>32070.2763619</v>
      </c>
      <c r="F58" s="5">
        <f>D58*SUMPRODUCT((BOM!$B$2:$B$71=C58)*(BOM!$E$2:$E$71="Fabric")*(BOM!$N$2:$N$71="USD")*BOM!$H$2:$H$71*(1+BOM!$I$2:$I$71)*BOM!$M$2:$M$71)</f>
        <v>0</v>
      </c>
      <c r="G58" s="5">
        <f>D58*SUMPRODUCT((BOM!$B$2:$B$71=C58)*(BOM!$E$2:$E$71="Accessory")*(BOM!$N$2:$N$71="BDT")*BOM!$H$2:$H$71*(1+BOM!$I$2:$I$71)*BOM!$M$2:$M$71)</f>
        <v>85564.015279539992</v>
      </c>
      <c r="H58" s="5">
        <f>D58*SUMPRODUCT((BOM!$B$2:$B$71=C58)*(BOM!$E$2:$E$71="Accessory")*(BOM!$N$2:$N$71="USD")*BOM!$H$2:$H$71*(1+BOM!$I$2:$I$71)*BOM!$M$2:$M$71)</f>
        <v>0</v>
      </c>
      <c r="I58" s="5">
        <f>D58*SUMPRODUCT((BOM!$B$2:$B$71=C58)*(BOM!$E$2:$E$71="Packing")*(BOM!$N$2:$N$71="BDT")*BOM!$H$2:$H$71*(1+BOM!$I$2:$I$71)*BOM!$M$2:$M$71)</f>
        <v>2848.7071186199996</v>
      </c>
      <c r="J58" s="5">
        <f>D58*SUMPRODUCT((BOM!$B$2:$B$71=C58)*(BOM!$E$2:$E$71="Packing")*(BOM!$N$2:$N$71="USD")*BOM!$H$2:$H$71*(1+BOM!$I$2:$I$71)*BOM!$M$2:$M$71)</f>
        <v>0</v>
      </c>
      <c r="K58" s="5">
        <f t="shared" si="4"/>
        <v>120482.99876006</v>
      </c>
      <c r="L58" s="5">
        <f t="shared" si="5"/>
        <v>0</v>
      </c>
      <c r="M58" s="5">
        <f t="shared" si="6"/>
        <v>19.07281918</v>
      </c>
      <c r="N58" s="5">
        <f t="shared" si="7"/>
        <v>0</v>
      </c>
    </row>
    <row r="59" spans="1:14" x14ac:dyDescent="0.3">
      <c r="A59" s="3" t="s">
        <v>567</v>
      </c>
      <c r="B59" s="3" t="str">
        <f>Order_Sheet!A59</f>
        <v>SO-2026-0058</v>
      </c>
      <c r="C59" s="3" t="str">
        <f>Order_Sheet!D59</f>
        <v>ST-106</v>
      </c>
      <c r="D59" s="3">
        <f>Order_Sheet!F59</f>
        <v>5275</v>
      </c>
      <c r="E59" s="5">
        <f>D59*SUMPRODUCT((BOM!$B$2:$B$71=C59)*(BOM!$E$2:$E$71="Fabric")*(BOM!$N$2:$N$71="BDT")*BOM!$H$2:$H$71*(1+BOM!$I$2:$I$71)*BOM!$M$2:$M$71)</f>
        <v>25288.525130000002</v>
      </c>
      <c r="F59" s="5">
        <f>D59*SUMPRODUCT((BOM!$B$2:$B$71=C59)*(BOM!$E$2:$E$71="Fabric")*(BOM!$N$2:$N$71="USD")*BOM!$H$2:$H$71*(1+BOM!$I$2:$I$71)*BOM!$M$2:$M$71)</f>
        <v>0</v>
      </c>
      <c r="G59" s="5">
        <f>D59*SUMPRODUCT((BOM!$B$2:$B$71=C59)*(BOM!$E$2:$E$71="Accessory")*(BOM!$N$2:$N$71="BDT")*BOM!$H$2:$H$71*(1+BOM!$I$2:$I$71)*BOM!$M$2:$M$71)</f>
        <v>176285.35497599997</v>
      </c>
      <c r="H59" s="5">
        <f>D59*SUMPRODUCT((BOM!$B$2:$B$71=C59)*(BOM!$E$2:$E$71="Accessory")*(BOM!$N$2:$N$71="USD")*BOM!$H$2:$H$71*(1+BOM!$I$2:$I$71)*BOM!$M$2:$M$71)</f>
        <v>0</v>
      </c>
      <c r="I59" s="5">
        <f>D59*SUMPRODUCT((BOM!$B$2:$B$71=C59)*(BOM!$E$2:$E$71="Packing")*(BOM!$N$2:$N$71="BDT")*BOM!$H$2:$H$71*(1+BOM!$I$2:$I$71)*BOM!$M$2:$M$71)</f>
        <v>10910.779035750002</v>
      </c>
      <c r="J59" s="5">
        <f>D59*SUMPRODUCT((BOM!$B$2:$B$71=C59)*(BOM!$E$2:$E$71="Packing")*(BOM!$N$2:$N$71="USD")*BOM!$H$2:$H$71*(1+BOM!$I$2:$I$71)*BOM!$M$2:$M$71)</f>
        <v>0</v>
      </c>
      <c r="K59" s="5">
        <f t="shared" si="4"/>
        <v>212484.65914174996</v>
      </c>
      <c r="L59" s="5">
        <f t="shared" si="5"/>
        <v>0</v>
      </c>
      <c r="M59" s="5">
        <f t="shared" si="6"/>
        <v>40.281451969999992</v>
      </c>
      <c r="N59" s="5">
        <f t="shared" si="7"/>
        <v>0</v>
      </c>
    </row>
    <row r="60" spans="1:14" x14ac:dyDescent="0.3">
      <c r="A60" s="3" t="s">
        <v>568</v>
      </c>
      <c r="B60" s="3" t="str">
        <f>Order_Sheet!A60</f>
        <v>SO-2026-0059</v>
      </c>
      <c r="C60" s="3" t="str">
        <f>Order_Sheet!D60</f>
        <v>ST-101</v>
      </c>
      <c r="D60" s="3">
        <f>Order_Sheet!F60</f>
        <v>11673</v>
      </c>
      <c r="E60" s="5">
        <f>D60*SUMPRODUCT((BOM!$B$2:$B$71=C60)*(BOM!$E$2:$E$71="Fabric")*(BOM!$N$2:$N$71="BDT")*BOM!$H$2:$H$71*(1+BOM!$I$2:$I$71)*BOM!$M$2:$M$71)</f>
        <v>22780.141052760002</v>
      </c>
      <c r="F60" s="5">
        <f>D60*SUMPRODUCT((BOM!$B$2:$B$71=C60)*(BOM!$E$2:$E$71="Fabric")*(BOM!$N$2:$N$71="USD")*BOM!$H$2:$H$71*(1+BOM!$I$2:$I$71)*BOM!$M$2:$M$71)</f>
        <v>4160.9244286800003</v>
      </c>
      <c r="G60" s="5">
        <f>D60*SUMPRODUCT((BOM!$B$2:$B$71=C60)*(BOM!$E$2:$E$71="Accessory")*(BOM!$N$2:$N$71="BDT")*BOM!$H$2:$H$71*(1+BOM!$I$2:$I$71)*BOM!$M$2:$M$71)</f>
        <v>342525.14423586003</v>
      </c>
      <c r="H60" s="5">
        <f>D60*SUMPRODUCT((BOM!$B$2:$B$71=C60)*(BOM!$E$2:$E$71="Accessory")*(BOM!$N$2:$N$71="USD")*BOM!$H$2:$H$71*(1+BOM!$I$2:$I$71)*BOM!$M$2:$M$71)</f>
        <v>0</v>
      </c>
      <c r="I60" s="5">
        <f>D60*SUMPRODUCT((BOM!$B$2:$B$71=C60)*(BOM!$E$2:$E$71="Packing")*(BOM!$N$2:$N$71="BDT")*BOM!$H$2:$H$71*(1+BOM!$I$2:$I$71)*BOM!$M$2:$M$71)</f>
        <v>21179.403068849999</v>
      </c>
      <c r="J60" s="5">
        <f>D60*SUMPRODUCT((BOM!$B$2:$B$71=C60)*(BOM!$E$2:$E$71="Packing")*(BOM!$N$2:$N$71="USD")*BOM!$H$2:$H$71*(1+BOM!$I$2:$I$71)*BOM!$M$2:$M$71)</f>
        <v>0</v>
      </c>
      <c r="K60" s="5">
        <f t="shared" si="4"/>
        <v>386484.68835747003</v>
      </c>
      <c r="L60" s="5">
        <f t="shared" si="5"/>
        <v>4160.9244286800003</v>
      </c>
      <c r="M60" s="5">
        <f t="shared" si="6"/>
        <v>33.109285390000004</v>
      </c>
      <c r="N60" s="5">
        <f t="shared" si="7"/>
        <v>0.35645716000000005</v>
      </c>
    </row>
    <row r="61" spans="1:14" x14ac:dyDescent="0.3">
      <c r="A61" s="3" t="s">
        <v>569</v>
      </c>
      <c r="B61" s="3" t="str">
        <f>Order_Sheet!A61</f>
        <v>SO-2026-0060</v>
      </c>
      <c r="C61" s="3" t="str">
        <f>Order_Sheet!D61</f>
        <v>ST-107</v>
      </c>
      <c r="D61" s="3">
        <f>Order_Sheet!F61</f>
        <v>3906</v>
      </c>
      <c r="E61" s="5">
        <f>D61*SUMPRODUCT((BOM!$B$2:$B$71=C61)*(BOM!$E$2:$E$71="Fabric")*(BOM!$N$2:$N$71="BDT")*BOM!$H$2:$H$71*(1+BOM!$I$2:$I$71)*BOM!$M$2:$M$71)</f>
        <v>33657.0323355</v>
      </c>
      <c r="F61" s="5">
        <f>D61*SUMPRODUCT((BOM!$B$2:$B$71=C61)*(BOM!$E$2:$E$71="Fabric")*(BOM!$N$2:$N$71="USD")*BOM!$H$2:$H$71*(1+BOM!$I$2:$I$71)*BOM!$M$2:$M$71)</f>
        <v>0</v>
      </c>
      <c r="G61" s="5">
        <f>D61*SUMPRODUCT((BOM!$B$2:$B$71=C61)*(BOM!$E$2:$E$71="Accessory")*(BOM!$N$2:$N$71="BDT")*BOM!$H$2:$H$71*(1+BOM!$I$2:$I$71)*BOM!$M$2:$M$71)</f>
        <v>113912.95308875998</v>
      </c>
      <c r="H61" s="5">
        <f>D61*SUMPRODUCT((BOM!$B$2:$B$71=C61)*(BOM!$E$2:$E$71="Accessory")*(BOM!$N$2:$N$71="USD")*BOM!$H$2:$H$71*(1+BOM!$I$2:$I$71)*BOM!$M$2:$M$71)</f>
        <v>0</v>
      </c>
      <c r="I61" s="5">
        <f>D61*SUMPRODUCT((BOM!$B$2:$B$71=C61)*(BOM!$E$2:$E$71="Packing")*(BOM!$N$2:$N$71="BDT")*BOM!$H$2:$H$71*(1+BOM!$I$2:$I$71)*BOM!$M$2:$M$71)</f>
        <v>4031.4958740000002</v>
      </c>
      <c r="J61" s="5">
        <f>D61*SUMPRODUCT((BOM!$B$2:$B$71=C61)*(BOM!$E$2:$E$71="Packing")*(BOM!$N$2:$N$71="USD")*BOM!$H$2:$H$71*(1+BOM!$I$2:$I$71)*BOM!$M$2:$M$71)</f>
        <v>0</v>
      </c>
      <c r="K61" s="5">
        <f t="shared" si="4"/>
        <v>151601.48129825998</v>
      </c>
      <c r="L61" s="5">
        <f t="shared" si="5"/>
        <v>0</v>
      </c>
      <c r="M61" s="5">
        <f t="shared" si="6"/>
        <v>38.812463209999997</v>
      </c>
      <c r="N61" s="5">
        <f t="shared" si="7"/>
        <v>0</v>
      </c>
    </row>
    <row r="62" spans="1:14" x14ac:dyDescent="0.3">
      <c r="A62" s="3" t="s">
        <v>570</v>
      </c>
      <c r="B62" s="3" t="str">
        <f>Order_Sheet!A62</f>
        <v>SO-2026-0061</v>
      </c>
      <c r="C62" s="3" t="str">
        <f>Order_Sheet!D62</f>
        <v>ST-107</v>
      </c>
      <c r="D62" s="3">
        <f>Order_Sheet!F62</f>
        <v>10620</v>
      </c>
      <c r="E62" s="5">
        <f>D62*SUMPRODUCT((BOM!$B$2:$B$71=C62)*(BOM!$E$2:$E$71="Fabric")*(BOM!$N$2:$N$71="BDT")*BOM!$H$2:$H$71*(1+BOM!$I$2:$I$71)*BOM!$M$2:$M$71)</f>
        <v>91509.903585000007</v>
      </c>
      <c r="F62" s="5">
        <f>D62*SUMPRODUCT((BOM!$B$2:$B$71=C62)*(BOM!$E$2:$E$71="Fabric")*(BOM!$N$2:$N$71="USD")*BOM!$H$2:$H$71*(1+BOM!$I$2:$I$71)*BOM!$M$2:$M$71)</f>
        <v>0</v>
      </c>
      <c r="G62" s="5">
        <f>D62*SUMPRODUCT((BOM!$B$2:$B$71=C62)*(BOM!$E$2:$E$71="Accessory")*(BOM!$N$2:$N$71="BDT")*BOM!$H$2:$H$71*(1+BOM!$I$2:$I$71)*BOM!$M$2:$M$71)</f>
        <v>309717.24572519999</v>
      </c>
      <c r="H62" s="5">
        <f>D62*SUMPRODUCT((BOM!$B$2:$B$71=C62)*(BOM!$E$2:$E$71="Accessory")*(BOM!$N$2:$N$71="USD")*BOM!$H$2:$H$71*(1+BOM!$I$2:$I$71)*BOM!$M$2:$M$71)</f>
        <v>0</v>
      </c>
      <c r="I62" s="5">
        <f>D62*SUMPRODUCT((BOM!$B$2:$B$71=C62)*(BOM!$E$2:$E$71="Packing")*(BOM!$N$2:$N$71="BDT")*BOM!$H$2:$H$71*(1+BOM!$I$2:$I$71)*BOM!$M$2:$M$71)</f>
        <v>10961.209980000001</v>
      </c>
      <c r="J62" s="5">
        <f>D62*SUMPRODUCT((BOM!$B$2:$B$71=C62)*(BOM!$E$2:$E$71="Packing")*(BOM!$N$2:$N$71="USD")*BOM!$H$2:$H$71*(1+BOM!$I$2:$I$71)*BOM!$M$2:$M$71)</f>
        <v>0</v>
      </c>
      <c r="K62" s="5">
        <f t="shared" si="4"/>
        <v>412188.35929019999</v>
      </c>
      <c r="L62" s="5">
        <f t="shared" si="5"/>
        <v>0</v>
      </c>
      <c r="M62" s="5">
        <f t="shared" si="6"/>
        <v>38.812463209999997</v>
      </c>
      <c r="N62" s="5">
        <f t="shared" si="7"/>
        <v>0</v>
      </c>
    </row>
    <row r="63" spans="1:14" x14ac:dyDescent="0.3">
      <c r="A63" s="3" t="s">
        <v>571</v>
      </c>
      <c r="B63" s="3" t="str">
        <f>Order_Sheet!A63</f>
        <v>SO-2026-0062</v>
      </c>
      <c r="C63" s="3" t="str">
        <f>Order_Sheet!D63</f>
        <v>ST-101</v>
      </c>
      <c r="D63" s="3">
        <f>Order_Sheet!F63</f>
        <v>5499</v>
      </c>
      <c r="E63" s="5">
        <f>D63*SUMPRODUCT((BOM!$B$2:$B$71=C63)*(BOM!$E$2:$E$71="Fabric")*(BOM!$N$2:$N$71="BDT")*BOM!$H$2:$H$71*(1+BOM!$I$2:$I$71)*BOM!$M$2:$M$71)</f>
        <v>10731.431135880001</v>
      </c>
      <c r="F63" s="5">
        <f>D63*SUMPRODUCT((BOM!$B$2:$B$71=C63)*(BOM!$E$2:$E$71="Fabric")*(BOM!$N$2:$N$71="USD")*BOM!$H$2:$H$71*(1+BOM!$I$2:$I$71)*BOM!$M$2:$M$71)</f>
        <v>1960.1579228400001</v>
      </c>
      <c r="G63" s="5">
        <f>D63*SUMPRODUCT((BOM!$B$2:$B$71=C63)*(BOM!$E$2:$E$71="Accessory")*(BOM!$N$2:$N$71="BDT")*BOM!$H$2:$H$71*(1+BOM!$I$2:$I$71)*BOM!$M$2:$M$71)</f>
        <v>161359.18514118</v>
      </c>
      <c r="H63" s="5">
        <f>D63*SUMPRODUCT((BOM!$B$2:$B$71=C63)*(BOM!$E$2:$E$71="Accessory")*(BOM!$N$2:$N$71="USD")*BOM!$H$2:$H$71*(1+BOM!$I$2:$I$71)*BOM!$M$2:$M$71)</f>
        <v>0</v>
      </c>
      <c r="I63" s="5">
        <f>D63*SUMPRODUCT((BOM!$B$2:$B$71=C63)*(BOM!$E$2:$E$71="Packing")*(BOM!$N$2:$N$71="BDT")*BOM!$H$2:$H$71*(1+BOM!$I$2:$I$71)*BOM!$M$2:$M$71)</f>
        <v>9977.3440825500002</v>
      </c>
      <c r="J63" s="5">
        <f>D63*SUMPRODUCT((BOM!$B$2:$B$71=C63)*(BOM!$E$2:$E$71="Packing")*(BOM!$N$2:$N$71="USD")*BOM!$H$2:$H$71*(1+BOM!$I$2:$I$71)*BOM!$M$2:$M$71)</f>
        <v>0</v>
      </c>
      <c r="K63" s="5">
        <f t="shared" si="4"/>
        <v>182067.96035961001</v>
      </c>
      <c r="L63" s="5">
        <f t="shared" si="5"/>
        <v>1960.1579228400001</v>
      </c>
      <c r="M63" s="5">
        <f t="shared" si="6"/>
        <v>33.109285390000004</v>
      </c>
      <c r="N63" s="5">
        <f t="shared" si="7"/>
        <v>0.35645716</v>
      </c>
    </row>
    <row r="64" spans="1:14" x14ac:dyDescent="0.3">
      <c r="A64" s="3" t="s">
        <v>572</v>
      </c>
      <c r="B64" s="3" t="str">
        <f>Order_Sheet!A64</f>
        <v>SO-2026-0063</v>
      </c>
      <c r="C64" s="3" t="str">
        <f>Order_Sheet!D64</f>
        <v>ST-104</v>
      </c>
      <c r="D64" s="3">
        <f>Order_Sheet!F64</f>
        <v>1185</v>
      </c>
      <c r="E64" s="5">
        <f>D64*SUMPRODUCT((BOM!$B$2:$B$71=C64)*(BOM!$E$2:$E$71="Fabric")*(BOM!$N$2:$N$71="BDT")*BOM!$H$2:$H$71*(1+BOM!$I$2:$I$71)*BOM!$M$2:$M$71)</f>
        <v>4632.6473423999987</v>
      </c>
      <c r="F64" s="5">
        <f>D64*SUMPRODUCT((BOM!$B$2:$B$71=C64)*(BOM!$E$2:$E$71="Fabric")*(BOM!$N$2:$N$71="USD")*BOM!$H$2:$H$71*(1+BOM!$I$2:$I$71)*BOM!$M$2:$M$71)</f>
        <v>1083.0013382999998</v>
      </c>
      <c r="G64" s="5">
        <f>D64*SUMPRODUCT((BOM!$B$2:$B$71=C64)*(BOM!$E$2:$E$71="Accessory")*(BOM!$N$2:$N$71="BDT")*BOM!$H$2:$H$71*(1+BOM!$I$2:$I$71)*BOM!$M$2:$M$71)</f>
        <v>34692.921423900007</v>
      </c>
      <c r="H64" s="5">
        <f>D64*SUMPRODUCT((BOM!$B$2:$B$71=C64)*(BOM!$E$2:$E$71="Accessory")*(BOM!$N$2:$N$71="USD")*BOM!$H$2:$H$71*(1+BOM!$I$2:$I$71)*BOM!$M$2:$M$71)</f>
        <v>0</v>
      </c>
      <c r="I64" s="5">
        <f>D64*SUMPRODUCT((BOM!$B$2:$B$71=C64)*(BOM!$E$2:$E$71="Packing")*(BOM!$N$2:$N$71="BDT")*BOM!$H$2:$H$71*(1+BOM!$I$2:$I$71)*BOM!$M$2:$M$71)</f>
        <v>1186.5762751499999</v>
      </c>
      <c r="J64" s="5">
        <f>D64*SUMPRODUCT((BOM!$B$2:$B$71=C64)*(BOM!$E$2:$E$71="Packing")*(BOM!$N$2:$N$71="USD")*BOM!$H$2:$H$71*(1+BOM!$I$2:$I$71)*BOM!$M$2:$M$71)</f>
        <v>0</v>
      </c>
      <c r="K64" s="5">
        <f t="shared" si="4"/>
        <v>40512.145041450007</v>
      </c>
      <c r="L64" s="5">
        <f t="shared" si="5"/>
        <v>1083.0013382999998</v>
      </c>
      <c r="M64" s="5">
        <f t="shared" si="6"/>
        <v>34.187464170000005</v>
      </c>
      <c r="N64" s="5">
        <f t="shared" si="7"/>
        <v>0.91392517999999989</v>
      </c>
    </row>
    <row r="65" spans="1:14" x14ac:dyDescent="0.3">
      <c r="A65" s="3" t="s">
        <v>573</v>
      </c>
      <c r="B65" s="3" t="str">
        <f>Order_Sheet!A65</f>
        <v>SO-2026-0064</v>
      </c>
      <c r="C65" s="3" t="str">
        <f>Order_Sheet!D65</f>
        <v>ST-110</v>
      </c>
      <c r="D65" s="3">
        <f>Order_Sheet!F65</f>
        <v>5876</v>
      </c>
      <c r="E65" s="5">
        <f>D65*SUMPRODUCT((BOM!$B$2:$B$71=C65)*(BOM!$E$2:$E$71="Fabric")*(BOM!$N$2:$N$71="BDT")*BOM!$H$2:$H$71*(1+BOM!$I$2:$I$71)*BOM!$M$2:$M$71)</f>
        <v>47345.745840119991</v>
      </c>
      <c r="F65" s="5">
        <f>D65*SUMPRODUCT((BOM!$B$2:$B$71=C65)*(BOM!$E$2:$E$71="Fabric")*(BOM!$N$2:$N$71="USD")*BOM!$H$2:$H$71*(1+BOM!$I$2:$I$71)*BOM!$M$2:$M$71)</f>
        <v>0</v>
      </c>
      <c r="G65" s="5">
        <f>D65*SUMPRODUCT((BOM!$B$2:$B$71=C65)*(BOM!$E$2:$E$71="Accessory")*(BOM!$N$2:$N$71="BDT")*BOM!$H$2:$H$71*(1+BOM!$I$2:$I$71)*BOM!$M$2:$M$71)</f>
        <v>119636.15043952002</v>
      </c>
      <c r="H65" s="5">
        <f>D65*SUMPRODUCT((BOM!$B$2:$B$71=C65)*(BOM!$E$2:$E$71="Accessory")*(BOM!$N$2:$N$71="USD")*BOM!$H$2:$H$71*(1+BOM!$I$2:$I$71)*BOM!$M$2:$M$71)</f>
        <v>0</v>
      </c>
      <c r="I65" s="5">
        <f>D65*SUMPRODUCT((BOM!$B$2:$B$71=C65)*(BOM!$E$2:$E$71="Packing")*(BOM!$N$2:$N$71="BDT")*BOM!$H$2:$H$71*(1+BOM!$I$2:$I$71)*BOM!$M$2:$M$71)</f>
        <v>22848.642551280001</v>
      </c>
      <c r="J65" s="5">
        <f>D65*SUMPRODUCT((BOM!$B$2:$B$71=C65)*(BOM!$E$2:$E$71="Packing")*(BOM!$N$2:$N$71="USD")*BOM!$H$2:$H$71*(1+BOM!$I$2:$I$71)*BOM!$M$2:$M$71)</f>
        <v>0</v>
      </c>
      <c r="K65" s="5">
        <f t="shared" si="4"/>
        <v>189830.53883092001</v>
      </c>
      <c r="L65" s="5">
        <f t="shared" si="5"/>
        <v>0</v>
      </c>
      <c r="M65" s="5">
        <f t="shared" si="6"/>
        <v>32.306082170000003</v>
      </c>
      <c r="N65" s="5">
        <f t="shared" si="7"/>
        <v>0</v>
      </c>
    </row>
    <row r="66" spans="1:14" x14ac:dyDescent="0.3">
      <c r="A66" s="3" t="s">
        <v>574</v>
      </c>
      <c r="B66" s="3" t="str">
        <f>Order_Sheet!A66</f>
        <v>SO-2026-0065</v>
      </c>
      <c r="C66" s="3" t="str">
        <f>Order_Sheet!D66</f>
        <v>ST-107</v>
      </c>
      <c r="D66" s="3">
        <f>Order_Sheet!F66</f>
        <v>7746</v>
      </c>
      <c r="E66" s="5">
        <f>D66*SUMPRODUCT((BOM!$B$2:$B$71=C66)*(BOM!$E$2:$E$71="Fabric")*(BOM!$N$2:$N$71="BDT")*BOM!$H$2:$H$71*(1+BOM!$I$2:$I$71)*BOM!$M$2:$M$71)</f>
        <v>66745.359055500012</v>
      </c>
      <c r="F66" s="5">
        <f>D66*SUMPRODUCT((BOM!$B$2:$B$71=C66)*(BOM!$E$2:$E$71="Fabric")*(BOM!$N$2:$N$71="USD")*BOM!$H$2:$H$71*(1+BOM!$I$2:$I$71)*BOM!$M$2:$M$71)</f>
        <v>0</v>
      </c>
      <c r="G66" s="5">
        <f>D66*SUMPRODUCT((BOM!$B$2:$B$71=C66)*(BOM!$E$2:$E$71="Accessory")*(BOM!$N$2:$N$71="BDT")*BOM!$H$2:$H$71*(1+BOM!$I$2:$I$71)*BOM!$M$2:$M$71)</f>
        <v>225901.10973515999</v>
      </c>
      <c r="H66" s="5">
        <f>D66*SUMPRODUCT((BOM!$B$2:$B$71=C66)*(BOM!$E$2:$E$71="Accessory")*(BOM!$N$2:$N$71="USD")*BOM!$H$2:$H$71*(1+BOM!$I$2:$I$71)*BOM!$M$2:$M$71)</f>
        <v>0</v>
      </c>
      <c r="I66" s="5">
        <f>D66*SUMPRODUCT((BOM!$B$2:$B$71=C66)*(BOM!$E$2:$E$71="Packing")*(BOM!$N$2:$N$71="BDT")*BOM!$H$2:$H$71*(1+BOM!$I$2:$I$71)*BOM!$M$2:$M$71)</f>
        <v>7994.8712340000002</v>
      </c>
      <c r="J66" s="5">
        <f>D66*SUMPRODUCT((BOM!$B$2:$B$71=C66)*(BOM!$E$2:$E$71="Packing")*(BOM!$N$2:$N$71="USD")*BOM!$H$2:$H$71*(1+BOM!$I$2:$I$71)*BOM!$M$2:$M$71)</f>
        <v>0</v>
      </c>
      <c r="K66" s="5">
        <f t="shared" ref="K66:K81" si="8">SUM(E66,G66,I66)</f>
        <v>300641.34002466005</v>
      </c>
      <c r="L66" s="5">
        <f t="shared" ref="L66:L81" si="9">SUM(F66,H66,J66)</f>
        <v>0</v>
      </c>
      <c r="M66" s="5">
        <f t="shared" ref="M66:M81" si="10">IFERROR(K66/D66,0)</f>
        <v>38.812463210000004</v>
      </c>
      <c r="N66" s="5">
        <f t="shared" ref="N66:N81" si="11">IFERROR(L66/D66,0)</f>
        <v>0</v>
      </c>
    </row>
    <row r="67" spans="1:14" x14ac:dyDescent="0.3">
      <c r="A67" s="3" t="s">
        <v>575</v>
      </c>
      <c r="B67" s="3" t="str">
        <f>Order_Sheet!A67</f>
        <v>SO-2026-0066</v>
      </c>
      <c r="C67" s="3" t="str">
        <f>Order_Sheet!D67</f>
        <v>ST-104</v>
      </c>
      <c r="D67" s="3">
        <f>Order_Sheet!F67</f>
        <v>8211</v>
      </c>
      <c r="E67" s="5">
        <f>D67*SUMPRODUCT((BOM!$B$2:$B$71=C67)*(BOM!$E$2:$E$71="Fabric")*(BOM!$N$2:$N$71="BDT")*BOM!$H$2:$H$71*(1+BOM!$I$2:$I$71)*BOM!$M$2:$M$71)</f>
        <v>32100.141205439992</v>
      </c>
      <c r="F67" s="5">
        <f>D67*SUMPRODUCT((BOM!$B$2:$B$71=C67)*(BOM!$E$2:$E$71="Fabric")*(BOM!$N$2:$N$71="USD")*BOM!$H$2:$H$71*(1+BOM!$I$2:$I$71)*BOM!$M$2:$M$71)</f>
        <v>7504.239652979998</v>
      </c>
      <c r="G67" s="5">
        <f>D67*SUMPRODUCT((BOM!$B$2:$B$71=C67)*(BOM!$E$2:$E$71="Accessory")*(BOM!$N$2:$N$71="BDT")*BOM!$H$2:$H$71*(1+BOM!$I$2:$I$71)*BOM!$M$2:$M$71)</f>
        <v>240391.20490434003</v>
      </c>
      <c r="H67" s="5">
        <f>D67*SUMPRODUCT((BOM!$B$2:$B$71=C67)*(BOM!$E$2:$E$71="Accessory")*(BOM!$N$2:$N$71="USD")*BOM!$H$2:$H$71*(1+BOM!$I$2:$I$71)*BOM!$M$2:$M$71)</f>
        <v>0</v>
      </c>
      <c r="I67" s="5">
        <f>D67*SUMPRODUCT((BOM!$B$2:$B$71=C67)*(BOM!$E$2:$E$71="Packing")*(BOM!$N$2:$N$71="BDT")*BOM!$H$2:$H$71*(1+BOM!$I$2:$I$71)*BOM!$M$2:$M$71)</f>
        <v>8221.9221900899993</v>
      </c>
      <c r="J67" s="5">
        <f>D67*SUMPRODUCT((BOM!$B$2:$B$71=C67)*(BOM!$E$2:$E$71="Packing")*(BOM!$N$2:$N$71="USD")*BOM!$H$2:$H$71*(1+BOM!$I$2:$I$71)*BOM!$M$2:$M$71)</f>
        <v>0</v>
      </c>
      <c r="K67" s="5">
        <f t="shared" si="8"/>
        <v>280713.26829987002</v>
      </c>
      <c r="L67" s="5">
        <f t="shared" si="9"/>
        <v>7504.239652979998</v>
      </c>
      <c r="M67" s="5">
        <f t="shared" si="10"/>
        <v>34.187464170000005</v>
      </c>
      <c r="N67" s="5">
        <f t="shared" si="11"/>
        <v>0.91392517999999978</v>
      </c>
    </row>
    <row r="68" spans="1:14" x14ac:dyDescent="0.3">
      <c r="A68" s="3" t="s">
        <v>576</v>
      </c>
      <c r="B68" s="3" t="str">
        <f>Order_Sheet!A68</f>
        <v>SO-2026-0067</v>
      </c>
      <c r="C68" s="3" t="str">
        <f>Order_Sheet!D68</f>
        <v>ST-101</v>
      </c>
      <c r="D68" s="3">
        <f>Order_Sheet!F68</f>
        <v>6018</v>
      </c>
      <c r="E68" s="5">
        <f>D68*SUMPRODUCT((BOM!$B$2:$B$71=C68)*(BOM!$E$2:$E$71="Fabric")*(BOM!$N$2:$N$71="BDT")*BOM!$H$2:$H$71*(1+BOM!$I$2:$I$71)*BOM!$M$2:$M$71)</f>
        <v>11744.27215416</v>
      </c>
      <c r="F68" s="5">
        <f>D68*SUMPRODUCT((BOM!$B$2:$B$71=C68)*(BOM!$E$2:$E$71="Fabric")*(BOM!$N$2:$N$71="USD")*BOM!$H$2:$H$71*(1+BOM!$I$2:$I$71)*BOM!$M$2:$M$71)</f>
        <v>2145.1591888799999</v>
      </c>
      <c r="G68" s="5">
        <f>D68*SUMPRODUCT((BOM!$B$2:$B$71=C68)*(BOM!$E$2:$E$71="Accessory")*(BOM!$N$2:$N$71="BDT")*BOM!$H$2:$H$71*(1+BOM!$I$2:$I$71)*BOM!$M$2:$M$71)</f>
        <v>176588.39355876</v>
      </c>
      <c r="H68" s="5">
        <f>D68*SUMPRODUCT((BOM!$B$2:$B$71=C68)*(BOM!$E$2:$E$71="Accessory")*(BOM!$N$2:$N$71="USD")*BOM!$H$2:$H$71*(1+BOM!$I$2:$I$71)*BOM!$M$2:$M$71)</f>
        <v>0</v>
      </c>
      <c r="I68" s="5">
        <f>D68*SUMPRODUCT((BOM!$B$2:$B$71=C68)*(BOM!$E$2:$E$71="Packing")*(BOM!$N$2:$N$71="BDT")*BOM!$H$2:$H$71*(1+BOM!$I$2:$I$71)*BOM!$M$2:$M$71)</f>
        <v>10919.0137641</v>
      </c>
      <c r="J68" s="5">
        <f>D68*SUMPRODUCT((BOM!$B$2:$B$71=C68)*(BOM!$E$2:$E$71="Packing")*(BOM!$N$2:$N$71="USD")*BOM!$H$2:$H$71*(1+BOM!$I$2:$I$71)*BOM!$M$2:$M$71)</f>
        <v>0</v>
      </c>
      <c r="K68" s="5">
        <f t="shared" si="8"/>
        <v>199251.67947701999</v>
      </c>
      <c r="L68" s="5">
        <f t="shared" si="9"/>
        <v>2145.1591888799999</v>
      </c>
      <c r="M68" s="5">
        <f t="shared" si="10"/>
        <v>33.109285389999997</v>
      </c>
      <c r="N68" s="5">
        <f t="shared" si="11"/>
        <v>0.35645716</v>
      </c>
    </row>
    <row r="69" spans="1:14" x14ac:dyDescent="0.3">
      <c r="A69" s="3" t="s">
        <v>577</v>
      </c>
      <c r="B69" s="3" t="str">
        <f>Order_Sheet!A69</f>
        <v>SO-2026-0068</v>
      </c>
      <c r="C69" s="3" t="str">
        <f>Order_Sheet!D69</f>
        <v>ST-108</v>
      </c>
      <c r="D69" s="3">
        <f>Order_Sheet!F69</f>
        <v>7206</v>
      </c>
      <c r="E69" s="5">
        <f>D69*SUMPRODUCT((BOM!$B$2:$B$71=C69)*(BOM!$E$2:$E$71="Fabric")*(BOM!$N$2:$N$71="BDT")*BOM!$H$2:$H$71*(1+BOM!$I$2:$I$71)*BOM!$M$2:$M$71)</f>
        <v>10663.5602211</v>
      </c>
      <c r="F69" s="5">
        <f>D69*SUMPRODUCT((BOM!$B$2:$B$71=C69)*(BOM!$E$2:$E$71="Fabric")*(BOM!$N$2:$N$71="USD")*BOM!$H$2:$H$71*(1+BOM!$I$2:$I$71)*BOM!$M$2:$M$71)</f>
        <v>3160.4092094399998</v>
      </c>
      <c r="G69" s="5">
        <f>D69*SUMPRODUCT((BOM!$B$2:$B$71=C69)*(BOM!$E$2:$E$71="Accessory")*(BOM!$N$2:$N$71="BDT")*BOM!$H$2:$H$71*(1+BOM!$I$2:$I$71)*BOM!$M$2:$M$71)</f>
        <v>303423.30458663998</v>
      </c>
      <c r="H69" s="5">
        <f>D69*SUMPRODUCT((BOM!$B$2:$B$71=C69)*(BOM!$E$2:$E$71="Accessory")*(BOM!$N$2:$N$71="USD")*BOM!$H$2:$H$71*(1+BOM!$I$2:$I$71)*BOM!$M$2:$M$71)</f>
        <v>0</v>
      </c>
      <c r="I69" s="5">
        <f>D69*SUMPRODUCT((BOM!$B$2:$B$71=C69)*(BOM!$E$2:$E$71="Packing")*(BOM!$N$2:$N$71="BDT")*BOM!$H$2:$H$71*(1+BOM!$I$2:$I$71)*BOM!$M$2:$M$71)</f>
        <v>2978.5626288000003</v>
      </c>
      <c r="J69" s="5">
        <f>D69*SUMPRODUCT((BOM!$B$2:$B$71=C69)*(BOM!$E$2:$E$71="Packing")*(BOM!$N$2:$N$71="USD")*BOM!$H$2:$H$71*(1+BOM!$I$2:$I$71)*BOM!$M$2:$M$71)</f>
        <v>0</v>
      </c>
      <c r="K69" s="5">
        <f t="shared" si="8"/>
        <v>317065.42743653996</v>
      </c>
      <c r="L69" s="5">
        <f t="shared" si="9"/>
        <v>3160.4092094399998</v>
      </c>
      <c r="M69" s="5">
        <f t="shared" si="10"/>
        <v>44.000198089999998</v>
      </c>
      <c r="N69" s="5">
        <f t="shared" si="11"/>
        <v>0.43858023999999995</v>
      </c>
    </row>
    <row r="70" spans="1:14" x14ac:dyDescent="0.3">
      <c r="A70" s="3" t="s">
        <v>578</v>
      </c>
      <c r="B70" s="3" t="str">
        <f>Order_Sheet!A70</f>
        <v>SO-2026-0069</v>
      </c>
      <c r="C70" s="3" t="str">
        <f>Order_Sheet!D70</f>
        <v>ST-108</v>
      </c>
      <c r="D70" s="3">
        <f>Order_Sheet!F70</f>
        <v>8259</v>
      </c>
      <c r="E70" s="5">
        <f>D70*SUMPRODUCT((BOM!$B$2:$B$71=C70)*(BOM!$E$2:$E$71="Fabric")*(BOM!$N$2:$N$71="BDT")*BOM!$H$2:$H$71*(1+BOM!$I$2:$I$71)*BOM!$M$2:$M$71)</f>
        <v>12221.80736415</v>
      </c>
      <c r="F70" s="5">
        <f>D70*SUMPRODUCT((BOM!$B$2:$B$71=C70)*(BOM!$E$2:$E$71="Fabric")*(BOM!$N$2:$N$71="USD")*BOM!$H$2:$H$71*(1+BOM!$I$2:$I$71)*BOM!$M$2:$M$71)</f>
        <v>3622.2342021599998</v>
      </c>
      <c r="G70" s="5">
        <f>D70*SUMPRODUCT((BOM!$B$2:$B$71=C70)*(BOM!$E$2:$E$71="Accessory")*(BOM!$N$2:$N$71="BDT")*BOM!$H$2:$H$71*(1+BOM!$I$2:$I$71)*BOM!$M$2:$M$71)</f>
        <v>347762.01395795995</v>
      </c>
      <c r="H70" s="5">
        <f>D70*SUMPRODUCT((BOM!$B$2:$B$71=C70)*(BOM!$E$2:$E$71="Accessory")*(BOM!$N$2:$N$71="USD")*BOM!$H$2:$H$71*(1+BOM!$I$2:$I$71)*BOM!$M$2:$M$71)</f>
        <v>0</v>
      </c>
      <c r="I70" s="5">
        <f>D70*SUMPRODUCT((BOM!$B$2:$B$71=C70)*(BOM!$E$2:$E$71="Packing")*(BOM!$N$2:$N$71="BDT")*BOM!$H$2:$H$71*(1+BOM!$I$2:$I$71)*BOM!$M$2:$M$71)</f>
        <v>3413.8147032000002</v>
      </c>
      <c r="J70" s="5">
        <f>D70*SUMPRODUCT((BOM!$B$2:$B$71=C70)*(BOM!$E$2:$E$71="Packing")*(BOM!$N$2:$N$71="USD")*BOM!$H$2:$H$71*(1+BOM!$I$2:$I$71)*BOM!$M$2:$M$71)</f>
        <v>0</v>
      </c>
      <c r="K70" s="5">
        <f t="shared" si="8"/>
        <v>363397.63602530997</v>
      </c>
      <c r="L70" s="5">
        <f t="shared" si="9"/>
        <v>3622.2342021599998</v>
      </c>
      <c r="M70" s="5">
        <f t="shared" si="10"/>
        <v>44.000198089999998</v>
      </c>
      <c r="N70" s="5">
        <f t="shared" si="11"/>
        <v>0.43858023999999995</v>
      </c>
    </row>
    <row r="71" spans="1:14" x14ac:dyDescent="0.3">
      <c r="A71" s="3" t="s">
        <v>579</v>
      </c>
      <c r="B71" s="3" t="str">
        <f>Order_Sheet!A71</f>
        <v>SO-2026-0070</v>
      </c>
      <c r="C71" s="3" t="str">
        <f>Order_Sheet!D71</f>
        <v>ST-104</v>
      </c>
      <c r="D71" s="3">
        <f>Order_Sheet!F71</f>
        <v>3397</v>
      </c>
      <c r="E71" s="5">
        <f>D71*SUMPRODUCT((BOM!$B$2:$B$71=C71)*(BOM!$E$2:$E$71="Fabric")*(BOM!$N$2:$N$71="BDT")*BOM!$H$2:$H$71*(1+BOM!$I$2:$I$71)*BOM!$M$2:$M$71)</f>
        <v>13280.255714879997</v>
      </c>
      <c r="F71" s="5">
        <f>D71*SUMPRODUCT((BOM!$B$2:$B$71=C71)*(BOM!$E$2:$E$71="Fabric")*(BOM!$N$2:$N$71="USD")*BOM!$H$2:$H$71*(1+BOM!$I$2:$I$71)*BOM!$M$2:$M$71)</f>
        <v>3104.6038364599995</v>
      </c>
      <c r="G71" s="5">
        <f>D71*SUMPRODUCT((BOM!$B$2:$B$71=C71)*(BOM!$E$2:$E$71="Accessory")*(BOM!$N$2:$N$71="BDT")*BOM!$H$2:$H$71*(1+BOM!$I$2:$I$71)*BOM!$M$2:$M$71)</f>
        <v>99453.041415180007</v>
      </c>
      <c r="H71" s="5">
        <f>D71*SUMPRODUCT((BOM!$B$2:$B$71=C71)*(BOM!$E$2:$E$71="Accessory")*(BOM!$N$2:$N$71="USD")*BOM!$H$2:$H$71*(1+BOM!$I$2:$I$71)*BOM!$M$2:$M$71)</f>
        <v>0</v>
      </c>
      <c r="I71" s="5">
        <f>D71*SUMPRODUCT((BOM!$B$2:$B$71=C71)*(BOM!$E$2:$E$71="Packing")*(BOM!$N$2:$N$71="BDT")*BOM!$H$2:$H$71*(1+BOM!$I$2:$I$71)*BOM!$M$2:$M$71)</f>
        <v>3401.5186554299999</v>
      </c>
      <c r="J71" s="5">
        <f>D71*SUMPRODUCT((BOM!$B$2:$B$71=C71)*(BOM!$E$2:$E$71="Packing")*(BOM!$N$2:$N$71="USD")*BOM!$H$2:$H$71*(1+BOM!$I$2:$I$71)*BOM!$M$2:$M$71)</f>
        <v>0</v>
      </c>
      <c r="K71" s="5">
        <f t="shared" si="8"/>
        <v>116134.81578549001</v>
      </c>
      <c r="L71" s="5">
        <f t="shared" si="9"/>
        <v>3104.6038364599995</v>
      </c>
      <c r="M71" s="5">
        <f t="shared" si="10"/>
        <v>34.187464169999998</v>
      </c>
      <c r="N71" s="5">
        <f t="shared" si="11"/>
        <v>0.91392517999999989</v>
      </c>
    </row>
    <row r="72" spans="1:14" x14ac:dyDescent="0.3">
      <c r="A72" s="3" t="s">
        <v>580</v>
      </c>
      <c r="B72" s="3" t="str">
        <f>Order_Sheet!A72</f>
        <v>SO-2026-0071</v>
      </c>
      <c r="C72" s="3" t="str">
        <f>Order_Sheet!D72</f>
        <v>ST-102</v>
      </c>
      <c r="D72" s="3">
        <f>Order_Sheet!F72</f>
        <v>5249</v>
      </c>
      <c r="E72" s="5">
        <f>D72*SUMPRODUCT((BOM!$B$2:$B$71=C72)*(BOM!$E$2:$E$71="Fabric")*(BOM!$N$2:$N$71="BDT")*BOM!$H$2:$H$71*(1+BOM!$I$2:$I$71)*BOM!$M$2:$M$71)</f>
        <v>26648.2318543</v>
      </c>
      <c r="F72" s="5">
        <f>D72*SUMPRODUCT((BOM!$B$2:$B$71=C72)*(BOM!$E$2:$E$71="Fabric")*(BOM!$N$2:$N$71="USD")*BOM!$H$2:$H$71*(1+BOM!$I$2:$I$71)*BOM!$M$2:$M$71)</f>
        <v>0</v>
      </c>
      <c r="G72" s="5">
        <f>D72*SUMPRODUCT((BOM!$B$2:$B$71=C72)*(BOM!$E$2:$E$71="Accessory")*(BOM!$N$2:$N$71="BDT")*BOM!$H$2:$H$71*(1+BOM!$I$2:$I$71)*BOM!$M$2:$M$71)</f>
        <v>71097.91296537999</v>
      </c>
      <c r="H72" s="5">
        <f>D72*SUMPRODUCT((BOM!$B$2:$B$71=C72)*(BOM!$E$2:$E$71="Accessory")*(BOM!$N$2:$N$71="USD")*BOM!$H$2:$H$71*(1+BOM!$I$2:$I$71)*BOM!$M$2:$M$71)</f>
        <v>0</v>
      </c>
      <c r="I72" s="5">
        <f>D72*SUMPRODUCT((BOM!$B$2:$B$71=C72)*(BOM!$E$2:$E$71="Packing")*(BOM!$N$2:$N$71="BDT")*BOM!$H$2:$H$71*(1+BOM!$I$2:$I$71)*BOM!$M$2:$M$71)</f>
        <v>2367.0830561399998</v>
      </c>
      <c r="J72" s="5">
        <f>D72*SUMPRODUCT((BOM!$B$2:$B$71=C72)*(BOM!$E$2:$E$71="Packing")*(BOM!$N$2:$N$71="USD")*BOM!$H$2:$H$71*(1+BOM!$I$2:$I$71)*BOM!$M$2:$M$71)</f>
        <v>0</v>
      </c>
      <c r="K72" s="5">
        <f t="shared" si="8"/>
        <v>100113.22787581998</v>
      </c>
      <c r="L72" s="5">
        <f t="shared" si="9"/>
        <v>0</v>
      </c>
      <c r="M72" s="5">
        <f t="shared" si="10"/>
        <v>19.072819179999996</v>
      </c>
      <c r="N72" s="5">
        <f t="shared" si="11"/>
        <v>0</v>
      </c>
    </row>
    <row r="73" spans="1:14" x14ac:dyDescent="0.3">
      <c r="A73" s="3" t="s">
        <v>581</v>
      </c>
      <c r="B73" s="3" t="str">
        <f>Order_Sheet!A73</f>
        <v>SO-2026-0072</v>
      </c>
      <c r="C73" s="3" t="str">
        <f>Order_Sheet!D73</f>
        <v>ST-101</v>
      </c>
      <c r="D73" s="3">
        <f>Order_Sheet!F73</f>
        <v>11147</v>
      </c>
      <c r="E73" s="5">
        <f>D73*SUMPRODUCT((BOM!$B$2:$B$71=C73)*(BOM!$E$2:$E$71="Fabric")*(BOM!$N$2:$N$71="BDT")*BOM!$H$2:$H$71*(1+BOM!$I$2:$I$71)*BOM!$M$2:$M$71)</f>
        <v>21753.639365640003</v>
      </c>
      <c r="F73" s="5">
        <f>D73*SUMPRODUCT((BOM!$B$2:$B$71=C73)*(BOM!$E$2:$E$71="Fabric")*(BOM!$N$2:$N$71="USD")*BOM!$H$2:$H$71*(1+BOM!$I$2:$I$71)*BOM!$M$2:$M$71)</f>
        <v>3973.4279625200002</v>
      </c>
      <c r="G73" s="5">
        <f>D73*SUMPRODUCT((BOM!$B$2:$B$71=C73)*(BOM!$E$2:$E$71="Accessory")*(BOM!$N$2:$N$71="BDT")*BOM!$H$2:$H$71*(1+BOM!$I$2:$I$71)*BOM!$M$2:$M$71)</f>
        <v>327090.53223654005</v>
      </c>
      <c r="H73" s="5">
        <f>D73*SUMPRODUCT((BOM!$B$2:$B$71=C73)*(BOM!$E$2:$E$71="Accessory")*(BOM!$N$2:$N$71="USD")*BOM!$H$2:$H$71*(1+BOM!$I$2:$I$71)*BOM!$M$2:$M$71)</f>
        <v>0</v>
      </c>
      <c r="I73" s="5">
        <f>D73*SUMPRODUCT((BOM!$B$2:$B$71=C73)*(BOM!$E$2:$E$71="Packing")*(BOM!$N$2:$N$71="BDT")*BOM!$H$2:$H$71*(1+BOM!$I$2:$I$71)*BOM!$M$2:$M$71)</f>
        <v>20225.032640149999</v>
      </c>
      <c r="J73" s="5">
        <f>D73*SUMPRODUCT((BOM!$B$2:$B$71=C73)*(BOM!$E$2:$E$71="Packing")*(BOM!$N$2:$N$71="USD")*BOM!$H$2:$H$71*(1+BOM!$I$2:$I$71)*BOM!$M$2:$M$71)</f>
        <v>0</v>
      </c>
      <c r="K73" s="5">
        <f t="shared" si="8"/>
        <v>369069.20424233004</v>
      </c>
      <c r="L73" s="5">
        <f t="shared" si="9"/>
        <v>3973.4279625200002</v>
      </c>
      <c r="M73" s="5">
        <f t="shared" si="10"/>
        <v>33.109285390000004</v>
      </c>
      <c r="N73" s="5">
        <f t="shared" si="11"/>
        <v>0.35645716</v>
      </c>
    </row>
    <row r="74" spans="1:14" x14ac:dyDescent="0.3">
      <c r="A74" s="3" t="s">
        <v>582</v>
      </c>
      <c r="B74" s="3" t="str">
        <f>Order_Sheet!A74</f>
        <v>SO-2026-0073</v>
      </c>
      <c r="C74" s="3" t="str">
        <f>Order_Sheet!D74</f>
        <v>ST-104</v>
      </c>
      <c r="D74" s="3">
        <f>Order_Sheet!F74</f>
        <v>5550</v>
      </c>
      <c r="E74" s="5">
        <f>D74*SUMPRODUCT((BOM!$B$2:$B$71=C74)*(BOM!$E$2:$E$71="Fabric")*(BOM!$N$2:$N$71="BDT")*BOM!$H$2:$H$71*(1+BOM!$I$2:$I$71)*BOM!$M$2:$M$71)</f>
        <v>21697.209071999994</v>
      </c>
      <c r="F74" s="5">
        <f>D74*SUMPRODUCT((BOM!$B$2:$B$71=C74)*(BOM!$E$2:$E$71="Fabric")*(BOM!$N$2:$N$71="USD")*BOM!$H$2:$H$71*(1+BOM!$I$2:$I$71)*BOM!$M$2:$M$71)</f>
        <v>5072.2847489999986</v>
      </c>
      <c r="G74" s="5">
        <f>D74*SUMPRODUCT((BOM!$B$2:$B$71=C74)*(BOM!$E$2:$E$71="Accessory")*(BOM!$N$2:$N$71="BDT")*BOM!$H$2:$H$71*(1+BOM!$I$2:$I$71)*BOM!$M$2:$M$71)</f>
        <v>162485.83451700001</v>
      </c>
      <c r="H74" s="5">
        <f>D74*SUMPRODUCT((BOM!$B$2:$B$71=C74)*(BOM!$E$2:$E$71="Accessory")*(BOM!$N$2:$N$71="USD")*BOM!$H$2:$H$71*(1+BOM!$I$2:$I$71)*BOM!$M$2:$M$71)</f>
        <v>0</v>
      </c>
      <c r="I74" s="5">
        <f>D74*SUMPRODUCT((BOM!$B$2:$B$71=C74)*(BOM!$E$2:$E$71="Packing")*(BOM!$N$2:$N$71="BDT")*BOM!$H$2:$H$71*(1+BOM!$I$2:$I$71)*BOM!$M$2:$M$71)</f>
        <v>5557.3825545</v>
      </c>
      <c r="J74" s="5">
        <f>D74*SUMPRODUCT((BOM!$B$2:$B$71=C74)*(BOM!$E$2:$E$71="Packing")*(BOM!$N$2:$N$71="USD")*BOM!$H$2:$H$71*(1+BOM!$I$2:$I$71)*BOM!$M$2:$M$71)</f>
        <v>0</v>
      </c>
      <c r="K74" s="5">
        <f t="shared" si="8"/>
        <v>189740.42614350002</v>
      </c>
      <c r="L74" s="5">
        <f t="shared" si="9"/>
        <v>5072.2847489999986</v>
      </c>
      <c r="M74" s="5">
        <f t="shared" si="10"/>
        <v>34.187464170000005</v>
      </c>
      <c r="N74" s="5">
        <f t="shared" si="11"/>
        <v>0.91392517999999978</v>
      </c>
    </row>
    <row r="75" spans="1:14" x14ac:dyDescent="0.3">
      <c r="A75" s="3" t="s">
        <v>583</v>
      </c>
      <c r="B75" s="3" t="str">
        <f>Order_Sheet!A75</f>
        <v>SO-2026-0074</v>
      </c>
      <c r="C75" s="3" t="str">
        <f>Order_Sheet!D75</f>
        <v>ST-104</v>
      </c>
      <c r="D75" s="3">
        <f>Order_Sheet!F75</f>
        <v>3211</v>
      </c>
      <c r="E75" s="5">
        <f>D75*SUMPRODUCT((BOM!$B$2:$B$71=C75)*(BOM!$E$2:$E$71="Fabric")*(BOM!$N$2:$N$71="BDT")*BOM!$H$2:$H$71*(1+BOM!$I$2:$I$71)*BOM!$M$2:$M$71)</f>
        <v>12553.106005439997</v>
      </c>
      <c r="F75" s="5">
        <f>D75*SUMPRODUCT((BOM!$B$2:$B$71=C75)*(BOM!$E$2:$E$71="Fabric")*(BOM!$N$2:$N$71="USD")*BOM!$H$2:$H$71*(1+BOM!$I$2:$I$71)*BOM!$M$2:$M$71)</f>
        <v>2934.6137529799994</v>
      </c>
      <c r="G75" s="5">
        <f>D75*SUMPRODUCT((BOM!$B$2:$B$71=C75)*(BOM!$E$2:$E$71="Accessory")*(BOM!$N$2:$N$71="BDT")*BOM!$H$2:$H$71*(1+BOM!$I$2:$I$71)*BOM!$M$2:$M$71)</f>
        <v>94007.570204340009</v>
      </c>
      <c r="H75" s="5">
        <f>D75*SUMPRODUCT((BOM!$B$2:$B$71=C75)*(BOM!$E$2:$E$71="Accessory")*(BOM!$N$2:$N$71="USD")*BOM!$H$2:$H$71*(1+BOM!$I$2:$I$71)*BOM!$M$2:$M$71)</f>
        <v>0</v>
      </c>
      <c r="I75" s="5">
        <f>D75*SUMPRODUCT((BOM!$B$2:$B$71=C75)*(BOM!$E$2:$E$71="Packing")*(BOM!$N$2:$N$71="BDT")*BOM!$H$2:$H$71*(1+BOM!$I$2:$I$71)*BOM!$M$2:$M$71)</f>
        <v>3215.27124009</v>
      </c>
      <c r="J75" s="5">
        <f>D75*SUMPRODUCT((BOM!$B$2:$B$71=C75)*(BOM!$E$2:$E$71="Packing")*(BOM!$N$2:$N$71="USD")*BOM!$H$2:$H$71*(1+BOM!$I$2:$I$71)*BOM!$M$2:$M$71)</f>
        <v>0</v>
      </c>
      <c r="K75" s="5">
        <f t="shared" si="8"/>
        <v>109775.94744987001</v>
      </c>
      <c r="L75" s="5">
        <f t="shared" si="9"/>
        <v>2934.6137529799994</v>
      </c>
      <c r="M75" s="5">
        <f t="shared" si="10"/>
        <v>34.187464170000005</v>
      </c>
      <c r="N75" s="5">
        <f t="shared" si="11"/>
        <v>0.91392517999999978</v>
      </c>
    </row>
    <row r="76" spans="1:14" x14ac:dyDescent="0.3">
      <c r="A76" s="3" t="s">
        <v>584</v>
      </c>
      <c r="B76" s="3" t="str">
        <f>Order_Sheet!A76</f>
        <v>SO-2026-0075</v>
      </c>
      <c r="C76" s="3" t="str">
        <f>Order_Sheet!D76</f>
        <v>ST-106</v>
      </c>
      <c r="D76" s="3">
        <f>Order_Sheet!F76</f>
        <v>6581</v>
      </c>
      <c r="E76" s="5">
        <f>D76*SUMPRODUCT((BOM!$B$2:$B$71=C76)*(BOM!$E$2:$E$71="Fabric")*(BOM!$N$2:$N$71="BDT")*BOM!$H$2:$H$71*(1+BOM!$I$2:$I$71)*BOM!$M$2:$M$71)</f>
        <v>31549.532489200003</v>
      </c>
      <c r="F76" s="5">
        <f>D76*SUMPRODUCT((BOM!$B$2:$B$71=C76)*(BOM!$E$2:$E$71="Fabric")*(BOM!$N$2:$N$71="USD")*BOM!$H$2:$H$71*(1+BOM!$I$2:$I$71)*BOM!$M$2:$M$71)</f>
        <v>0</v>
      </c>
      <c r="G76" s="5">
        <f>D76*SUMPRODUCT((BOM!$B$2:$B$71=C76)*(BOM!$E$2:$E$71="Accessory")*(BOM!$N$2:$N$71="BDT")*BOM!$H$2:$H$71*(1+BOM!$I$2:$I$71)*BOM!$M$2:$M$71)</f>
        <v>219930.60115583998</v>
      </c>
      <c r="H76" s="5">
        <f>D76*SUMPRODUCT((BOM!$B$2:$B$71=C76)*(BOM!$E$2:$E$71="Accessory")*(BOM!$N$2:$N$71="USD")*BOM!$H$2:$H$71*(1+BOM!$I$2:$I$71)*BOM!$M$2:$M$71)</f>
        <v>0</v>
      </c>
      <c r="I76" s="5">
        <f>D76*SUMPRODUCT((BOM!$B$2:$B$71=C76)*(BOM!$E$2:$E$71="Packing")*(BOM!$N$2:$N$71="BDT")*BOM!$H$2:$H$71*(1+BOM!$I$2:$I$71)*BOM!$M$2:$M$71)</f>
        <v>13612.101769530002</v>
      </c>
      <c r="J76" s="5">
        <f>D76*SUMPRODUCT((BOM!$B$2:$B$71=C76)*(BOM!$E$2:$E$71="Packing")*(BOM!$N$2:$N$71="USD")*BOM!$H$2:$H$71*(1+BOM!$I$2:$I$71)*BOM!$M$2:$M$71)</f>
        <v>0</v>
      </c>
      <c r="K76" s="5">
        <f t="shared" si="8"/>
        <v>265092.23541456996</v>
      </c>
      <c r="L76" s="5">
        <f t="shared" si="9"/>
        <v>0</v>
      </c>
      <c r="M76" s="5">
        <f t="shared" si="10"/>
        <v>40.281451969999992</v>
      </c>
      <c r="N76" s="5">
        <f t="shared" si="11"/>
        <v>0</v>
      </c>
    </row>
    <row r="77" spans="1:14" x14ac:dyDescent="0.3">
      <c r="A77" s="3" t="s">
        <v>585</v>
      </c>
      <c r="B77" s="3" t="str">
        <f>Order_Sheet!A77</f>
        <v>SO-2026-0076</v>
      </c>
      <c r="C77" s="3" t="str">
        <f>Order_Sheet!D77</f>
        <v>ST-108</v>
      </c>
      <c r="D77" s="3">
        <f>Order_Sheet!F77</f>
        <v>6764</v>
      </c>
      <c r="E77" s="5">
        <f>D77*SUMPRODUCT((BOM!$B$2:$B$71=C77)*(BOM!$E$2:$E$71="Fabric")*(BOM!$N$2:$N$71="BDT")*BOM!$H$2:$H$71*(1+BOM!$I$2:$I$71)*BOM!$M$2:$M$71)</f>
        <v>10009.4811734</v>
      </c>
      <c r="F77" s="5">
        <f>D77*SUMPRODUCT((BOM!$B$2:$B$71=C77)*(BOM!$E$2:$E$71="Fabric")*(BOM!$N$2:$N$71="USD")*BOM!$H$2:$H$71*(1+BOM!$I$2:$I$71)*BOM!$M$2:$M$71)</f>
        <v>2966.5567433599995</v>
      </c>
      <c r="G77" s="5">
        <f>D77*SUMPRODUCT((BOM!$B$2:$B$71=C77)*(BOM!$E$2:$E$71="Accessory")*(BOM!$N$2:$N$71="BDT")*BOM!$H$2:$H$71*(1+BOM!$I$2:$I$71)*BOM!$M$2:$M$71)</f>
        <v>284811.99448015995</v>
      </c>
      <c r="H77" s="5">
        <f>D77*SUMPRODUCT((BOM!$B$2:$B$71=C77)*(BOM!$E$2:$E$71="Accessory")*(BOM!$N$2:$N$71="USD")*BOM!$H$2:$H$71*(1+BOM!$I$2:$I$71)*BOM!$M$2:$M$71)</f>
        <v>0</v>
      </c>
      <c r="I77" s="5">
        <f>D77*SUMPRODUCT((BOM!$B$2:$B$71=C77)*(BOM!$E$2:$E$71="Packing")*(BOM!$N$2:$N$71="BDT")*BOM!$H$2:$H$71*(1+BOM!$I$2:$I$71)*BOM!$M$2:$M$71)</f>
        <v>2795.8642272000002</v>
      </c>
      <c r="J77" s="5">
        <f>D77*SUMPRODUCT((BOM!$B$2:$B$71=C77)*(BOM!$E$2:$E$71="Packing")*(BOM!$N$2:$N$71="USD")*BOM!$H$2:$H$71*(1+BOM!$I$2:$I$71)*BOM!$M$2:$M$71)</f>
        <v>0</v>
      </c>
      <c r="K77" s="5">
        <f t="shared" si="8"/>
        <v>297617.33988075994</v>
      </c>
      <c r="L77" s="5">
        <f t="shared" si="9"/>
        <v>2966.5567433599995</v>
      </c>
      <c r="M77" s="5">
        <f t="shared" si="10"/>
        <v>44.000198089999991</v>
      </c>
      <c r="N77" s="5">
        <f t="shared" si="11"/>
        <v>0.4385802399999999</v>
      </c>
    </row>
    <row r="78" spans="1:14" x14ac:dyDescent="0.3">
      <c r="A78" s="3" t="s">
        <v>586</v>
      </c>
      <c r="B78" s="3" t="str">
        <f>Order_Sheet!A78</f>
        <v>SO-2026-0077</v>
      </c>
      <c r="C78" s="3" t="str">
        <f>Order_Sheet!D78</f>
        <v>ST-101</v>
      </c>
      <c r="D78" s="3">
        <f>Order_Sheet!F78</f>
        <v>5915</v>
      </c>
      <c r="E78" s="5">
        <f>D78*SUMPRODUCT((BOM!$B$2:$B$71=C78)*(BOM!$E$2:$E$71="Fabric")*(BOM!$N$2:$N$71="BDT")*BOM!$H$2:$H$71*(1+BOM!$I$2:$I$71)*BOM!$M$2:$M$71)</f>
        <v>11543.265169800001</v>
      </c>
      <c r="F78" s="5">
        <f>D78*SUMPRODUCT((BOM!$B$2:$B$71=C78)*(BOM!$E$2:$E$71="Fabric")*(BOM!$N$2:$N$71="USD")*BOM!$H$2:$H$71*(1+BOM!$I$2:$I$71)*BOM!$M$2:$M$71)</f>
        <v>2108.4441013999999</v>
      </c>
      <c r="G78" s="5">
        <f>D78*SUMPRODUCT((BOM!$B$2:$B$71=C78)*(BOM!$E$2:$E$71="Accessory")*(BOM!$N$2:$N$71="BDT")*BOM!$H$2:$H$71*(1+BOM!$I$2:$I$71)*BOM!$M$2:$M$71)</f>
        <v>173566.02657030002</v>
      </c>
      <c r="H78" s="5">
        <f>D78*SUMPRODUCT((BOM!$B$2:$B$71=C78)*(BOM!$E$2:$E$71="Accessory")*(BOM!$N$2:$N$71="USD")*BOM!$H$2:$H$71*(1+BOM!$I$2:$I$71)*BOM!$M$2:$M$71)</f>
        <v>0</v>
      </c>
      <c r="I78" s="5">
        <f>D78*SUMPRODUCT((BOM!$B$2:$B$71=C78)*(BOM!$E$2:$E$71="Packing")*(BOM!$N$2:$N$71="BDT")*BOM!$H$2:$H$71*(1+BOM!$I$2:$I$71)*BOM!$M$2:$M$71)</f>
        <v>10732.131341750001</v>
      </c>
      <c r="J78" s="5">
        <f>D78*SUMPRODUCT((BOM!$B$2:$B$71=C78)*(BOM!$E$2:$E$71="Packing")*(BOM!$N$2:$N$71="USD")*BOM!$H$2:$H$71*(1+BOM!$I$2:$I$71)*BOM!$M$2:$M$71)</f>
        <v>0</v>
      </c>
      <c r="K78" s="5">
        <f t="shared" si="8"/>
        <v>195841.42308185002</v>
      </c>
      <c r="L78" s="5">
        <f t="shared" si="9"/>
        <v>2108.4441013999999</v>
      </c>
      <c r="M78" s="5">
        <f t="shared" si="10"/>
        <v>33.109285390000004</v>
      </c>
      <c r="N78" s="5">
        <f t="shared" si="11"/>
        <v>0.35645716</v>
      </c>
    </row>
    <row r="79" spans="1:14" x14ac:dyDescent="0.3">
      <c r="A79" s="3" t="s">
        <v>587</v>
      </c>
      <c r="B79" s="3" t="str">
        <f>Order_Sheet!A79</f>
        <v>SO-2026-0078</v>
      </c>
      <c r="C79" s="3" t="str">
        <f>Order_Sheet!D79</f>
        <v>ST-102</v>
      </c>
      <c r="D79" s="3">
        <f>Order_Sheet!F79</f>
        <v>6509</v>
      </c>
      <c r="E79" s="5">
        <f>D79*SUMPRODUCT((BOM!$B$2:$B$71=C79)*(BOM!$E$2:$E$71="Fabric")*(BOM!$N$2:$N$71="BDT")*BOM!$H$2:$H$71*(1+BOM!$I$2:$I$71)*BOM!$M$2:$M$71)</f>
        <v>33045.0259363</v>
      </c>
      <c r="F79" s="5">
        <f>D79*SUMPRODUCT((BOM!$B$2:$B$71=C79)*(BOM!$E$2:$E$71="Fabric")*(BOM!$N$2:$N$71="USD")*BOM!$H$2:$H$71*(1+BOM!$I$2:$I$71)*BOM!$M$2:$M$71)</f>
        <v>0</v>
      </c>
      <c r="G79" s="5">
        <f>D79*SUMPRODUCT((BOM!$B$2:$B$71=C79)*(BOM!$E$2:$E$71="Accessory")*(BOM!$N$2:$N$71="BDT")*BOM!$H$2:$H$71*(1+BOM!$I$2:$I$71)*BOM!$M$2:$M$71)</f>
        <v>88164.662886579987</v>
      </c>
      <c r="H79" s="5">
        <f>D79*SUMPRODUCT((BOM!$B$2:$B$71=C79)*(BOM!$E$2:$E$71="Accessory")*(BOM!$N$2:$N$71="USD")*BOM!$H$2:$H$71*(1+BOM!$I$2:$I$71)*BOM!$M$2:$M$71)</f>
        <v>0</v>
      </c>
      <c r="I79" s="5">
        <f>D79*SUMPRODUCT((BOM!$B$2:$B$71=C79)*(BOM!$E$2:$E$71="Packing")*(BOM!$N$2:$N$71="BDT")*BOM!$H$2:$H$71*(1+BOM!$I$2:$I$71)*BOM!$M$2:$M$71)</f>
        <v>2935.2912197399996</v>
      </c>
      <c r="J79" s="5">
        <f>D79*SUMPRODUCT((BOM!$B$2:$B$71=C79)*(BOM!$E$2:$E$71="Packing")*(BOM!$N$2:$N$71="USD")*BOM!$H$2:$H$71*(1+BOM!$I$2:$I$71)*BOM!$M$2:$M$71)</f>
        <v>0</v>
      </c>
      <c r="K79" s="5">
        <f t="shared" si="8"/>
        <v>124144.98004261998</v>
      </c>
      <c r="L79" s="5">
        <f t="shared" si="9"/>
        <v>0</v>
      </c>
      <c r="M79" s="5">
        <f t="shared" si="10"/>
        <v>19.072819179999996</v>
      </c>
      <c r="N79" s="5">
        <f t="shared" si="11"/>
        <v>0</v>
      </c>
    </row>
    <row r="80" spans="1:14" x14ac:dyDescent="0.3">
      <c r="A80" s="3" t="s">
        <v>588</v>
      </c>
      <c r="B80" s="3" t="str">
        <f>Order_Sheet!A80</f>
        <v>SO-2026-0079</v>
      </c>
      <c r="C80" s="3" t="str">
        <f>Order_Sheet!D80</f>
        <v>ST-106</v>
      </c>
      <c r="D80" s="3">
        <f>Order_Sheet!F80</f>
        <v>7516</v>
      </c>
      <c r="E80" s="5">
        <f>D80*SUMPRODUCT((BOM!$B$2:$B$71=C80)*(BOM!$E$2:$E$71="Fabric")*(BOM!$N$2:$N$71="BDT")*BOM!$H$2:$H$71*(1+BOM!$I$2:$I$71)*BOM!$M$2:$M$71)</f>
        <v>36031.953531200001</v>
      </c>
      <c r="F80" s="5">
        <f>D80*SUMPRODUCT((BOM!$B$2:$B$71=C80)*(BOM!$E$2:$E$71="Fabric")*(BOM!$N$2:$N$71="USD")*BOM!$H$2:$H$71*(1+BOM!$I$2:$I$71)*BOM!$M$2:$M$71)</f>
        <v>0</v>
      </c>
      <c r="G80" s="5">
        <f>D80*SUMPRODUCT((BOM!$B$2:$B$71=C80)*(BOM!$E$2:$E$71="Accessory")*(BOM!$N$2:$N$71="BDT")*BOM!$H$2:$H$71*(1+BOM!$I$2:$I$71)*BOM!$M$2:$M$71)</f>
        <v>251177.38919423998</v>
      </c>
      <c r="H80" s="5">
        <f>D80*SUMPRODUCT((BOM!$B$2:$B$71=C80)*(BOM!$E$2:$E$71="Accessory")*(BOM!$N$2:$N$71="USD")*BOM!$H$2:$H$71*(1+BOM!$I$2:$I$71)*BOM!$M$2:$M$71)</f>
        <v>0</v>
      </c>
      <c r="I80" s="5">
        <f>D80*SUMPRODUCT((BOM!$B$2:$B$71=C80)*(BOM!$E$2:$E$71="Packing")*(BOM!$N$2:$N$71="BDT")*BOM!$H$2:$H$71*(1+BOM!$I$2:$I$71)*BOM!$M$2:$M$71)</f>
        <v>15546.050281080001</v>
      </c>
      <c r="J80" s="5">
        <f>D80*SUMPRODUCT((BOM!$B$2:$B$71=C80)*(BOM!$E$2:$E$71="Packing")*(BOM!$N$2:$N$71="USD")*BOM!$H$2:$H$71*(1+BOM!$I$2:$I$71)*BOM!$M$2:$M$71)</f>
        <v>0</v>
      </c>
      <c r="K80" s="5">
        <f t="shared" si="8"/>
        <v>302755.39300652</v>
      </c>
      <c r="L80" s="5">
        <f t="shared" si="9"/>
        <v>0</v>
      </c>
      <c r="M80" s="5">
        <f t="shared" si="10"/>
        <v>40.281451969999999</v>
      </c>
      <c r="N80" s="5">
        <f t="shared" si="11"/>
        <v>0</v>
      </c>
    </row>
    <row r="81" spans="1:14" x14ac:dyDescent="0.3">
      <c r="A81" s="3" t="s">
        <v>589</v>
      </c>
      <c r="B81" s="3" t="str">
        <f>Order_Sheet!A81</f>
        <v>SO-2026-0080</v>
      </c>
      <c r="C81" s="3" t="str">
        <f>Order_Sheet!D81</f>
        <v>ST-110</v>
      </c>
      <c r="D81" s="3">
        <f>Order_Sheet!F81</f>
        <v>1732</v>
      </c>
      <c r="E81" s="5">
        <f>D81*SUMPRODUCT((BOM!$B$2:$B$71=C81)*(BOM!$E$2:$E$71="Fabric")*(BOM!$N$2:$N$71="BDT")*BOM!$H$2:$H$71*(1+BOM!$I$2:$I$71)*BOM!$M$2:$M$71)</f>
        <v>13955.553402839998</v>
      </c>
      <c r="F81" s="5">
        <f>D81*SUMPRODUCT((BOM!$B$2:$B$71=C81)*(BOM!$E$2:$E$71="Fabric")*(BOM!$N$2:$N$71="USD")*BOM!$H$2:$H$71*(1+BOM!$I$2:$I$71)*BOM!$M$2:$M$71)</f>
        <v>0</v>
      </c>
      <c r="G81" s="5">
        <f>D81*SUMPRODUCT((BOM!$B$2:$B$71=C81)*(BOM!$E$2:$E$71="Accessory")*(BOM!$N$2:$N$71="BDT")*BOM!$H$2:$H$71*(1+BOM!$I$2:$I$71)*BOM!$M$2:$M$71)</f>
        <v>35263.752988640008</v>
      </c>
      <c r="H81" s="5">
        <f>D81*SUMPRODUCT((BOM!$B$2:$B$71=C81)*(BOM!$E$2:$E$71="Accessory")*(BOM!$N$2:$N$71="USD")*BOM!$H$2:$H$71*(1+BOM!$I$2:$I$71)*BOM!$M$2:$M$71)</f>
        <v>0</v>
      </c>
      <c r="I81" s="5">
        <f>D81*SUMPRODUCT((BOM!$B$2:$B$71=C81)*(BOM!$E$2:$E$71="Packing")*(BOM!$N$2:$N$71="BDT")*BOM!$H$2:$H$71*(1+BOM!$I$2:$I$71)*BOM!$M$2:$M$71)</f>
        <v>6734.8279269600007</v>
      </c>
      <c r="J81" s="5">
        <f>D81*SUMPRODUCT((BOM!$B$2:$B$71=C81)*(BOM!$E$2:$E$71="Packing")*(BOM!$N$2:$N$71="USD")*BOM!$H$2:$H$71*(1+BOM!$I$2:$I$71)*BOM!$M$2:$M$71)</f>
        <v>0</v>
      </c>
      <c r="K81" s="5">
        <f t="shared" si="8"/>
        <v>55954.13431844001</v>
      </c>
      <c r="L81" s="5">
        <f t="shared" si="9"/>
        <v>0</v>
      </c>
      <c r="M81" s="5">
        <f t="shared" si="10"/>
        <v>32.306082170000003</v>
      </c>
      <c r="N81" s="5">
        <f t="shared" si="11"/>
        <v>0</v>
      </c>
    </row>
  </sheetData>
  <autoFilter ref="A1:N81" xr:uid="{00000000-0009-0000-0000-00000C000000}"/>
  <pageMargins left="0.75" right="0.75" top="1" bottom="1" header="0.5" footer="0.5"/>
  <pageSetup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pageSetUpPr fitToPage="1"/>
  </sheetPr>
  <dimension ref="A1:N18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1" customWidth="1"/>
    <col min="3" max="3" width="14" customWidth="1"/>
    <col min="4" max="4" width="12" customWidth="1"/>
    <col min="5" max="5" width="15" customWidth="1"/>
    <col min="6" max="6" width="21" customWidth="1"/>
    <col min="7" max="13" width="12" customWidth="1"/>
    <col min="14" max="14" width="18" customWidth="1"/>
  </cols>
  <sheetData>
    <row r="1" spans="1:14" x14ac:dyDescent="0.3">
      <c r="A1" s="2" t="s">
        <v>192</v>
      </c>
      <c r="B1" s="2" t="s">
        <v>193</v>
      </c>
      <c r="C1" s="2" t="s">
        <v>1</v>
      </c>
      <c r="D1" s="2" t="s">
        <v>4</v>
      </c>
      <c r="E1" s="2" t="s">
        <v>121</v>
      </c>
      <c r="F1" s="2" t="s">
        <v>120</v>
      </c>
      <c r="G1" s="2" t="s">
        <v>116</v>
      </c>
      <c r="H1" s="2" t="s">
        <v>117</v>
      </c>
      <c r="I1" s="2" t="s">
        <v>6</v>
      </c>
      <c r="J1" s="2" t="s">
        <v>119</v>
      </c>
      <c r="K1" s="2" t="s">
        <v>7</v>
      </c>
      <c r="L1" s="2" t="s">
        <v>0</v>
      </c>
      <c r="M1" s="2" t="s">
        <v>122</v>
      </c>
      <c r="N1" s="8" t="s">
        <v>423</v>
      </c>
    </row>
    <row r="2" spans="1:14" x14ac:dyDescent="0.3">
      <c r="A2" s="3" t="s">
        <v>194</v>
      </c>
      <c r="B2" s="4">
        <v>46048</v>
      </c>
      <c r="C2" s="3" t="s">
        <v>84</v>
      </c>
      <c r="D2" s="3" t="s">
        <v>33</v>
      </c>
      <c r="E2" s="3" t="s">
        <v>135</v>
      </c>
      <c r="F2" s="3" t="s">
        <v>127</v>
      </c>
      <c r="G2" s="3" t="s">
        <v>145</v>
      </c>
      <c r="H2" s="3" t="s">
        <v>131</v>
      </c>
      <c r="I2" s="3">
        <v>55331</v>
      </c>
      <c r="J2" s="3" t="s">
        <v>133</v>
      </c>
      <c r="K2" s="5">
        <v>1</v>
      </c>
      <c r="L2" s="3" t="s">
        <v>14</v>
      </c>
      <c r="M2" s="3" t="s">
        <v>195</v>
      </c>
      <c r="N2" s="3" t="str">
        <f t="shared" ref="N2:N33" si="0">IF(COUNTA(A2:M2)&lt;13,"MISSING DATA",IF(OR(I2&lt;=0,K2&lt;=0),"VALUE ERROR","OK"))</f>
        <v>OK</v>
      </c>
    </row>
    <row r="3" spans="1:14" x14ac:dyDescent="0.3">
      <c r="A3" s="3" t="s">
        <v>196</v>
      </c>
      <c r="B3" s="4">
        <v>46092</v>
      </c>
      <c r="C3" s="3" t="s">
        <v>70</v>
      </c>
      <c r="D3" s="3" t="s">
        <v>25</v>
      </c>
      <c r="E3" s="3" t="s">
        <v>135</v>
      </c>
      <c r="F3" s="3" t="s">
        <v>134</v>
      </c>
      <c r="G3" s="3" t="s">
        <v>130</v>
      </c>
      <c r="H3" s="3" t="s">
        <v>131</v>
      </c>
      <c r="I3" s="3">
        <v>42397</v>
      </c>
      <c r="J3" s="3" t="s">
        <v>133</v>
      </c>
      <c r="K3" s="5">
        <v>1</v>
      </c>
      <c r="L3" s="3" t="s">
        <v>14</v>
      </c>
      <c r="M3" s="3" t="s">
        <v>195</v>
      </c>
      <c r="N3" s="3" t="str">
        <f t="shared" si="0"/>
        <v>OK</v>
      </c>
    </row>
    <row r="4" spans="1:14" x14ac:dyDescent="0.3">
      <c r="A4" s="3" t="s">
        <v>197</v>
      </c>
      <c r="B4" s="4">
        <v>46129</v>
      </c>
      <c r="C4" s="3" t="s">
        <v>108</v>
      </c>
      <c r="D4" s="3" t="s">
        <v>55</v>
      </c>
      <c r="E4" s="3" t="s">
        <v>135</v>
      </c>
      <c r="F4" s="3" t="s">
        <v>149</v>
      </c>
      <c r="G4" s="3" t="s">
        <v>160</v>
      </c>
      <c r="H4" s="3" t="s">
        <v>131</v>
      </c>
      <c r="I4" s="3">
        <v>34942</v>
      </c>
      <c r="J4" s="3" t="s">
        <v>162</v>
      </c>
      <c r="K4" s="5">
        <v>1</v>
      </c>
      <c r="L4" s="3" t="s">
        <v>14</v>
      </c>
      <c r="M4" s="3" t="s">
        <v>198</v>
      </c>
      <c r="N4" s="3" t="str">
        <f t="shared" si="0"/>
        <v>OK</v>
      </c>
    </row>
    <row r="5" spans="1:14" x14ac:dyDescent="0.3">
      <c r="A5" s="3" t="s">
        <v>199</v>
      </c>
      <c r="B5" s="4">
        <v>46097</v>
      </c>
      <c r="C5" s="3" t="s">
        <v>61</v>
      </c>
      <c r="D5" s="3" t="s">
        <v>40</v>
      </c>
      <c r="E5" s="3" t="s">
        <v>135</v>
      </c>
      <c r="F5" s="3" t="s">
        <v>144</v>
      </c>
      <c r="G5" s="3" t="s">
        <v>142</v>
      </c>
      <c r="H5" s="3" t="s">
        <v>131</v>
      </c>
      <c r="I5" s="3">
        <v>36015</v>
      </c>
      <c r="J5" s="3" t="s">
        <v>133</v>
      </c>
      <c r="K5" s="5">
        <v>1.65</v>
      </c>
      <c r="L5" s="3" t="s">
        <v>191</v>
      </c>
      <c r="M5" s="3" t="s">
        <v>200</v>
      </c>
      <c r="N5" s="3" t="str">
        <f t="shared" si="0"/>
        <v>OK</v>
      </c>
    </row>
    <row r="6" spans="1:14" x14ac:dyDescent="0.3">
      <c r="A6" s="3" t="s">
        <v>201</v>
      </c>
      <c r="B6" s="4">
        <v>46079</v>
      </c>
      <c r="C6" s="3" t="s">
        <v>16</v>
      </c>
      <c r="D6" s="3" t="s">
        <v>17</v>
      </c>
      <c r="E6" s="3" t="s">
        <v>135</v>
      </c>
      <c r="F6" s="3" t="s">
        <v>141</v>
      </c>
      <c r="G6" s="3" t="s">
        <v>170</v>
      </c>
      <c r="H6" s="3" t="s">
        <v>131</v>
      </c>
      <c r="I6" s="3">
        <v>11809</v>
      </c>
      <c r="J6" s="3" t="s">
        <v>133</v>
      </c>
      <c r="K6" s="5">
        <v>1</v>
      </c>
      <c r="L6" s="3" t="s">
        <v>14</v>
      </c>
      <c r="M6" s="3" t="s">
        <v>198</v>
      </c>
      <c r="N6" s="3" t="str">
        <f t="shared" si="0"/>
        <v>OK</v>
      </c>
    </row>
    <row r="7" spans="1:14" x14ac:dyDescent="0.3">
      <c r="A7" s="3" t="s">
        <v>202</v>
      </c>
      <c r="B7" s="4">
        <v>46053</v>
      </c>
      <c r="C7" s="3" t="s">
        <v>95</v>
      </c>
      <c r="D7" s="3" t="s">
        <v>36</v>
      </c>
      <c r="E7" s="3" t="s">
        <v>135</v>
      </c>
      <c r="F7" s="3" t="s">
        <v>134</v>
      </c>
      <c r="G7" s="3" t="s">
        <v>130</v>
      </c>
      <c r="H7" s="3" t="s">
        <v>131</v>
      </c>
      <c r="I7" s="3">
        <v>33813</v>
      </c>
      <c r="J7" s="3" t="s">
        <v>133</v>
      </c>
      <c r="K7" s="5">
        <v>1</v>
      </c>
      <c r="L7" s="3" t="s">
        <v>14</v>
      </c>
      <c r="M7" s="3" t="s">
        <v>198</v>
      </c>
      <c r="N7" s="3" t="str">
        <f t="shared" si="0"/>
        <v>OK</v>
      </c>
    </row>
    <row r="8" spans="1:14" x14ac:dyDescent="0.3">
      <c r="A8" s="3" t="s">
        <v>203</v>
      </c>
      <c r="B8" s="4">
        <v>46106</v>
      </c>
      <c r="C8" s="3" t="s">
        <v>10</v>
      </c>
      <c r="D8" s="3" t="s">
        <v>12</v>
      </c>
      <c r="E8" s="3" t="s">
        <v>128</v>
      </c>
      <c r="F8" s="3" t="s">
        <v>127</v>
      </c>
      <c r="G8" s="3" t="s">
        <v>152</v>
      </c>
      <c r="H8" s="3" t="s">
        <v>124</v>
      </c>
      <c r="I8" s="3">
        <v>3058</v>
      </c>
      <c r="J8" s="3" t="s">
        <v>126</v>
      </c>
      <c r="K8" s="5">
        <v>1</v>
      </c>
      <c r="L8" s="3" t="s">
        <v>14</v>
      </c>
      <c r="M8" s="3" t="s">
        <v>200</v>
      </c>
      <c r="N8" s="3" t="str">
        <f t="shared" si="0"/>
        <v>OK</v>
      </c>
    </row>
    <row r="9" spans="1:14" x14ac:dyDescent="0.3">
      <c r="A9" s="3" t="s">
        <v>204</v>
      </c>
      <c r="B9" s="4">
        <v>46044</v>
      </c>
      <c r="C9" s="3" t="s">
        <v>111</v>
      </c>
      <c r="D9" s="3" t="s">
        <v>21</v>
      </c>
      <c r="E9" s="3" t="s">
        <v>135</v>
      </c>
      <c r="F9" s="3" t="s">
        <v>127</v>
      </c>
      <c r="G9" s="3" t="s">
        <v>163</v>
      </c>
      <c r="H9" s="3" t="s">
        <v>137</v>
      </c>
      <c r="I9" s="3">
        <v>4236</v>
      </c>
      <c r="J9" s="3" t="s">
        <v>133</v>
      </c>
      <c r="K9" s="5">
        <v>3.19</v>
      </c>
      <c r="L9" s="3" t="s">
        <v>191</v>
      </c>
      <c r="M9" s="3" t="s">
        <v>195</v>
      </c>
      <c r="N9" s="3" t="str">
        <f t="shared" si="0"/>
        <v>OK</v>
      </c>
    </row>
    <row r="10" spans="1:14" x14ac:dyDescent="0.3">
      <c r="A10" s="3" t="s">
        <v>205</v>
      </c>
      <c r="B10" s="4">
        <v>46087</v>
      </c>
      <c r="C10" s="3" t="s">
        <v>109</v>
      </c>
      <c r="D10" s="3" t="s">
        <v>55</v>
      </c>
      <c r="E10" s="3" t="s">
        <v>135</v>
      </c>
      <c r="F10" s="3" t="s">
        <v>141</v>
      </c>
      <c r="G10" s="3" t="s">
        <v>184</v>
      </c>
      <c r="H10" s="3" t="s">
        <v>131</v>
      </c>
      <c r="I10" s="3">
        <v>30342</v>
      </c>
      <c r="J10" s="3" t="s">
        <v>174</v>
      </c>
      <c r="K10" s="5">
        <v>3.06</v>
      </c>
      <c r="L10" s="3" t="s">
        <v>191</v>
      </c>
      <c r="M10" s="3" t="s">
        <v>198</v>
      </c>
      <c r="N10" s="3" t="str">
        <f t="shared" si="0"/>
        <v>OK</v>
      </c>
    </row>
    <row r="11" spans="1:14" x14ac:dyDescent="0.3">
      <c r="A11" s="3" t="s">
        <v>206</v>
      </c>
      <c r="B11" s="4">
        <v>46040</v>
      </c>
      <c r="C11" s="3" t="s">
        <v>105</v>
      </c>
      <c r="D11" s="3" t="s">
        <v>55</v>
      </c>
      <c r="E11" s="3" t="s">
        <v>135</v>
      </c>
      <c r="F11" s="3" t="s">
        <v>141</v>
      </c>
      <c r="G11" s="3" t="s">
        <v>184</v>
      </c>
      <c r="H11" s="3" t="s">
        <v>131</v>
      </c>
      <c r="I11" s="3">
        <v>32099</v>
      </c>
      <c r="J11" s="3" t="s">
        <v>174</v>
      </c>
      <c r="K11" s="5">
        <v>3.06</v>
      </c>
      <c r="L11" s="3" t="s">
        <v>191</v>
      </c>
      <c r="M11" s="3" t="s">
        <v>195</v>
      </c>
      <c r="N11" s="3" t="str">
        <f t="shared" si="0"/>
        <v>OK</v>
      </c>
    </row>
    <row r="12" spans="1:14" x14ac:dyDescent="0.3">
      <c r="A12" s="3" t="s">
        <v>207</v>
      </c>
      <c r="B12" s="4">
        <v>46081</v>
      </c>
      <c r="C12" s="3" t="s">
        <v>74</v>
      </c>
      <c r="D12" s="3" t="s">
        <v>55</v>
      </c>
      <c r="E12" s="3" t="s">
        <v>128</v>
      </c>
      <c r="F12" s="3" t="s">
        <v>127</v>
      </c>
      <c r="G12" s="3" t="s">
        <v>152</v>
      </c>
      <c r="H12" s="3" t="s">
        <v>124</v>
      </c>
      <c r="I12" s="3">
        <v>2617</v>
      </c>
      <c r="J12" s="3" t="s">
        <v>126</v>
      </c>
      <c r="K12" s="5">
        <v>1</v>
      </c>
      <c r="L12" s="3" t="s">
        <v>14</v>
      </c>
      <c r="M12" s="3" t="s">
        <v>195</v>
      </c>
      <c r="N12" s="3" t="str">
        <f t="shared" si="0"/>
        <v>OK</v>
      </c>
    </row>
    <row r="13" spans="1:14" x14ac:dyDescent="0.3">
      <c r="A13" s="3" t="s">
        <v>208</v>
      </c>
      <c r="B13" s="4">
        <v>46112</v>
      </c>
      <c r="C13" s="3" t="s">
        <v>68</v>
      </c>
      <c r="D13" s="3" t="s">
        <v>40</v>
      </c>
      <c r="E13" s="3" t="s">
        <v>135</v>
      </c>
      <c r="F13" s="3" t="s">
        <v>144</v>
      </c>
      <c r="G13" s="3" t="s">
        <v>158</v>
      </c>
      <c r="H13" s="3" t="s">
        <v>124</v>
      </c>
      <c r="I13" s="3">
        <v>4713</v>
      </c>
      <c r="J13" s="3" t="s">
        <v>126</v>
      </c>
      <c r="K13" s="5">
        <v>5.15</v>
      </c>
      <c r="L13" s="3" t="s">
        <v>191</v>
      </c>
      <c r="M13" s="3" t="s">
        <v>200</v>
      </c>
      <c r="N13" s="3" t="str">
        <f t="shared" si="0"/>
        <v>OK</v>
      </c>
    </row>
    <row r="14" spans="1:14" x14ac:dyDescent="0.3">
      <c r="A14" s="3" t="s">
        <v>209</v>
      </c>
      <c r="B14" s="4">
        <v>46122</v>
      </c>
      <c r="C14" s="3" t="s">
        <v>106</v>
      </c>
      <c r="D14" s="3" t="s">
        <v>40</v>
      </c>
      <c r="E14" s="3" t="s">
        <v>128</v>
      </c>
      <c r="F14" s="3" t="s">
        <v>127</v>
      </c>
      <c r="G14" s="3" t="s">
        <v>152</v>
      </c>
      <c r="H14" s="3" t="s">
        <v>124</v>
      </c>
      <c r="I14" s="3">
        <v>4036</v>
      </c>
      <c r="J14" s="3" t="s">
        <v>126</v>
      </c>
      <c r="K14" s="5">
        <v>1</v>
      </c>
      <c r="L14" s="3" t="s">
        <v>14</v>
      </c>
      <c r="M14" s="3" t="s">
        <v>198</v>
      </c>
      <c r="N14" s="3" t="str">
        <f t="shared" si="0"/>
        <v>OK</v>
      </c>
    </row>
    <row r="15" spans="1:14" x14ac:dyDescent="0.3">
      <c r="A15" s="3" t="s">
        <v>210</v>
      </c>
      <c r="B15" s="4">
        <v>46090</v>
      </c>
      <c r="C15" s="3" t="s">
        <v>96</v>
      </c>
      <c r="D15" s="3" t="s">
        <v>36</v>
      </c>
      <c r="E15" s="3" t="s">
        <v>135</v>
      </c>
      <c r="F15" s="3" t="s">
        <v>127</v>
      </c>
      <c r="G15" s="3" t="s">
        <v>146</v>
      </c>
      <c r="H15" s="3" t="s">
        <v>137</v>
      </c>
      <c r="I15" s="3">
        <v>4249</v>
      </c>
      <c r="J15" s="3" t="s">
        <v>133</v>
      </c>
      <c r="K15" s="5">
        <v>1</v>
      </c>
      <c r="L15" s="3" t="s">
        <v>14</v>
      </c>
      <c r="M15" s="3" t="s">
        <v>198</v>
      </c>
      <c r="N15" s="3" t="str">
        <f t="shared" si="0"/>
        <v>OK</v>
      </c>
    </row>
    <row r="16" spans="1:14" x14ac:dyDescent="0.3">
      <c r="A16" s="3" t="s">
        <v>211</v>
      </c>
      <c r="B16" s="4">
        <v>46122</v>
      </c>
      <c r="C16" s="3" t="s">
        <v>108</v>
      </c>
      <c r="D16" s="3" t="s">
        <v>55</v>
      </c>
      <c r="E16" s="3" t="s">
        <v>128</v>
      </c>
      <c r="F16" s="3" t="s">
        <v>127</v>
      </c>
      <c r="G16" s="3" t="s">
        <v>152</v>
      </c>
      <c r="H16" s="3" t="s">
        <v>124</v>
      </c>
      <c r="I16" s="3">
        <v>4696</v>
      </c>
      <c r="J16" s="3" t="s">
        <v>126</v>
      </c>
      <c r="K16" s="5">
        <v>1</v>
      </c>
      <c r="L16" s="3" t="s">
        <v>14</v>
      </c>
      <c r="M16" s="3" t="s">
        <v>200</v>
      </c>
      <c r="N16" s="3" t="str">
        <f t="shared" si="0"/>
        <v>OK</v>
      </c>
    </row>
    <row r="17" spans="1:14" x14ac:dyDescent="0.3">
      <c r="A17" s="3" t="s">
        <v>212</v>
      </c>
      <c r="B17" s="4">
        <v>46037</v>
      </c>
      <c r="C17" s="3" t="s">
        <v>111</v>
      </c>
      <c r="D17" s="3" t="s">
        <v>21</v>
      </c>
      <c r="E17" s="3" t="s">
        <v>135</v>
      </c>
      <c r="F17" s="3" t="s">
        <v>149</v>
      </c>
      <c r="G17" s="3" t="s">
        <v>160</v>
      </c>
      <c r="H17" s="3" t="s">
        <v>131</v>
      </c>
      <c r="I17" s="3">
        <v>44564</v>
      </c>
      <c r="J17" s="3" t="s">
        <v>162</v>
      </c>
      <c r="K17" s="5">
        <v>1</v>
      </c>
      <c r="L17" s="3" t="s">
        <v>14</v>
      </c>
      <c r="M17" s="3" t="s">
        <v>200</v>
      </c>
      <c r="N17" s="3" t="str">
        <f t="shared" si="0"/>
        <v>OK</v>
      </c>
    </row>
    <row r="18" spans="1:14" x14ac:dyDescent="0.3">
      <c r="A18" s="3" t="s">
        <v>213</v>
      </c>
      <c r="B18" s="4">
        <v>46102</v>
      </c>
      <c r="C18" s="3" t="s">
        <v>94</v>
      </c>
      <c r="D18" s="3" t="s">
        <v>28</v>
      </c>
      <c r="E18" s="3" t="s">
        <v>135</v>
      </c>
      <c r="F18" s="3" t="s">
        <v>149</v>
      </c>
      <c r="G18" s="3" t="s">
        <v>176</v>
      </c>
      <c r="H18" s="3" t="s">
        <v>131</v>
      </c>
      <c r="I18" s="3">
        <v>80956</v>
      </c>
      <c r="J18" s="3" t="s">
        <v>174</v>
      </c>
      <c r="K18" s="5">
        <v>1</v>
      </c>
      <c r="L18" s="3" t="s">
        <v>14</v>
      </c>
      <c r="M18" s="3" t="s">
        <v>214</v>
      </c>
      <c r="N18" s="3" t="str">
        <f t="shared" si="0"/>
        <v>OK</v>
      </c>
    </row>
    <row r="19" spans="1:14" x14ac:dyDescent="0.3">
      <c r="A19" s="3" t="s">
        <v>215</v>
      </c>
      <c r="B19" s="4">
        <v>46074</v>
      </c>
      <c r="C19" s="3" t="s">
        <v>101</v>
      </c>
      <c r="D19" s="3" t="s">
        <v>55</v>
      </c>
      <c r="E19" s="3" t="s">
        <v>128</v>
      </c>
      <c r="F19" s="3" t="s">
        <v>127</v>
      </c>
      <c r="G19" s="3" t="s">
        <v>152</v>
      </c>
      <c r="H19" s="3" t="s">
        <v>124</v>
      </c>
      <c r="I19" s="3">
        <v>6948</v>
      </c>
      <c r="J19" s="3" t="s">
        <v>126</v>
      </c>
      <c r="K19" s="5">
        <v>1</v>
      </c>
      <c r="L19" s="3" t="s">
        <v>14</v>
      </c>
      <c r="M19" s="3" t="s">
        <v>198</v>
      </c>
      <c r="N19" s="3" t="str">
        <f t="shared" si="0"/>
        <v>OK</v>
      </c>
    </row>
    <row r="20" spans="1:14" x14ac:dyDescent="0.3">
      <c r="A20" s="3" t="s">
        <v>216</v>
      </c>
      <c r="B20" s="4">
        <v>46040</v>
      </c>
      <c r="C20" s="3" t="s">
        <v>34</v>
      </c>
      <c r="D20" s="3" t="s">
        <v>36</v>
      </c>
      <c r="E20" s="3" t="s">
        <v>135</v>
      </c>
      <c r="F20" s="3" t="s">
        <v>134</v>
      </c>
      <c r="G20" s="3" t="s">
        <v>130</v>
      </c>
      <c r="H20" s="3" t="s">
        <v>131</v>
      </c>
      <c r="I20" s="3">
        <v>42946</v>
      </c>
      <c r="J20" s="3" t="s">
        <v>133</v>
      </c>
      <c r="K20" s="5">
        <v>1</v>
      </c>
      <c r="L20" s="3" t="s">
        <v>14</v>
      </c>
      <c r="M20" s="3" t="s">
        <v>200</v>
      </c>
      <c r="N20" s="3" t="str">
        <f t="shared" si="0"/>
        <v>OK</v>
      </c>
    </row>
    <row r="21" spans="1:14" x14ac:dyDescent="0.3">
      <c r="A21" s="3" t="s">
        <v>217</v>
      </c>
      <c r="B21" s="4">
        <v>46073</v>
      </c>
      <c r="C21" s="3" t="s">
        <v>101</v>
      </c>
      <c r="D21" s="3" t="s">
        <v>55</v>
      </c>
      <c r="E21" s="3" t="s">
        <v>135</v>
      </c>
      <c r="F21" s="3" t="s">
        <v>141</v>
      </c>
      <c r="G21" s="3" t="s">
        <v>167</v>
      </c>
      <c r="H21" s="3" t="s">
        <v>124</v>
      </c>
      <c r="I21" s="3">
        <v>6151</v>
      </c>
      <c r="J21" s="3" t="s">
        <v>126</v>
      </c>
      <c r="K21" s="5">
        <v>1</v>
      </c>
      <c r="L21" s="3" t="s">
        <v>14</v>
      </c>
      <c r="M21" s="3" t="s">
        <v>195</v>
      </c>
      <c r="N21" s="3" t="str">
        <f t="shared" si="0"/>
        <v>OK</v>
      </c>
    </row>
    <row r="22" spans="1:14" x14ac:dyDescent="0.3">
      <c r="A22" s="3" t="s">
        <v>218</v>
      </c>
      <c r="B22" s="4">
        <v>46136</v>
      </c>
      <c r="C22" s="3" t="s">
        <v>19</v>
      </c>
      <c r="D22" s="3" t="s">
        <v>21</v>
      </c>
      <c r="E22" s="3" t="s">
        <v>135</v>
      </c>
      <c r="F22" s="3" t="s">
        <v>141</v>
      </c>
      <c r="G22" s="3" t="s">
        <v>182</v>
      </c>
      <c r="H22" s="3" t="s">
        <v>124</v>
      </c>
      <c r="I22" s="3">
        <v>316</v>
      </c>
      <c r="J22" s="3" t="s">
        <v>162</v>
      </c>
      <c r="K22" s="5">
        <v>1</v>
      </c>
      <c r="L22" s="3" t="s">
        <v>14</v>
      </c>
      <c r="M22" s="3" t="s">
        <v>200</v>
      </c>
      <c r="N22" s="3" t="str">
        <f t="shared" si="0"/>
        <v>OK</v>
      </c>
    </row>
    <row r="23" spans="1:14" x14ac:dyDescent="0.3">
      <c r="A23" s="3" t="s">
        <v>219</v>
      </c>
      <c r="B23" s="4">
        <v>46101</v>
      </c>
      <c r="C23" s="3" t="s">
        <v>107</v>
      </c>
      <c r="D23" s="3" t="s">
        <v>28</v>
      </c>
      <c r="E23" s="3" t="s">
        <v>135</v>
      </c>
      <c r="F23" s="3" t="s">
        <v>134</v>
      </c>
      <c r="G23" s="3" t="s">
        <v>181</v>
      </c>
      <c r="H23" s="3" t="s">
        <v>124</v>
      </c>
      <c r="I23" s="3">
        <v>5267</v>
      </c>
      <c r="J23" s="3" t="s">
        <v>126</v>
      </c>
      <c r="K23" s="5">
        <v>4.13</v>
      </c>
      <c r="L23" s="3" t="s">
        <v>191</v>
      </c>
      <c r="M23" s="3" t="s">
        <v>214</v>
      </c>
      <c r="N23" s="3" t="str">
        <f t="shared" si="0"/>
        <v>OK</v>
      </c>
    </row>
    <row r="24" spans="1:14" x14ac:dyDescent="0.3">
      <c r="A24" s="3" t="s">
        <v>220</v>
      </c>
      <c r="B24" s="4">
        <v>46040</v>
      </c>
      <c r="C24" s="3" t="s">
        <v>59</v>
      </c>
      <c r="D24" s="3" t="s">
        <v>12</v>
      </c>
      <c r="E24" s="3" t="s">
        <v>128</v>
      </c>
      <c r="F24" s="3" t="s">
        <v>127</v>
      </c>
      <c r="G24" s="3" t="s">
        <v>123</v>
      </c>
      <c r="H24" s="3" t="s">
        <v>124</v>
      </c>
      <c r="I24" s="3">
        <v>2558</v>
      </c>
      <c r="J24" s="3" t="s">
        <v>126</v>
      </c>
      <c r="K24" s="5">
        <v>1</v>
      </c>
      <c r="L24" s="3" t="s">
        <v>14</v>
      </c>
      <c r="M24" s="3" t="s">
        <v>198</v>
      </c>
      <c r="N24" s="3" t="str">
        <f t="shared" si="0"/>
        <v>OK</v>
      </c>
    </row>
    <row r="25" spans="1:14" x14ac:dyDescent="0.3">
      <c r="A25" s="3" t="s">
        <v>221</v>
      </c>
      <c r="B25" s="4">
        <v>46120</v>
      </c>
      <c r="C25" s="3" t="s">
        <v>108</v>
      </c>
      <c r="D25" s="3" t="s">
        <v>55</v>
      </c>
      <c r="E25" s="3" t="s">
        <v>135</v>
      </c>
      <c r="F25" s="3" t="s">
        <v>141</v>
      </c>
      <c r="G25" s="3" t="s">
        <v>167</v>
      </c>
      <c r="H25" s="3" t="s">
        <v>124</v>
      </c>
      <c r="I25" s="3">
        <v>4158</v>
      </c>
      <c r="J25" s="3" t="s">
        <v>126</v>
      </c>
      <c r="K25" s="5">
        <v>1</v>
      </c>
      <c r="L25" s="3" t="s">
        <v>14</v>
      </c>
      <c r="M25" s="3" t="s">
        <v>200</v>
      </c>
      <c r="N25" s="3" t="str">
        <f t="shared" si="0"/>
        <v>OK</v>
      </c>
    </row>
    <row r="26" spans="1:14" x14ac:dyDescent="0.3">
      <c r="A26" s="3" t="s">
        <v>222</v>
      </c>
      <c r="B26" s="4">
        <v>46099</v>
      </c>
      <c r="C26" s="3" t="s">
        <v>83</v>
      </c>
      <c r="D26" s="3" t="s">
        <v>21</v>
      </c>
      <c r="E26" s="3" t="s">
        <v>135</v>
      </c>
      <c r="F26" s="3" t="s">
        <v>134</v>
      </c>
      <c r="G26" s="3" t="s">
        <v>130</v>
      </c>
      <c r="H26" s="3" t="s">
        <v>131</v>
      </c>
      <c r="I26" s="3">
        <v>75049</v>
      </c>
      <c r="J26" s="3" t="s">
        <v>133</v>
      </c>
      <c r="K26" s="5">
        <v>1</v>
      </c>
      <c r="L26" s="3" t="s">
        <v>14</v>
      </c>
      <c r="M26" s="3" t="s">
        <v>214</v>
      </c>
      <c r="N26" s="3" t="str">
        <f t="shared" si="0"/>
        <v>OK</v>
      </c>
    </row>
    <row r="27" spans="1:14" x14ac:dyDescent="0.3">
      <c r="A27" s="3" t="s">
        <v>223</v>
      </c>
      <c r="B27" s="4">
        <v>46134</v>
      </c>
      <c r="C27" s="3" t="s">
        <v>56</v>
      </c>
      <c r="D27" s="3" t="s">
        <v>33</v>
      </c>
      <c r="E27" s="3" t="s">
        <v>128</v>
      </c>
      <c r="F27" s="3" t="s">
        <v>127</v>
      </c>
      <c r="G27" s="3" t="s">
        <v>123</v>
      </c>
      <c r="H27" s="3" t="s">
        <v>124</v>
      </c>
      <c r="I27" s="3">
        <v>2522</v>
      </c>
      <c r="J27" s="3" t="s">
        <v>126</v>
      </c>
      <c r="K27" s="5">
        <v>1</v>
      </c>
      <c r="L27" s="3" t="s">
        <v>14</v>
      </c>
      <c r="M27" s="3" t="s">
        <v>198</v>
      </c>
      <c r="N27" s="3" t="str">
        <f t="shared" si="0"/>
        <v>OK</v>
      </c>
    </row>
    <row r="28" spans="1:14" x14ac:dyDescent="0.3">
      <c r="A28" s="3" t="s">
        <v>224</v>
      </c>
      <c r="B28" s="4">
        <v>46051</v>
      </c>
      <c r="C28" s="3" t="s">
        <v>48</v>
      </c>
      <c r="D28" s="3" t="s">
        <v>36</v>
      </c>
      <c r="E28" s="3" t="s">
        <v>135</v>
      </c>
      <c r="F28" s="3" t="s">
        <v>144</v>
      </c>
      <c r="G28" s="3" t="s">
        <v>158</v>
      </c>
      <c r="H28" s="3" t="s">
        <v>124</v>
      </c>
      <c r="I28" s="3">
        <v>1880</v>
      </c>
      <c r="J28" s="3" t="s">
        <v>126</v>
      </c>
      <c r="K28" s="5">
        <v>5.15</v>
      </c>
      <c r="L28" s="3" t="s">
        <v>191</v>
      </c>
      <c r="M28" s="3" t="s">
        <v>198</v>
      </c>
      <c r="N28" s="3" t="str">
        <f t="shared" si="0"/>
        <v>OK</v>
      </c>
    </row>
    <row r="29" spans="1:14" x14ac:dyDescent="0.3">
      <c r="A29" s="3" t="s">
        <v>225</v>
      </c>
      <c r="B29" s="4">
        <v>46054</v>
      </c>
      <c r="C29" s="3" t="s">
        <v>52</v>
      </c>
      <c r="D29" s="3" t="s">
        <v>33</v>
      </c>
      <c r="E29" s="3" t="s">
        <v>128</v>
      </c>
      <c r="F29" s="3" t="s">
        <v>127</v>
      </c>
      <c r="G29" s="3" t="s">
        <v>123</v>
      </c>
      <c r="H29" s="3" t="s">
        <v>124</v>
      </c>
      <c r="I29" s="3">
        <v>4888</v>
      </c>
      <c r="J29" s="3" t="s">
        <v>126</v>
      </c>
      <c r="K29" s="5">
        <v>1</v>
      </c>
      <c r="L29" s="3" t="s">
        <v>14</v>
      </c>
      <c r="M29" s="3" t="s">
        <v>200</v>
      </c>
      <c r="N29" s="3" t="str">
        <f t="shared" si="0"/>
        <v>OK</v>
      </c>
    </row>
    <row r="30" spans="1:14" x14ac:dyDescent="0.3">
      <c r="A30" s="3" t="s">
        <v>226</v>
      </c>
      <c r="B30" s="4">
        <v>46137</v>
      </c>
      <c r="C30" s="3" t="s">
        <v>65</v>
      </c>
      <c r="D30" s="3" t="s">
        <v>66</v>
      </c>
      <c r="E30" s="3" t="s">
        <v>135</v>
      </c>
      <c r="F30" s="3" t="s">
        <v>134</v>
      </c>
      <c r="G30" s="3" t="s">
        <v>181</v>
      </c>
      <c r="H30" s="3" t="s">
        <v>124</v>
      </c>
      <c r="I30" s="3">
        <v>9614</v>
      </c>
      <c r="J30" s="3" t="s">
        <v>126</v>
      </c>
      <c r="K30" s="5">
        <v>4.13</v>
      </c>
      <c r="L30" s="3" t="s">
        <v>191</v>
      </c>
      <c r="M30" s="3" t="s">
        <v>200</v>
      </c>
      <c r="N30" s="3" t="str">
        <f t="shared" si="0"/>
        <v>OK</v>
      </c>
    </row>
    <row r="31" spans="1:14" x14ac:dyDescent="0.3">
      <c r="A31" s="3" t="s">
        <v>227</v>
      </c>
      <c r="B31" s="4">
        <v>46052</v>
      </c>
      <c r="C31" s="3" t="s">
        <v>44</v>
      </c>
      <c r="D31" s="3" t="s">
        <v>36</v>
      </c>
      <c r="E31" s="3" t="s">
        <v>135</v>
      </c>
      <c r="F31" s="3" t="s">
        <v>134</v>
      </c>
      <c r="G31" s="3" t="s">
        <v>130</v>
      </c>
      <c r="H31" s="3" t="s">
        <v>131</v>
      </c>
      <c r="I31" s="3">
        <v>26343</v>
      </c>
      <c r="J31" s="3" t="s">
        <v>133</v>
      </c>
      <c r="K31" s="5">
        <v>1</v>
      </c>
      <c r="L31" s="3" t="s">
        <v>14</v>
      </c>
      <c r="M31" s="3" t="s">
        <v>195</v>
      </c>
      <c r="N31" s="3" t="str">
        <f t="shared" si="0"/>
        <v>OK</v>
      </c>
    </row>
    <row r="32" spans="1:14" x14ac:dyDescent="0.3">
      <c r="A32" s="3" t="s">
        <v>228</v>
      </c>
      <c r="B32" s="4">
        <v>46087</v>
      </c>
      <c r="C32" s="3" t="s">
        <v>47</v>
      </c>
      <c r="D32" s="3" t="s">
        <v>12</v>
      </c>
      <c r="E32" s="3" t="s">
        <v>128</v>
      </c>
      <c r="F32" s="3" t="s">
        <v>127</v>
      </c>
      <c r="G32" s="3" t="s">
        <v>123</v>
      </c>
      <c r="H32" s="3" t="s">
        <v>124</v>
      </c>
      <c r="I32" s="3">
        <v>2092</v>
      </c>
      <c r="J32" s="3" t="s">
        <v>126</v>
      </c>
      <c r="K32" s="5">
        <v>1</v>
      </c>
      <c r="L32" s="3" t="s">
        <v>14</v>
      </c>
      <c r="M32" s="3" t="s">
        <v>195</v>
      </c>
      <c r="N32" s="3" t="str">
        <f t="shared" si="0"/>
        <v>OK</v>
      </c>
    </row>
    <row r="33" spans="1:14" x14ac:dyDescent="0.3">
      <c r="A33" s="3" t="s">
        <v>229</v>
      </c>
      <c r="B33" s="4">
        <v>46108</v>
      </c>
      <c r="C33" s="3" t="s">
        <v>46</v>
      </c>
      <c r="D33" s="3" t="s">
        <v>28</v>
      </c>
      <c r="E33" s="3" t="s">
        <v>135</v>
      </c>
      <c r="F33" s="3" t="s">
        <v>141</v>
      </c>
      <c r="G33" s="3" t="s">
        <v>167</v>
      </c>
      <c r="H33" s="3" t="s">
        <v>124</v>
      </c>
      <c r="I33" s="3">
        <v>2997</v>
      </c>
      <c r="J33" s="3" t="s">
        <v>126</v>
      </c>
      <c r="K33" s="5">
        <v>1</v>
      </c>
      <c r="L33" s="3" t="s">
        <v>14</v>
      </c>
      <c r="M33" s="3" t="s">
        <v>195</v>
      </c>
      <c r="N33" s="3" t="str">
        <f t="shared" si="0"/>
        <v>OK</v>
      </c>
    </row>
    <row r="34" spans="1:14" x14ac:dyDescent="0.3">
      <c r="A34" s="3" t="s">
        <v>230</v>
      </c>
      <c r="B34" s="4">
        <v>46092</v>
      </c>
      <c r="C34" s="3" t="s">
        <v>93</v>
      </c>
      <c r="D34" s="3" t="s">
        <v>66</v>
      </c>
      <c r="E34" s="3" t="s">
        <v>135</v>
      </c>
      <c r="F34" s="3" t="s">
        <v>144</v>
      </c>
      <c r="G34" s="3" t="s">
        <v>185</v>
      </c>
      <c r="H34" s="3" t="s">
        <v>137</v>
      </c>
      <c r="I34" s="3">
        <v>3674</v>
      </c>
      <c r="J34" s="3" t="s">
        <v>133</v>
      </c>
      <c r="K34" s="5">
        <v>1</v>
      </c>
      <c r="L34" s="3" t="s">
        <v>14</v>
      </c>
      <c r="M34" s="3" t="s">
        <v>198</v>
      </c>
      <c r="N34" s="3" t="str">
        <f t="shared" ref="N34:N65" si="1">IF(COUNTA(A34:M34)&lt;13,"MISSING DATA",IF(OR(I34&lt;=0,K34&lt;=0),"VALUE ERROR","OK"))</f>
        <v>OK</v>
      </c>
    </row>
    <row r="35" spans="1:14" x14ac:dyDescent="0.3">
      <c r="A35" s="3" t="s">
        <v>231</v>
      </c>
      <c r="B35" s="4">
        <v>46076</v>
      </c>
      <c r="C35" s="3" t="s">
        <v>62</v>
      </c>
      <c r="D35" s="3" t="s">
        <v>25</v>
      </c>
      <c r="E35" s="3" t="s">
        <v>135</v>
      </c>
      <c r="F35" s="3" t="s">
        <v>134</v>
      </c>
      <c r="G35" s="3" t="s">
        <v>130</v>
      </c>
      <c r="H35" s="3" t="s">
        <v>131</v>
      </c>
      <c r="I35" s="3">
        <v>41809</v>
      </c>
      <c r="J35" s="3" t="s">
        <v>133</v>
      </c>
      <c r="K35" s="5">
        <v>1</v>
      </c>
      <c r="L35" s="3" t="s">
        <v>14</v>
      </c>
      <c r="M35" s="3" t="s">
        <v>195</v>
      </c>
      <c r="N35" s="3" t="str">
        <f t="shared" si="1"/>
        <v>OK</v>
      </c>
    </row>
    <row r="36" spans="1:14" x14ac:dyDescent="0.3">
      <c r="A36" s="3" t="s">
        <v>232</v>
      </c>
      <c r="B36" s="4">
        <v>46092</v>
      </c>
      <c r="C36" s="3" t="s">
        <v>93</v>
      </c>
      <c r="D36" s="3" t="s">
        <v>66</v>
      </c>
      <c r="E36" s="3" t="s">
        <v>135</v>
      </c>
      <c r="F36" s="3" t="s">
        <v>134</v>
      </c>
      <c r="G36" s="3" t="s">
        <v>181</v>
      </c>
      <c r="H36" s="3" t="s">
        <v>124</v>
      </c>
      <c r="I36" s="3">
        <v>4995</v>
      </c>
      <c r="J36" s="3" t="s">
        <v>126</v>
      </c>
      <c r="K36" s="5">
        <v>4.13</v>
      </c>
      <c r="L36" s="3" t="s">
        <v>191</v>
      </c>
      <c r="M36" s="3" t="s">
        <v>195</v>
      </c>
      <c r="N36" s="3" t="str">
        <f t="shared" si="1"/>
        <v>OK</v>
      </c>
    </row>
    <row r="37" spans="1:14" x14ac:dyDescent="0.3">
      <c r="A37" s="3" t="s">
        <v>233</v>
      </c>
      <c r="B37" s="4">
        <v>46078</v>
      </c>
      <c r="C37" s="3" t="s">
        <v>58</v>
      </c>
      <c r="D37" s="3" t="s">
        <v>28</v>
      </c>
      <c r="E37" s="3" t="s">
        <v>135</v>
      </c>
      <c r="F37" s="3" t="s">
        <v>141</v>
      </c>
      <c r="G37" s="3" t="s">
        <v>172</v>
      </c>
      <c r="H37" s="3" t="s">
        <v>131</v>
      </c>
      <c r="I37" s="3">
        <v>75488</v>
      </c>
      <c r="J37" s="3" t="s">
        <v>174</v>
      </c>
      <c r="K37" s="5">
        <v>0.21</v>
      </c>
      <c r="L37" s="3" t="s">
        <v>191</v>
      </c>
      <c r="M37" s="3" t="s">
        <v>214</v>
      </c>
      <c r="N37" s="3" t="str">
        <f t="shared" si="1"/>
        <v>OK</v>
      </c>
    </row>
    <row r="38" spans="1:14" x14ac:dyDescent="0.3">
      <c r="A38" s="3" t="s">
        <v>234</v>
      </c>
      <c r="B38" s="4">
        <v>46135</v>
      </c>
      <c r="C38" s="3" t="s">
        <v>90</v>
      </c>
      <c r="D38" s="3" t="s">
        <v>40</v>
      </c>
      <c r="E38" s="3" t="s">
        <v>135</v>
      </c>
      <c r="F38" s="3" t="s">
        <v>141</v>
      </c>
      <c r="G38" s="3" t="s">
        <v>139</v>
      </c>
      <c r="H38" s="3" t="s">
        <v>131</v>
      </c>
      <c r="I38" s="3">
        <v>24781</v>
      </c>
      <c r="J38" s="3" t="s">
        <v>133</v>
      </c>
      <c r="K38" s="5">
        <v>1</v>
      </c>
      <c r="L38" s="3" t="s">
        <v>14</v>
      </c>
      <c r="M38" s="3" t="s">
        <v>214</v>
      </c>
      <c r="N38" s="3" t="str">
        <f t="shared" si="1"/>
        <v>OK</v>
      </c>
    </row>
    <row r="39" spans="1:14" x14ac:dyDescent="0.3">
      <c r="A39" s="3" t="s">
        <v>235</v>
      </c>
      <c r="B39" s="4">
        <v>46048</v>
      </c>
      <c r="C39" s="3" t="s">
        <v>54</v>
      </c>
      <c r="D39" s="3" t="s">
        <v>55</v>
      </c>
      <c r="E39" s="3" t="s">
        <v>135</v>
      </c>
      <c r="F39" s="3" t="s">
        <v>149</v>
      </c>
      <c r="G39" s="3" t="s">
        <v>160</v>
      </c>
      <c r="H39" s="3" t="s">
        <v>131</v>
      </c>
      <c r="I39" s="3">
        <v>49472</v>
      </c>
      <c r="J39" s="3" t="s">
        <v>162</v>
      </c>
      <c r="K39" s="5">
        <v>1</v>
      </c>
      <c r="L39" s="3" t="s">
        <v>14</v>
      </c>
      <c r="M39" s="3" t="s">
        <v>214</v>
      </c>
      <c r="N39" s="3" t="str">
        <f t="shared" si="1"/>
        <v>OK</v>
      </c>
    </row>
    <row r="40" spans="1:14" x14ac:dyDescent="0.3">
      <c r="A40" s="3" t="s">
        <v>236</v>
      </c>
      <c r="B40" s="4">
        <v>46052</v>
      </c>
      <c r="C40" s="3" t="s">
        <v>23</v>
      </c>
      <c r="D40" s="3" t="s">
        <v>25</v>
      </c>
      <c r="E40" s="3" t="s">
        <v>135</v>
      </c>
      <c r="F40" s="3" t="s">
        <v>134</v>
      </c>
      <c r="G40" s="3" t="s">
        <v>130</v>
      </c>
      <c r="H40" s="3" t="s">
        <v>131</v>
      </c>
      <c r="I40" s="3">
        <v>31150</v>
      </c>
      <c r="J40" s="3" t="s">
        <v>133</v>
      </c>
      <c r="K40" s="5">
        <v>1</v>
      </c>
      <c r="L40" s="3" t="s">
        <v>14</v>
      </c>
      <c r="M40" s="3" t="s">
        <v>198</v>
      </c>
      <c r="N40" s="3" t="str">
        <f t="shared" si="1"/>
        <v>OK</v>
      </c>
    </row>
    <row r="41" spans="1:14" x14ac:dyDescent="0.3">
      <c r="A41" s="3" t="s">
        <v>237</v>
      </c>
      <c r="B41" s="4">
        <v>46078</v>
      </c>
      <c r="C41" s="3" t="s">
        <v>62</v>
      </c>
      <c r="D41" s="3" t="s">
        <v>25</v>
      </c>
      <c r="E41" s="3" t="s">
        <v>128</v>
      </c>
      <c r="F41" s="3" t="s">
        <v>127</v>
      </c>
      <c r="G41" s="3" t="s">
        <v>152</v>
      </c>
      <c r="H41" s="3" t="s">
        <v>124</v>
      </c>
      <c r="I41" s="3">
        <v>5781</v>
      </c>
      <c r="J41" s="3" t="s">
        <v>126</v>
      </c>
      <c r="K41" s="5">
        <v>1</v>
      </c>
      <c r="L41" s="3" t="s">
        <v>14</v>
      </c>
      <c r="M41" s="3" t="s">
        <v>198</v>
      </c>
      <c r="N41" s="3" t="str">
        <f t="shared" si="1"/>
        <v>OK</v>
      </c>
    </row>
    <row r="42" spans="1:14" x14ac:dyDescent="0.3">
      <c r="A42" s="3" t="s">
        <v>238</v>
      </c>
      <c r="B42" s="4">
        <v>46120</v>
      </c>
      <c r="C42" s="3" t="s">
        <v>89</v>
      </c>
      <c r="D42" s="3" t="s">
        <v>33</v>
      </c>
      <c r="E42" s="3" t="s">
        <v>128</v>
      </c>
      <c r="F42" s="3" t="s">
        <v>127</v>
      </c>
      <c r="G42" s="3" t="s">
        <v>123</v>
      </c>
      <c r="H42" s="3" t="s">
        <v>124</v>
      </c>
      <c r="I42" s="3">
        <v>3708</v>
      </c>
      <c r="J42" s="3" t="s">
        <v>126</v>
      </c>
      <c r="K42" s="5">
        <v>1</v>
      </c>
      <c r="L42" s="3" t="s">
        <v>14</v>
      </c>
      <c r="M42" s="3" t="s">
        <v>195</v>
      </c>
      <c r="N42" s="3" t="str">
        <f t="shared" si="1"/>
        <v>OK</v>
      </c>
    </row>
    <row r="43" spans="1:14" x14ac:dyDescent="0.3">
      <c r="A43" s="3" t="s">
        <v>239</v>
      </c>
      <c r="B43" s="4">
        <v>46062</v>
      </c>
      <c r="C43" s="3" t="s">
        <v>76</v>
      </c>
      <c r="D43" s="3" t="s">
        <v>33</v>
      </c>
      <c r="E43" s="3" t="s">
        <v>135</v>
      </c>
      <c r="F43" s="3" t="s">
        <v>149</v>
      </c>
      <c r="G43" s="3" t="s">
        <v>177</v>
      </c>
      <c r="H43" s="3" t="s">
        <v>131</v>
      </c>
      <c r="I43" s="3">
        <v>124381</v>
      </c>
      <c r="J43" s="3" t="s">
        <v>162</v>
      </c>
      <c r="K43" s="5">
        <v>1</v>
      </c>
      <c r="L43" s="3" t="s">
        <v>14</v>
      </c>
      <c r="M43" s="3" t="s">
        <v>200</v>
      </c>
      <c r="N43" s="3" t="str">
        <f t="shared" si="1"/>
        <v>OK</v>
      </c>
    </row>
    <row r="44" spans="1:14" x14ac:dyDescent="0.3">
      <c r="A44" s="3" t="s">
        <v>240</v>
      </c>
      <c r="B44" s="4">
        <v>46060</v>
      </c>
      <c r="C44" s="3" t="s">
        <v>91</v>
      </c>
      <c r="D44" s="3" t="s">
        <v>21</v>
      </c>
      <c r="E44" s="3" t="s">
        <v>135</v>
      </c>
      <c r="F44" s="3" t="s">
        <v>134</v>
      </c>
      <c r="G44" s="3" t="s">
        <v>130</v>
      </c>
      <c r="H44" s="3" t="s">
        <v>131</v>
      </c>
      <c r="I44" s="3">
        <v>136453</v>
      </c>
      <c r="J44" s="3" t="s">
        <v>133</v>
      </c>
      <c r="K44" s="5">
        <v>1</v>
      </c>
      <c r="L44" s="3" t="s">
        <v>14</v>
      </c>
      <c r="M44" s="3" t="s">
        <v>198</v>
      </c>
      <c r="N44" s="3" t="str">
        <f t="shared" si="1"/>
        <v>OK</v>
      </c>
    </row>
    <row r="45" spans="1:14" x14ac:dyDescent="0.3">
      <c r="A45" s="3" t="s">
        <v>241</v>
      </c>
      <c r="B45" s="4">
        <v>46088</v>
      </c>
      <c r="C45" s="3" t="s">
        <v>99</v>
      </c>
      <c r="D45" s="3" t="s">
        <v>25</v>
      </c>
      <c r="E45" s="3" t="s">
        <v>135</v>
      </c>
      <c r="F45" s="3" t="s">
        <v>134</v>
      </c>
      <c r="G45" s="3" t="s">
        <v>130</v>
      </c>
      <c r="H45" s="3" t="s">
        <v>131</v>
      </c>
      <c r="I45" s="3">
        <v>31728</v>
      </c>
      <c r="J45" s="3" t="s">
        <v>133</v>
      </c>
      <c r="K45" s="5">
        <v>1</v>
      </c>
      <c r="L45" s="3" t="s">
        <v>14</v>
      </c>
      <c r="M45" s="3" t="s">
        <v>200</v>
      </c>
      <c r="N45" s="3" t="str">
        <f t="shared" si="1"/>
        <v>OK</v>
      </c>
    </row>
    <row r="46" spans="1:14" x14ac:dyDescent="0.3">
      <c r="A46" s="3" t="s">
        <v>242</v>
      </c>
      <c r="B46" s="4">
        <v>46055</v>
      </c>
      <c r="C46" s="3" t="s">
        <v>48</v>
      </c>
      <c r="D46" s="3" t="s">
        <v>36</v>
      </c>
      <c r="E46" s="3" t="s">
        <v>135</v>
      </c>
      <c r="F46" s="3" t="s">
        <v>149</v>
      </c>
      <c r="G46" s="3" t="s">
        <v>160</v>
      </c>
      <c r="H46" s="3" t="s">
        <v>131</v>
      </c>
      <c r="I46" s="3">
        <v>46212</v>
      </c>
      <c r="J46" s="3" t="s">
        <v>162</v>
      </c>
      <c r="K46" s="5">
        <v>1</v>
      </c>
      <c r="L46" s="3" t="s">
        <v>14</v>
      </c>
      <c r="M46" s="3" t="s">
        <v>200</v>
      </c>
      <c r="N46" s="3" t="str">
        <f t="shared" si="1"/>
        <v>OK</v>
      </c>
    </row>
    <row r="47" spans="1:14" x14ac:dyDescent="0.3">
      <c r="A47" s="3" t="s">
        <v>243</v>
      </c>
      <c r="B47" s="4">
        <v>46091</v>
      </c>
      <c r="C47" s="3" t="s">
        <v>99</v>
      </c>
      <c r="D47" s="3" t="s">
        <v>25</v>
      </c>
      <c r="E47" s="3" t="s">
        <v>128</v>
      </c>
      <c r="F47" s="3" t="s">
        <v>127</v>
      </c>
      <c r="G47" s="3" t="s">
        <v>152</v>
      </c>
      <c r="H47" s="3" t="s">
        <v>124</v>
      </c>
      <c r="I47" s="3">
        <v>4387</v>
      </c>
      <c r="J47" s="3" t="s">
        <v>126</v>
      </c>
      <c r="K47" s="5">
        <v>1</v>
      </c>
      <c r="L47" s="3" t="s">
        <v>14</v>
      </c>
      <c r="M47" s="3" t="s">
        <v>200</v>
      </c>
      <c r="N47" s="3" t="str">
        <f t="shared" si="1"/>
        <v>OK</v>
      </c>
    </row>
    <row r="48" spans="1:14" x14ac:dyDescent="0.3">
      <c r="A48" s="3" t="s">
        <v>244</v>
      </c>
      <c r="B48" s="4">
        <v>46133</v>
      </c>
      <c r="C48" s="3" t="s">
        <v>104</v>
      </c>
      <c r="D48" s="3" t="s">
        <v>21</v>
      </c>
      <c r="E48" s="3" t="s">
        <v>135</v>
      </c>
      <c r="F48" s="3" t="s">
        <v>141</v>
      </c>
      <c r="G48" s="3" t="s">
        <v>139</v>
      </c>
      <c r="H48" s="3" t="s">
        <v>131</v>
      </c>
      <c r="I48" s="3">
        <v>125281</v>
      </c>
      <c r="J48" s="3" t="s">
        <v>133</v>
      </c>
      <c r="K48" s="5">
        <v>1</v>
      </c>
      <c r="L48" s="3" t="s">
        <v>14</v>
      </c>
      <c r="M48" s="3" t="s">
        <v>195</v>
      </c>
      <c r="N48" s="3" t="str">
        <f t="shared" si="1"/>
        <v>OK</v>
      </c>
    </row>
    <row r="49" spans="1:14" x14ac:dyDescent="0.3">
      <c r="A49" s="3" t="s">
        <v>245</v>
      </c>
      <c r="B49" s="4">
        <v>46102</v>
      </c>
      <c r="C49" s="3" t="s">
        <v>78</v>
      </c>
      <c r="D49" s="3" t="s">
        <v>33</v>
      </c>
      <c r="E49" s="3" t="s">
        <v>135</v>
      </c>
      <c r="F49" s="3" t="s">
        <v>127</v>
      </c>
      <c r="G49" s="3" t="s">
        <v>178</v>
      </c>
      <c r="H49" s="3" t="s">
        <v>137</v>
      </c>
      <c r="I49" s="3">
        <v>7381</v>
      </c>
      <c r="J49" s="3" t="s">
        <v>133</v>
      </c>
      <c r="K49" s="5">
        <v>1</v>
      </c>
      <c r="L49" s="3" t="s">
        <v>14</v>
      </c>
      <c r="M49" s="3" t="s">
        <v>200</v>
      </c>
      <c r="N49" s="3" t="str">
        <f t="shared" si="1"/>
        <v>OK</v>
      </c>
    </row>
    <row r="50" spans="1:14" x14ac:dyDescent="0.3">
      <c r="A50" s="3" t="s">
        <v>246</v>
      </c>
      <c r="B50" s="4">
        <v>46047</v>
      </c>
      <c r="C50" s="3" t="s">
        <v>54</v>
      </c>
      <c r="D50" s="3" t="s">
        <v>55</v>
      </c>
      <c r="E50" s="3" t="s">
        <v>135</v>
      </c>
      <c r="F50" s="3" t="s">
        <v>141</v>
      </c>
      <c r="G50" s="3" t="s">
        <v>170</v>
      </c>
      <c r="H50" s="3" t="s">
        <v>131</v>
      </c>
      <c r="I50" s="3">
        <v>38679</v>
      </c>
      <c r="J50" s="3" t="s">
        <v>133</v>
      </c>
      <c r="K50" s="5">
        <v>1</v>
      </c>
      <c r="L50" s="3" t="s">
        <v>14</v>
      </c>
      <c r="M50" s="3" t="s">
        <v>200</v>
      </c>
      <c r="N50" s="3" t="str">
        <f t="shared" si="1"/>
        <v>OK</v>
      </c>
    </row>
    <row r="51" spans="1:14" x14ac:dyDescent="0.3">
      <c r="A51" s="3" t="s">
        <v>247</v>
      </c>
      <c r="B51" s="4">
        <v>46110</v>
      </c>
      <c r="C51" s="3" t="s">
        <v>71</v>
      </c>
      <c r="D51" s="3" t="s">
        <v>12</v>
      </c>
      <c r="E51" s="3" t="s">
        <v>135</v>
      </c>
      <c r="F51" s="3" t="s">
        <v>141</v>
      </c>
      <c r="G51" s="3" t="s">
        <v>157</v>
      </c>
      <c r="H51" s="3" t="s">
        <v>131</v>
      </c>
      <c r="I51" s="3">
        <v>140243</v>
      </c>
      <c r="J51" s="3" t="s">
        <v>133</v>
      </c>
      <c r="K51" s="5">
        <v>1</v>
      </c>
      <c r="L51" s="3" t="s">
        <v>14</v>
      </c>
      <c r="M51" s="3" t="s">
        <v>195</v>
      </c>
      <c r="N51" s="3" t="str">
        <f t="shared" si="1"/>
        <v>OK</v>
      </c>
    </row>
    <row r="52" spans="1:14" x14ac:dyDescent="0.3">
      <c r="A52" s="3" t="s">
        <v>248</v>
      </c>
      <c r="B52" s="4">
        <v>46062</v>
      </c>
      <c r="C52" s="3" t="s">
        <v>52</v>
      </c>
      <c r="D52" s="3" t="s">
        <v>33</v>
      </c>
      <c r="E52" s="3" t="s">
        <v>128</v>
      </c>
      <c r="F52" s="3" t="s">
        <v>127</v>
      </c>
      <c r="G52" s="3" t="s">
        <v>123</v>
      </c>
      <c r="H52" s="3" t="s">
        <v>124</v>
      </c>
      <c r="I52" s="3">
        <v>4888</v>
      </c>
      <c r="J52" s="3" t="s">
        <v>126</v>
      </c>
      <c r="K52" s="5">
        <v>1</v>
      </c>
      <c r="L52" s="3" t="s">
        <v>14</v>
      </c>
      <c r="M52" s="3" t="s">
        <v>214</v>
      </c>
      <c r="N52" s="3" t="str">
        <f t="shared" si="1"/>
        <v>OK</v>
      </c>
    </row>
    <row r="53" spans="1:14" x14ac:dyDescent="0.3">
      <c r="A53" s="3" t="s">
        <v>249</v>
      </c>
      <c r="B53" s="4">
        <v>46055</v>
      </c>
      <c r="C53" s="3" t="s">
        <v>98</v>
      </c>
      <c r="D53" s="3" t="s">
        <v>55</v>
      </c>
      <c r="E53" s="3" t="s">
        <v>135</v>
      </c>
      <c r="F53" s="3" t="s">
        <v>149</v>
      </c>
      <c r="G53" s="3" t="s">
        <v>177</v>
      </c>
      <c r="H53" s="3" t="s">
        <v>131</v>
      </c>
      <c r="I53" s="3">
        <v>4894</v>
      </c>
      <c r="J53" s="3" t="s">
        <v>162</v>
      </c>
      <c r="K53" s="5">
        <v>1</v>
      </c>
      <c r="L53" s="3" t="s">
        <v>14</v>
      </c>
      <c r="M53" s="3" t="s">
        <v>198</v>
      </c>
      <c r="N53" s="3" t="str">
        <f t="shared" si="1"/>
        <v>OK</v>
      </c>
    </row>
    <row r="54" spans="1:14" x14ac:dyDescent="0.3">
      <c r="A54" s="3" t="s">
        <v>250</v>
      </c>
      <c r="B54" s="4">
        <v>46086</v>
      </c>
      <c r="C54" s="3" t="s">
        <v>109</v>
      </c>
      <c r="D54" s="3" t="s">
        <v>55</v>
      </c>
      <c r="E54" s="3" t="s">
        <v>135</v>
      </c>
      <c r="F54" s="3" t="s">
        <v>149</v>
      </c>
      <c r="G54" s="3" t="s">
        <v>148</v>
      </c>
      <c r="H54" s="3" t="s">
        <v>137</v>
      </c>
      <c r="I54" s="3">
        <v>1616</v>
      </c>
      <c r="J54" s="3" t="s">
        <v>133</v>
      </c>
      <c r="K54" s="5">
        <v>1</v>
      </c>
      <c r="L54" s="3" t="s">
        <v>14</v>
      </c>
      <c r="M54" s="3" t="s">
        <v>195</v>
      </c>
      <c r="N54" s="3" t="str">
        <f t="shared" si="1"/>
        <v>OK</v>
      </c>
    </row>
    <row r="55" spans="1:14" x14ac:dyDescent="0.3">
      <c r="A55" s="3" t="s">
        <v>251</v>
      </c>
      <c r="B55" s="4">
        <v>46034</v>
      </c>
      <c r="C55" s="3" t="s">
        <v>34</v>
      </c>
      <c r="D55" s="3" t="s">
        <v>36</v>
      </c>
      <c r="E55" s="3" t="s">
        <v>135</v>
      </c>
      <c r="F55" s="3" t="s">
        <v>141</v>
      </c>
      <c r="G55" s="3" t="s">
        <v>157</v>
      </c>
      <c r="H55" s="3" t="s">
        <v>131</v>
      </c>
      <c r="I55" s="3">
        <v>64760</v>
      </c>
      <c r="J55" s="3" t="s">
        <v>133</v>
      </c>
      <c r="K55" s="5">
        <v>1</v>
      </c>
      <c r="L55" s="3" t="s">
        <v>14</v>
      </c>
      <c r="M55" s="3" t="s">
        <v>200</v>
      </c>
      <c r="N55" s="3" t="str">
        <f t="shared" si="1"/>
        <v>OK</v>
      </c>
    </row>
    <row r="56" spans="1:14" x14ac:dyDescent="0.3">
      <c r="A56" s="3" t="s">
        <v>252</v>
      </c>
      <c r="B56" s="4">
        <v>46128</v>
      </c>
      <c r="C56" s="3" t="s">
        <v>90</v>
      </c>
      <c r="D56" s="3" t="s">
        <v>40</v>
      </c>
      <c r="E56" s="3" t="s">
        <v>135</v>
      </c>
      <c r="F56" s="3" t="s">
        <v>144</v>
      </c>
      <c r="G56" s="3" t="s">
        <v>158</v>
      </c>
      <c r="H56" s="3" t="s">
        <v>124</v>
      </c>
      <c r="I56" s="3">
        <v>3429</v>
      </c>
      <c r="J56" s="3" t="s">
        <v>126</v>
      </c>
      <c r="K56" s="5">
        <v>5.15</v>
      </c>
      <c r="L56" s="3" t="s">
        <v>191</v>
      </c>
      <c r="M56" s="3" t="s">
        <v>198</v>
      </c>
      <c r="N56" s="3" t="str">
        <f t="shared" si="1"/>
        <v>OK</v>
      </c>
    </row>
    <row r="57" spans="1:14" x14ac:dyDescent="0.3">
      <c r="A57" s="3" t="s">
        <v>253</v>
      </c>
      <c r="B57" s="4">
        <v>46105</v>
      </c>
      <c r="C57" s="3" t="s">
        <v>102</v>
      </c>
      <c r="D57" s="3" t="s">
        <v>28</v>
      </c>
      <c r="E57" s="3" t="s">
        <v>135</v>
      </c>
      <c r="F57" s="3" t="s">
        <v>141</v>
      </c>
      <c r="G57" s="3" t="s">
        <v>139</v>
      </c>
      <c r="H57" s="3" t="s">
        <v>131</v>
      </c>
      <c r="I57" s="3">
        <v>33511</v>
      </c>
      <c r="J57" s="3" t="s">
        <v>133</v>
      </c>
      <c r="K57" s="5">
        <v>1</v>
      </c>
      <c r="L57" s="3" t="s">
        <v>14</v>
      </c>
      <c r="M57" s="3" t="s">
        <v>198</v>
      </c>
      <c r="N57" s="3" t="str">
        <f t="shared" si="1"/>
        <v>OK</v>
      </c>
    </row>
    <row r="58" spans="1:14" x14ac:dyDescent="0.3">
      <c r="A58" s="3" t="s">
        <v>254</v>
      </c>
      <c r="B58" s="4">
        <v>46032</v>
      </c>
      <c r="C58" s="3" t="s">
        <v>72</v>
      </c>
      <c r="D58" s="3" t="s">
        <v>40</v>
      </c>
      <c r="E58" s="3" t="s">
        <v>135</v>
      </c>
      <c r="F58" s="3" t="s">
        <v>149</v>
      </c>
      <c r="G58" s="3" t="s">
        <v>176</v>
      </c>
      <c r="H58" s="3" t="s">
        <v>131</v>
      </c>
      <c r="I58" s="3">
        <v>13683</v>
      </c>
      <c r="J58" s="3" t="s">
        <v>174</v>
      </c>
      <c r="K58" s="5">
        <v>1</v>
      </c>
      <c r="L58" s="3" t="s">
        <v>14</v>
      </c>
      <c r="M58" s="3" t="s">
        <v>200</v>
      </c>
      <c r="N58" s="3" t="str">
        <f t="shared" si="1"/>
        <v>OK</v>
      </c>
    </row>
    <row r="59" spans="1:14" x14ac:dyDescent="0.3">
      <c r="A59" s="3" t="s">
        <v>255</v>
      </c>
      <c r="B59" s="4">
        <v>46074</v>
      </c>
      <c r="C59" s="3" t="s">
        <v>109</v>
      </c>
      <c r="D59" s="3" t="s">
        <v>55</v>
      </c>
      <c r="E59" s="3" t="s">
        <v>128</v>
      </c>
      <c r="F59" s="3" t="s">
        <v>127</v>
      </c>
      <c r="G59" s="3" t="s">
        <v>152</v>
      </c>
      <c r="H59" s="3" t="s">
        <v>124</v>
      </c>
      <c r="I59" s="3">
        <v>2717</v>
      </c>
      <c r="J59" s="3" t="s">
        <v>126</v>
      </c>
      <c r="K59" s="5">
        <v>1</v>
      </c>
      <c r="L59" s="3" t="s">
        <v>14</v>
      </c>
      <c r="M59" s="3" t="s">
        <v>214</v>
      </c>
      <c r="N59" s="3" t="str">
        <f t="shared" si="1"/>
        <v>OK</v>
      </c>
    </row>
    <row r="60" spans="1:14" x14ac:dyDescent="0.3">
      <c r="A60" s="3" t="s">
        <v>256</v>
      </c>
      <c r="B60" s="4">
        <v>46054</v>
      </c>
      <c r="C60" s="3" t="s">
        <v>48</v>
      </c>
      <c r="D60" s="3" t="s">
        <v>36</v>
      </c>
      <c r="E60" s="3" t="s">
        <v>135</v>
      </c>
      <c r="F60" s="3" t="s">
        <v>149</v>
      </c>
      <c r="G60" s="3" t="s">
        <v>160</v>
      </c>
      <c r="H60" s="3" t="s">
        <v>131</v>
      </c>
      <c r="I60" s="3">
        <v>46212</v>
      </c>
      <c r="J60" s="3" t="s">
        <v>162</v>
      </c>
      <c r="K60" s="5">
        <v>1</v>
      </c>
      <c r="L60" s="3" t="s">
        <v>14</v>
      </c>
      <c r="M60" s="3" t="s">
        <v>214</v>
      </c>
      <c r="N60" s="3" t="str">
        <f t="shared" si="1"/>
        <v>OK</v>
      </c>
    </row>
    <row r="61" spans="1:14" x14ac:dyDescent="0.3">
      <c r="A61" s="3" t="s">
        <v>257</v>
      </c>
      <c r="B61" s="4">
        <v>46084</v>
      </c>
      <c r="C61" s="3" t="s">
        <v>86</v>
      </c>
      <c r="D61" s="3" t="s">
        <v>33</v>
      </c>
      <c r="E61" s="3" t="s">
        <v>135</v>
      </c>
      <c r="F61" s="3" t="s">
        <v>144</v>
      </c>
      <c r="G61" s="3" t="s">
        <v>142</v>
      </c>
      <c r="H61" s="3" t="s">
        <v>131</v>
      </c>
      <c r="I61" s="3">
        <v>91992</v>
      </c>
      <c r="J61" s="3" t="s">
        <v>133</v>
      </c>
      <c r="K61" s="5">
        <v>1.65</v>
      </c>
      <c r="L61" s="3" t="s">
        <v>191</v>
      </c>
      <c r="M61" s="3" t="s">
        <v>200</v>
      </c>
      <c r="N61" s="3" t="str">
        <f t="shared" si="1"/>
        <v>OK</v>
      </c>
    </row>
    <row r="62" spans="1:14" x14ac:dyDescent="0.3">
      <c r="A62" s="3" t="s">
        <v>258</v>
      </c>
      <c r="B62" s="4">
        <v>46044</v>
      </c>
      <c r="C62" s="3" t="s">
        <v>95</v>
      </c>
      <c r="D62" s="3" t="s">
        <v>36</v>
      </c>
      <c r="E62" s="3" t="s">
        <v>135</v>
      </c>
      <c r="F62" s="3" t="s">
        <v>127</v>
      </c>
      <c r="G62" s="3" t="s">
        <v>146</v>
      </c>
      <c r="H62" s="3" t="s">
        <v>137</v>
      </c>
      <c r="I62" s="3">
        <v>1563</v>
      </c>
      <c r="J62" s="3" t="s">
        <v>133</v>
      </c>
      <c r="K62" s="5">
        <v>1</v>
      </c>
      <c r="L62" s="3" t="s">
        <v>14</v>
      </c>
      <c r="M62" s="3" t="s">
        <v>198</v>
      </c>
      <c r="N62" s="3" t="str">
        <f t="shared" si="1"/>
        <v>OK</v>
      </c>
    </row>
    <row r="63" spans="1:14" x14ac:dyDescent="0.3">
      <c r="A63" s="3" t="s">
        <v>259</v>
      </c>
      <c r="B63" s="4">
        <v>46102</v>
      </c>
      <c r="C63" s="3" t="s">
        <v>96</v>
      </c>
      <c r="D63" s="3" t="s">
        <v>36</v>
      </c>
      <c r="E63" s="3" t="s">
        <v>135</v>
      </c>
      <c r="F63" s="3" t="s">
        <v>134</v>
      </c>
      <c r="G63" s="3" t="s">
        <v>130</v>
      </c>
      <c r="H63" s="3" t="s">
        <v>131</v>
      </c>
      <c r="I63" s="3">
        <v>91935</v>
      </c>
      <c r="J63" s="3" t="s">
        <v>133</v>
      </c>
      <c r="K63" s="5">
        <v>1</v>
      </c>
      <c r="L63" s="3" t="s">
        <v>14</v>
      </c>
      <c r="M63" s="3" t="s">
        <v>200</v>
      </c>
      <c r="N63" s="3" t="str">
        <f t="shared" si="1"/>
        <v>OK</v>
      </c>
    </row>
    <row r="64" spans="1:14" x14ac:dyDescent="0.3">
      <c r="A64" s="3" t="s">
        <v>260</v>
      </c>
      <c r="B64" s="4">
        <v>46055</v>
      </c>
      <c r="C64" s="3" t="s">
        <v>84</v>
      </c>
      <c r="D64" s="3" t="s">
        <v>33</v>
      </c>
      <c r="E64" s="3" t="s">
        <v>135</v>
      </c>
      <c r="F64" s="3" t="s">
        <v>141</v>
      </c>
      <c r="G64" s="3" t="s">
        <v>182</v>
      </c>
      <c r="H64" s="3" t="s">
        <v>124</v>
      </c>
      <c r="I64" s="3">
        <v>3817</v>
      </c>
      <c r="J64" s="3" t="s">
        <v>162</v>
      </c>
      <c r="K64" s="5">
        <v>1</v>
      </c>
      <c r="L64" s="3" t="s">
        <v>14</v>
      </c>
      <c r="M64" s="3" t="s">
        <v>214</v>
      </c>
      <c r="N64" s="3" t="str">
        <f t="shared" si="1"/>
        <v>OK</v>
      </c>
    </row>
    <row r="65" spans="1:14" x14ac:dyDescent="0.3">
      <c r="A65" s="3" t="s">
        <v>261</v>
      </c>
      <c r="B65" s="4">
        <v>46088</v>
      </c>
      <c r="C65" s="3" t="s">
        <v>99</v>
      </c>
      <c r="D65" s="3" t="s">
        <v>25</v>
      </c>
      <c r="E65" s="3" t="s">
        <v>135</v>
      </c>
      <c r="F65" s="3" t="s">
        <v>149</v>
      </c>
      <c r="G65" s="3" t="s">
        <v>177</v>
      </c>
      <c r="H65" s="3" t="s">
        <v>131</v>
      </c>
      <c r="I65" s="3">
        <v>37546</v>
      </c>
      <c r="J65" s="3" t="s">
        <v>162</v>
      </c>
      <c r="K65" s="5">
        <v>1</v>
      </c>
      <c r="L65" s="3" t="s">
        <v>14</v>
      </c>
      <c r="M65" s="3" t="s">
        <v>200</v>
      </c>
      <c r="N65" s="3" t="str">
        <f t="shared" si="1"/>
        <v>OK</v>
      </c>
    </row>
    <row r="66" spans="1:14" x14ac:dyDescent="0.3">
      <c r="A66" s="3" t="s">
        <v>262</v>
      </c>
      <c r="B66" s="4">
        <v>46124</v>
      </c>
      <c r="C66" s="3" t="s">
        <v>67</v>
      </c>
      <c r="D66" s="3" t="s">
        <v>55</v>
      </c>
      <c r="E66" s="3" t="s">
        <v>135</v>
      </c>
      <c r="F66" s="3" t="s">
        <v>149</v>
      </c>
      <c r="G66" s="3" t="s">
        <v>160</v>
      </c>
      <c r="H66" s="3" t="s">
        <v>131</v>
      </c>
      <c r="I66" s="3">
        <v>72269</v>
      </c>
      <c r="J66" s="3" t="s">
        <v>162</v>
      </c>
      <c r="K66" s="5">
        <v>1</v>
      </c>
      <c r="L66" s="3" t="s">
        <v>14</v>
      </c>
      <c r="M66" s="3" t="s">
        <v>214</v>
      </c>
      <c r="N66" s="3" t="str">
        <f t="shared" ref="N66:N97" si="2">IF(COUNTA(A66:M66)&lt;13,"MISSING DATA",IF(OR(I66&lt;=0,K66&lt;=0),"VALUE ERROR","OK"))</f>
        <v>OK</v>
      </c>
    </row>
    <row r="67" spans="1:14" x14ac:dyDescent="0.3">
      <c r="A67" s="3" t="s">
        <v>263</v>
      </c>
      <c r="B67" s="4">
        <v>46082</v>
      </c>
      <c r="C67" s="3" t="s">
        <v>62</v>
      </c>
      <c r="D67" s="3" t="s">
        <v>25</v>
      </c>
      <c r="E67" s="3" t="s">
        <v>135</v>
      </c>
      <c r="F67" s="3" t="s">
        <v>134</v>
      </c>
      <c r="G67" s="3" t="s">
        <v>136</v>
      </c>
      <c r="H67" s="3" t="s">
        <v>137</v>
      </c>
      <c r="I67" s="3">
        <v>7861</v>
      </c>
      <c r="J67" s="3" t="s">
        <v>133</v>
      </c>
      <c r="K67" s="5">
        <v>1</v>
      </c>
      <c r="L67" s="3" t="s">
        <v>14</v>
      </c>
      <c r="M67" s="3" t="s">
        <v>198</v>
      </c>
      <c r="N67" s="3" t="str">
        <f t="shared" si="2"/>
        <v>OK</v>
      </c>
    </row>
    <row r="68" spans="1:14" x14ac:dyDescent="0.3">
      <c r="A68" s="3" t="s">
        <v>264</v>
      </c>
      <c r="B68" s="4">
        <v>46100</v>
      </c>
      <c r="C68" s="3" t="s">
        <v>78</v>
      </c>
      <c r="D68" s="3" t="s">
        <v>33</v>
      </c>
      <c r="E68" s="3" t="s">
        <v>128</v>
      </c>
      <c r="F68" s="3" t="s">
        <v>127</v>
      </c>
      <c r="G68" s="3" t="s">
        <v>123</v>
      </c>
      <c r="H68" s="3" t="s">
        <v>124</v>
      </c>
      <c r="I68" s="3">
        <v>4012</v>
      </c>
      <c r="J68" s="3" t="s">
        <v>126</v>
      </c>
      <c r="K68" s="5">
        <v>1</v>
      </c>
      <c r="L68" s="3" t="s">
        <v>14</v>
      </c>
      <c r="M68" s="3" t="s">
        <v>200</v>
      </c>
      <c r="N68" s="3" t="str">
        <f t="shared" si="2"/>
        <v>OK</v>
      </c>
    </row>
    <row r="69" spans="1:14" x14ac:dyDescent="0.3">
      <c r="A69" s="3" t="s">
        <v>265</v>
      </c>
      <c r="B69" s="4">
        <v>46091</v>
      </c>
      <c r="C69" s="3" t="s">
        <v>92</v>
      </c>
      <c r="D69" s="3" t="s">
        <v>40</v>
      </c>
      <c r="E69" s="3" t="s">
        <v>135</v>
      </c>
      <c r="F69" s="3" t="s">
        <v>141</v>
      </c>
      <c r="G69" s="3" t="s">
        <v>157</v>
      </c>
      <c r="H69" s="3" t="s">
        <v>131</v>
      </c>
      <c r="I69" s="3">
        <v>40919</v>
      </c>
      <c r="J69" s="3" t="s">
        <v>133</v>
      </c>
      <c r="K69" s="5">
        <v>1</v>
      </c>
      <c r="L69" s="3" t="s">
        <v>14</v>
      </c>
      <c r="M69" s="3" t="s">
        <v>198</v>
      </c>
      <c r="N69" s="3" t="str">
        <f t="shared" si="2"/>
        <v>OK</v>
      </c>
    </row>
    <row r="70" spans="1:14" x14ac:dyDescent="0.3">
      <c r="A70" s="3" t="s">
        <v>266</v>
      </c>
      <c r="B70" s="4">
        <v>46035</v>
      </c>
      <c r="C70" s="3" t="s">
        <v>105</v>
      </c>
      <c r="D70" s="3" t="s">
        <v>55</v>
      </c>
      <c r="E70" s="3" t="s">
        <v>128</v>
      </c>
      <c r="F70" s="3" t="s">
        <v>127</v>
      </c>
      <c r="G70" s="3" t="s">
        <v>152</v>
      </c>
      <c r="H70" s="3" t="s">
        <v>124</v>
      </c>
      <c r="I70" s="3">
        <v>2875</v>
      </c>
      <c r="J70" s="3" t="s">
        <v>126</v>
      </c>
      <c r="K70" s="5">
        <v>1</v>
      </c>
      <c r="L70" s="3" t="s">
        <v>14</v>
      </c>
      <c r="M70" s="3" t="s">
        <v>198</v>
      </c>
      <c r="N70" s="3" t="str">
        <f t="shared" si="2"/>
        <v>OK</v>
      </c>
    </row>
    <row r="71" spans="1:14" x14ac:dyDescent="0.3">
      <c r="A71" s="3" t="s">
        <v>267</v>
      </c>
      <c r="B71" s="4">
        <v>46049</v>
      </c>
      <c r="C71" s="3" t="s">
        <v>100</v>
      </c>
      <c r="D71" s="3" t="s">
        <v>36</v>
      </c>
      <c r="E71" s="3" t="s">
        <v>135</v>
      </c>
      <c r="F71" s="3" t="s">
        <v>149</v>
      </c>
      <c r="G71" s="3" t="s">
        <v>160</v>
      </c>
      <c r="H71" s="3" t="s">
        <v>131</v>
      </c>
      <c r="I71" s="3">
        <v>106693</v>
      </c>
      <c r="J71" s="3" t="s">
        <v>162</v>
      </c>
      <c r="K71" s="5">
        <v>1</v>
      </c>
      <c r="L71" s="3" t="s">
        <v>14</v>
      </c>
      <c r="M71" s="3" t="s">
        <v>200</v>
      </c>
      <c r="N71" s="3" t="str">
        <f t="shared" si="2"/>
        <v>OK</v>
      </c>
    </row>
    <row r="72" spans="1:14" x14ac:dyDescent="0.3">
      <c r="A72" s="3" t="s">
        <v>268</v>
      </c>
      <c r="B72" s="4">
        <v>46105</v>
      </c>
      <c r="C72" s="3" t="s">
        <v>46</v>
      </c>
      <c r="D72" s="3" t="s">
        <v>28</v>
      </c>
      <c r="E72" s="3" t="s">
        <v>135</v>
      </c>
      <c r="F72" s="3" t="s">
        <v>149</v>
      </c>
      <c r="G72" s="3" t="s">
        <v>176</v>
      </c>
      <c r="H72" s="3" t="s">
        <v>131</v>
      </c>
      <c r="I72" s="3">
        <v>71128</v>
      </c>
      <c r="J72" s="3" t="s">
        <v>174</v>
      </c>
      <c r="K72" s="5">
        <v>1</v>
      </c>
      <c r="L72" s="3" t="s">
        <v>14</v>
      </c>
      <c r="M72" s="3" t="s">
        <v>214</v>
      </c>
      <c r="N72" s="3" t="str">
        <f t="shared" si="2"/>
        <v>OK</v>
      </c>
    </row>
    <row r="73" spans="1:14" x14ac:dyDescent="0.3">
      <c r="A73" s="3" t="s">
        <v>269</v>
      </c>
      <c r="B73" s="4">
        <v>46058</v>
      </c>
      <c r="C73" s="3" t="s">
        <v>79</v>
      </c>
      <c r="D73" s="3" t="s">
        <v>36</v>
      </c>
      <c r="E73" s="3" t="s">
        <v>135</v>
      </c>
      <c r="F73" s="3" t="s">
        <v>141</v>
      </c>
      <c r="G73" s="3" t="s">
        <v>170</v>
      </c>
      <c r="H73" s="3" t="s">
        <v>131</v>
      </c>
      <c r="I73" s="3">
        <v>37756</v>
      </c>
      <c r="J73" s="3" t="s">
        <v>133</v>
      </c>
      <c r="K73" s="5">
        <v>1</v>
      </c>
      <c r="L73" s="3" t="s">
        <v>14</v>
      </c>
      <c r="M73" s="3" t="s">
        <v>200</v>
      </c>
      <c r="N73" s="3" t="str">
        <f t="shared" si="2"/>
        <v>OK</v>
      </c>
    </row>
    <row r="74" spans="1:14" x14ac:dyDescent="0.3">
      <c r="A74" s="3" t="s">
        <v>270</v>
      </c>
      <c r="B74" s="4">
        <v>46079</v>
      </c>
      <c r="C74" s="3" t="s">
        <v>58</v>
      </c>
      <c r="D74" s="3" t="s">
        <v>28</v>
      </c>
      <c r="E74" s="3" t="s">
        <v>135</v>
      </c>
      <c r="F74" s="3" t="s">
        <v>141</v>
      </c>
      <c r="G74" s="3" t="s">
        <v>139</v>
      </c>
      <c r="H74" s="3" t="s">
        <v>131</v>
      </c>
      <c r="I74" s="3">
        <v>45066</v>
      </c>
      <c r="J74" s="3" t="s">
        <v>133</v>
      </c>
      <c r="K74" s="5">
        <v>1</v>
      </c>
      <c r="L74" s="3" t="s">
        <v>14</v>
      </c>
      <c r="M74" s="3" t="s">
        <v>200</v>
      </c>
      <c r="N74" s="3" t="str">
        <f t="shared" si="2"/>
        <v>OK</v>
      </c>
    </row>
    <row r="75" spans="1:14" x14ac:dyDescent="0.3">
      <c r="A75" s="3" t="s">
        <v>271</v>
      </c>
      <c r="B75" s="4">
        <v>46043</v>
      </c>
      <c r="C75" s="3" t="s">
        <v>34</v>
      </c>
      <c r="D75" s="3" t="s">
        <v>36</v>
      </c>
      <c r="E75" s="3" t="s">
        <v>135</v>
      </c>
      <c r="F75" s="3" t="s">
        <v>141</v>
      </c>
      <c r="G75" s="3" t="s">
        <v>170</v>
      </c>
      <c r="H75" s="3" t="s">
        <v>131</v>
      </c>
      <c r="I75" s="3">
        <v>16972</v>
      </c>
      <c r="J75" s="3" t="s">
        <v>133</v>
      </c>
      <c r="K75" s="5">
        <v>1</v>
      </c>
      <c r="L75" s="3" t="s">
        <v>14</v>
      </c>
      <c r="M75" s="3" t="s">
        <v>214</v>
      </c>
      <c r="N75" s="3" t="str">
        <f t="shared" si="2"/>
        <v>OK</v>
      </c>
    </row>
    <row r="76" spans="1:14" x14ac:dyDescent="0.3">
      <c r="A76" s="3" t="s">
        <v>272</v>
      </c>
      <c r="B76" s="4">
        <v>46037</v>
      </c>
      <c r="C76" s="3" t="s">
        <v>34</v>
      </c>
      <c r="D76" s="3" t="s">
        <v>36</v>
      </c>
      <c r="E76" s="3" t="s">
        <v>135</v>
      </c>
      <c r="F76" s="3" t="s">
        <v>149</v>
      </c>
      <c r="G76" s="3" t="s">
        <v>160</v>
      </c>
      <c r="H76" s="3" t="s">
        <v>131</v>
      </c>
      <c r="I76" s="3">
        <v>68333</v>
      </c>
      <c r="J76" s="3" t="s">
        <v>162</v>
      </c>
      <c r="K76" s="5">
        <v>1</v>
      </c>
      <c r="L76" s="3" t="s">
        <v>14</v>
      </c>
      <c r="M76" s="3" t="s">
        <v>200</v>
      </c>
      <c r="N76" s="3" t="str">
        <f t="shared" si="2"/>
        <v>OK</v>
      </c>
    </row>
    <row r="77" spans="1:14" x14ac:dyDescent="0.3">
      <c r="A77" s="3" t="s">
        <v>273</v>
      </c>
      <c r="B77" s="4">
        <v>46074</v>
      </c>
      <c r="C77" s="3" t="s">
        <v>62</v>
      </c>
      <c r="D77" s="3" t="s">
        <v>25</v>
      </c>
      <c r="E77" s="3" t="s">
        <v>135</v>
      </c>
      <c r="F77" s="3" t="s">
        <v>134</v>
      </c>
      <c r="G77" s="3" t="s">
        <v>181</v>
      </c>
      <c r="H77" s="3" t="s">
        <v>124</v>
      </c>
      <c r="I77" s="3">
        <v>8640</v>
      </c>
      <c r="J77" s="3" t="s">
        <v>126</v>
      </c>
      <c r="K77" s="5">
        <v>4.13</v>
      </c>
      <c r="L77" s="3" t="s">
        <v>191</v>
      </c>
      <c r="M77" s="3" t="s">
        <v>214</v>
      </c>
      <c r="N77" s="3" t="str">
        <f t="shared" si="2"/>
        <v>OK</v>
      </c>
    </row>
    <row r="78" spans="1:14" x14ac:dyDescent="0.3">
      <c r="A78" s="3" t="s">
        <v>274</v>
      </c>
      <c r="B78" s="4">
        <v>46144</v>
      </c>
      <c r="C78" s="3" t="s">
        <v>19</v>
      </c>
      <c r="D78" s="3" t="s">
        <v>21</v>
      </c>
      <c r="E78" s="3" t="s">
        <v>135</v>
      </c>
      <c r="F78" s="3" t="s">
        <v>127</v>
      </c>
      <c r="G78" s="3" t="s">
        <v>163</v>
      </c>
      <c r="H78" s="3" t="s">
        <v>137</v>
      </c>
      <c r="I78" s="3">
        <v>840</v>
      </c>
      <c r="J78" s="3" t="s">
        <v>133</v>
      </c>
      <c r="K78" s="5">
        <v>3.19</v>
      </c>
      <c r="L78" s="3" t="s">
        <v>191</v>
      </c>
      <c r="M78" s="3" t="s">
        <v>195</v>
      </c>
      <c r="N78" s="3" t="str">
        <f t="shared" si="2"/>
        <v>OK</v>
      </c>
    </row>
    <row r="79" spans="1:14" x14ac:dyDescent="0.3">
      <c r="A79" s="3" t="s">
        <v>275</v>
      </c>
      <c r="B79" s="4">
        <v>46109</v>
      </c>
      <c r="C79" s="3" t="s">
        <v>102</v>
      </c>
      <c r="D79" s="3" t="s">
        <v>28</v>
      </c>
      <c r="E79" s="3" t="s">
        <v>135</v>
      </c>
      <c r="F79" s="3" t="s">
        <v>141</v>
      </c>
      <c r="G79" s="3" t="s">
        <v>139</v>
      </c>
      <c r="H79" s="3" t="s">
        <v>131</v>
      </c>
      <c r="I79" s="3">
        <v>33511</v>
      </c>
      <c r="J79" s="3" t="s">
        <v>133</v>
      </c>
      <c r="K79" s="5">
        <v>1</v>
      </c>
      <c r="L79" s="3" t="s">
        <v>14</v>
      </c>
      <c r="M79" s="3" t="s">
        <v>200</v>
      </c>
      <c r="N79" s="3" t="str">
        <f t="shared" si="2"/>
        <v>OK</v>
      </c>
    </row>
    <row r="80" spans="1:14" x14ac:dyDescent="0.3">
      <c r="A80" s="3" t="s">
        <v>276</v>
      </c>
      <c r="B80" s="4">
        <v>46042</v>
      </c>
      <c r="C80" s="3" t="s">
        <v>95</v>
      </c>
      <c r="D80" s="3" t="s">
        <v>36</v>
      </c>
      <c r="E80" s="3" t="s">
        <v>135</v>
      </c>
      <c r="F80" s="3" t="s">
        <v>127</v>
      </c>
      <c r="G80" s="3" t="s">
        <v>146</v>
      </c>
      <c r="H80" s="3" t="s">
        <v>137</v>
      </c>
      <c r="I80" s="3">
        <v>1563</v>
      </c>
      <c r="J80" s="3" t="s">
        <v>133</v>
      </c>
      <c r="K80" s="5">
        <v>1</v>
      </c>
      <c r="L80" s="3" t="s">
        <v>14</v>
      </c>
      <c r="M80" s="3" t="s">
        <v>198</v>
      </c>
      <c r="N80" s="3" t="str">
        <f t="shared" si="2"/>
        <v>OK</v>
      </c>
    </row>
    <row r="81" spans="1:14" x14ac:dyDescent="0.3">
      <c r="A81" s="3" t="s">
        <v>277</v>
      </c>
      <c r="B81" s="4">
        <v>46090</v>
      </c>
      <c r="C81" s="3" t="s">
        <v>57</v>
      </c>
      <c r="D81" s="3" t="s">
        <v>17</v>
      </c>
      <c r="E81" s="3" t="s">
        <v>135</v>
      </c>
      <c r="F81" s="3" t="s">
        <v>141</v>
      </c>
      <c r="G81" s="3" t="s">
        <v>150</v>
      </c>
      <c r="H81" s="3" t="s">
        <v>137</v>
      </c>
      <c r="I81" s="3">
        <v>2093</v>
      </c>
      <c r="J81" s="3" t="s">
        <v>133</v>
      </c>
      <c r="K81" s="5">
        <v>0.26</v>
      </c>
      <c r="L81" s="3" t="s">
        <v>191</v>
      </c>
      <c r="M81" s="3" t="s">
        <v>200</v>
      </c>
      <c r="N81" s="3" t="str">
        <f t="shared" si="2"/>
        <v>OK</v>
      </c>
    </row>
    <row r="82" spans="1:14" x14ac:dyDescent="0.3">
      <c r="A82" s="3" t="s">
        <v>278</v>
      </c>
      <c r="B82" s="4">
        <v>46042</v>
      </c>
      <c r="C82" s="3" t="s">
        <v>34</v>
      </c>
      <c r="D82" s="3" t="s">
        <v>36</v>
      </c>
      <c r="E82" s="3" t="s">
        <v>135</v>
      </c>
      <c r="F82" s="3" t="s">
        <v>141</v>
      </c>
      <c r="G82" s="3" t="s">
        <v>182</v>
      </c>
      <c r="H82" s="3" t="s">
        <v>124</v>
      </c>
      <c r="I82" s="3">
        <v>5744</v>
      </c>
      <c r="J82" s="3" t="s">
        <v>162</v>
      </c>
      <c r="K82" s="5">
        <v>1</v>
      </c>
      <c r="L82" s="3" t="s">
        <v>14</v>
      </c>
      <c r="M82" s="3" t="s">
        <v>200</v>
      </c>
      <c r="N82" s="3" t="str">
        <f t="shared" si="2"/>
        <v>OK</v>
      </c>
    </row>
    <row r="83" spans="1:14" x14ac:dyDescent="0.3">
      <c r="A83" s="3" t="s">
        <v>279</v>
      </c>
      <c r="B83" s="4">
        <v>46096</v>
      </c>
      <c r="C83" s="3" t="s">
        <v>93</v>
      </c>
      <c r="D83" s="3" t="s">
        <v>66</v>
      </c>
      <c r="E83" s="3" t="s">
        <v>135</v>
      </c>
      <c r="F83" s="3" t="s">
        <v>144</v>
      </c>
      <c r="G83" s="3" t="s">
        <v>142</v>
      </c>
      <c r="H83" s="3" t="s">
        <v>131</v>
      </c>
      <c r="I83" s="3">
        <v>54028</v>
      </c>
      <c r="J83" s="3" t="s">
        <v>133</v>
      </c>
      <c r="K83" s="5">
        <v>1.65</v>
      </c>
      <c r="L83" s="3" t="s">
        <v>191</v>
      </c>
      <c r="M83" s="3" t="s">
        <v>200</v>
      </c>
      <c r="N83" s="3" t="str">
        <f t="shared" si="2"/>
        <v>OK</v>
      </c>
    </row>
    <row r="84" spans="1:14" x14ac:dyDescent="0.3">
      <c r="A84" s="3" t="s">
        <v>280</v>
      </c>
      <c r="B84" s="4">
        <v>46092</v>
      </c>
      <c r="C84" s="3" t="s">
        <v>92</v>
      </c>
      <c r="D84" s="3" t="s">
        <v>40</v>
      </c>
      <c r="E84" s="3" t="s">
        <v>135</v>
      </c>
      <c r="F84" s="3" t="s">
        <v>141</v>
      </c>
      <c r="G84" s="3" t="s">
        <v>157</v>
      </c>
      <c r="H84" s="3" t="s">
        <v>131</v>
      </c>
      <c r="I84" s="3">
        <v>40919</v>
      </c>
      <c r="J84" s="3" t="s">
        <v>133</v>
      </c>
      <c r="K84" s="5">
        <v>1</v>
      </c>
      <c r="L84" s="3" t="s">
        <v>14</v>
      </c>
      <c r="M84" s="3" t="s">
        <v>198</v>
      </c>
      <c r="N84" s="3" t="str">
        <f t="shared" si="2"/>
        <v>OK</v>
      </c>
    </row>
    <row r="85" spans="1:14" x14ac:dyDescent="0.3">
      <c r="A85" s="3" t="s">
        <v>281</v>
      </c>
      <c r="B85" s="4">
        <v>46041</v>
      </c>
      <c r="C85" s="3" t="s">
        <v>49</v>
      </c>
      <c r="D85" s="3" t="s">
        <v>28</v>
      </c>
      <c r="E85" s="3" t="s">
        <v>135</v>
      </c>
      <c r="F85" s="3" t="s">
        <v>149</v>
      </c>
      <c r="G85" s="3" t="s">
        <v>176</v>
      </c>
      <c r="H85" s="3" t="s">
        <v>131</v>
      </c>
      <c r="I85" s="3">
        <v>72259</v>
      </c>
      <c r="J85" s="3" t="s">
        <v>174</v>
      </c>
      <c r="K85" s="5">
        <v>1</v>
      </c>
      <c r="L85" s="3" t="s">
        <v>14</v>
      </c>
      <c r="M85" s="3" t="s">
        <v>195</v>
      </c>
      <c r="N85" s="3" t="str">
        <f t="shared" si="2"/>
        <v>OK</v>
      </c>
    </row>
    <row r="86" spans="1:14" x14ac:dyDescent="0.3">
      <c r="A86" s="3" t="s">
        <v>282</v>
      </c>
      <c r="B86" s="4">
        <v>46047</v>
      </c>
      <c r="C86" s="3" t="s">
        <v>100</v>
      </c>
      <c r="D86" s="3" t="s">
        <v>36</v>
      </c>
      <c r="E86" s="3" t="s">
        <v>135</v>
      </c>
      <c r="F86" s="3" t="s">
        <v>141</v>
      </c>
      <c r="G86" s="3" t="s">
        <v>170</v>
      </c>
      <c r="H86" s="3" t="s">
        <v>131</v>
      </c>
      <c r="I86" s="3">
        <v>26500</v>
      </c>
      <c r="J86" s="3" t="s">
        <v>133</v>
      </c>
      <c r="K86" s="5">
        <v>1</v>
      </c>
      <c r="L86" s="3" t="s">
        <v>14</v>
      </c>
      <c r="M86" s="3" t="s">
        <v>214</v>
      </c>
      <c r="N86" s="3" t="str">
        <f t="shared" si="2"/>
        <v>OK</v>
      </c>
    </row>
    <row r="87" spans="1:14" x14ac:dyDescent="0.3">
      <c r="A87" s="3" t="s">
        <v>283</v>
      </c>
      <c r="B87" s="4">
        <v>46044</v>
      </c>
      <c r="C87" s="3" t="s">
        <v>98</v>
      </c>
      <c r="D87" s="3" t="s">
        <v>55</v>
      </c>
      <c r="E87" s="3" t="s">
        <v>135</v>
      </c>
      <c r="F87" s="3" t="s">
        <v>141</v>
      </c>
      <c r="G87" s="3" t="s">
        <v>167</v>
      </c>
      <c r="H87" s="3" t="s">
        <v>124</v>
      </c>
      <c r="I87" s="3">
        <v>888</v>
      </c>
      <c r="J87" s="3" t="s">
        <v>126</v>
      </c>
      <c r="K87" s="5">
        <v>1</v>
      </c>
      <c r="L87" s="3" t="s">
        <v>14</v>
      </c>
      <c r="M87" s="3" t="s">
        <v>214</v>
      </c>
      <c r="N87" s="3" t="str">
        <f t="shared" si="2"/>
        <v>OK</v>
      </c>
    </row>
    <row r="88" spans="1:14" x14ac:dyDescent="0.3">
      <c r="A88" s="3" t="s">
        <v>284</v>
      </c>
      <c r="B88" s="4">
        <v>46101</v>
      </c>
      <c r="C88" s="3" t="s">
        <v>75</v>
      </c>
      <c r="D88" s="3" t="s">
        <v>55</v>
      </c>
      <c r="E88" s="3" t="s">
        <v>135</v>
      </c>
      <c r="F88" s="3" t="s">
        <v>141</v>
      </c>
      <c r="G88" s="3" t="s">
        <v>184</v>
      </c>
      <c r="H88" s="3" t="s">
        <v>131</v>
      </c>
      <c r="I88" s="3">
        <v>22234</v>
      </c>
      <c r="J88" s="3" t="s">
        <v>174</v>
      </c>
      <c r="K88" s="5">
        <v>3.06</v>
      </c>
      <c r="L88" s="3" t="s">
        <v>191</v>
      </c>
      <c r="M88" s="3" t="s">
        <v>198</v>
      </c>
      <c r="N88" s="3" t="str">
        <f t="shared" si="2"/>
        <v>OK</v>
      </c>
    </row>
    <row r="89" spans="1:14" x14ac:dyDescent="0.3">
      <c r="A89" s="3" t="s">
        <v>285</v>
      </c>
      <c r="B89" s="4">
        <v>46050</v>
      </c>
      <c r="C89" s="3" t="s">
        <v>114</v>
      </c>
      <c r="D89" s="3" t="s">
        <v>66</v>
      </c>
      <c r="E89" s="3" t="s">
        <v>135</v>
      </c>
      <c r="F89" s="3" t="s">
        <v>141</v>
      </c>
      <c r="G89" s="3" t="s">
        <v>157</v>
      </c>
      <c r="H89" s="3" t="s">
        <v>131</v>
      </c>
      <c r="I89" s="3">
        <v>104341</v>
      </c>
      <c r="J89" s="3" t="s">
        <v>133</v>
      </c>
      <c r="K89" s="5">
        <v>1</v>
      </c>
      <c r="L89" s="3" t="s">
        <v>14</v>
      </c>
      <c r="M89" s="3" t="s">
        <v>214</v>
      </c>
      <c r="N89" s="3" t="str">
        <f t="shared" si="2"/>
        <v>OK</v>
      </c>
    </row>
    <row r="90" spans="1:14" x14ac:dyDescent="0.3">
      <c r="A90" s="3" t="s">
        <v>286</v>
      </c>
      <c r="B90" s="4">
        <v>46042</v>
      </c>
      <c r="C90" s="3" t="s">
        <v>105</v>
      </c>
      <c r="D90" s="3" t="s">
        <v>55</v>
      </c>
      <c r="E90" s="3" t="s">
        <v>135</v>
      </c>
      <c r="F90" s="3" t="s">
        <v>149</v>
      </c>
      <c r="G90" s="3" t="s">
        <v>177</v>
      </c>
      <c r="H90" s="3" t="s">
        <v>131</v>
      </c>
      <c r="I90" s="3">
        <v>14029</v>
      </c>
      <c r="J90" s="3" t="s">
        <v>162</v>
      </c>
      <c r="K90" s="5">
        <v>1</v>
      </c>
      <c r="L90" s="3" t="s">
        <v>14</v>
      </c>
      <c r="M90" s="3" t="s">
        <v>214</v>
      </c>
      <c r="N90" s="3" t="str">
        <f t="shared" si="2"/>
        <v>OK</v>
      </c>
    </row>
    <row r="91" spans="1:14" x14ac:dyDescent="0.3">
      <c r="A91" s="3" t="s">
        <v>287</v>
      </c>
      <c r="B91" s="4">
        <v>46118</v>
      </c>
      <c r="C91" s="3" t="s">
        <v>89</v>
      </c>
      <c r="D91" s="3" t="s">
        <v>33</v>
      </c>
      <c r="E91" s="3" t="s">
        <v>135</v>
      </c>
      <c r="F91" s="3" t="s">
        <v>144</v>
      </c>
      <c r="G91" s="3" t="s">
        <v>142</v>
      </c>
      <c r="H91" s="3" t="s">
        <v>131</v>
      </c>
      <c r="I91" s="3">
        <v>76819</v>
      </c>
      <c r="J91" s="3" t="s">
        <v>133</v>
      </c>
      <c r="K91" s="5">
        <v>1.65</v>
      </c>
      <c r="L91" s="3" t="s">
        <v>191</v>
      </c>
      <c r="M91" s="3" t="s">
        <v>198</v>
      </c>
      <c r="N91" s="3" t="str">
        <f t="shared" si="2"/>
        <v>OK</v>
      </c>
    </row>
    <row r="92" spans="1:14" x14ac:dyDescent="0.3">
      <c r="A92" s="3" t="s">
        <v>288</v>
      </c>
      <c r="B92" s="4">
        <v>46101</v>
      </c>
      <c r="C92" s="3" t="s">
        <v>94</v>
      </c>
      <c r="D92" s="3" t="s">
        <v>28</v>
      </c>
      <c r="E92" s="3" t="s">
        <v>135</v>
      </c>
      <c r="F92" s="3" t="s">
        <v>134</v>
      </c>
      <c r="G92" s="3" t="s">
        <v>181</v>
      </c>
      <c r="H92" s="3" t="s">
        <v>124</v>
      </c>
      <c r="I92" s="3">
        <v>5516</v>
      </c>
      <c r="J92" s="3" t="s">
        <v>126</v>
      </c>
      <c r="K92" s="5">
        <v>4.13</v>
      </c>
      <c r="L92" s="3" t="s">
        <v>191</v>
      </c>
      <c r="M92" s="3" t="s">
        <v>195</v>
      </c>
      <c r="N92" s="3" t="str">
        <f t="shared" si="2"/>
        <v>OK</v>
      </c>
    </row>
    <row r="93" spans="1:14" x14ac:dyDescent="0.3">
      <c r="A93" s="3" t="s">
        <v>289</v>
      </c>
      <c r="B93" s="4">
        <v>46045</v>
      </c>
      <c r="C93" s="3" t="s">
        <v>54</v>
      </c>
      <c r="D93" s="3" t="s">
        <v>55</v>
      </c>
      <c r="E93" s="3" t="s">
        <v>135</v>
      </c>
      <c r="F93" s="3" t="s">
        <v>149</v>
      </c>
      <c r="G93" s="3" t="s">
        <v>160</v>
      </c>
      <c r="H93" s="3" t="s">
        <v>131</v>
      </c>
      <c r="I93" s="3">
        <v>49472</v>
      </c>
      <c r="J93" s="3" t="s">
        <v>162</v>
      </c>
      <c r="K93" s="5">
        <v>1</v>
      </c>
      <c r="L93" s="3" t="s">
        <v>14</v>
      </c>
      <c r="M93" s="3" t="s">
        <v>214</v>
      </c>
      <c r="N93" s="3" t="str">
        <f t="shared" si="2"/>
        <v>OK</v>
      </c>
    </row>
    <row r="94" spans="1:14" x14ac:dyDescent="0.3">
      <c r="A94" s="3" t="s">
        <v>290</v>
      </c>
      <c r="B94" s="4">
        <v>46101</v>
      </c>
      <c r="C94" s="3" t="s">
        <v>27</v>
      </c>
      <c r="D94" s="3" t="s">
        <v>28</v>
      </c>
      <c r="E94" s="3" t="s">
        <v>135</v>
      </c>
      <c r="F94" s="3" t="s">
        <v>149</v>
      </c>
      <c r="G94" s="3" t="s">
        <v>148</v>
      </c>
      <c r="H94" s="3" t="s">
        <v>137</v>
      </c>
      <c r="I94" s="3">
        <v>10228</v>
      </c>
      <c r="J94" s="3" t="s">
        <v>133</v>
      </c>
      <c r="K94" s="5">
        <v>1</v>
      </c>
      <c r="L94" s="3" t="s">
        <v>14</v>
      </c>
      <c r="M94" s="3" t="s">
        <v>195</v>
      </c>
      <c r="N94" s="3" t="str">
        <f t="shared" si="2"/>
        <v>OK</v>
      </c>
    </row>
    <row r="95" spans="1:14" x14ac:dyDescent="0.3">
      <c r="A95" s="3" t="s">
        <v>291</v>
      </c>
      <c r="B95" s="4">
        <v>46091</v>
      </c>
      <c r="C95" s="3" t="s">
        <v>57</v>
      </c>
      <c r="D95" s="3" t="s">
        <v>17</v>
      </c>
      <c r="E95" s="3" t="s">
        <v>135</v>
      </c>
      <c r="F95" s="3" t="s">
        <v>127</v>
      </c>
      <c r="G95" s="3" t="s">
        <v>151</v>
      </c>
      <c r="H95" s="3" t="s">
        <v>131</v>
      </c>
      <c r="I95" s="3">
        <v>48883</v>
      </c>
      <c r="J95" s="3" t="s">
        <v>133</v>
      </c>
      <c r="K95" s="5">
        <v>1</v>
      </c>
      <c r="L95" s="3" t="s">
        <v>14</v>
      </c>
      <c r="M95" s="3" t="s">
        <v>195</v>
      </c>
      <c r="N95" s="3" t="str">
        <f t="shared" si="2"/>
        <v>OK</v>
      </c>
    </row>
    <row r="96" spans="1:14" x14ac:dyDescent="0.3">
      <c r="A96" s="3" t="s">
        <v>292</v>
      </c>
      <c r="B96" s="4">
        <v>46046</v>
      </c>
      <c r="C96" s="3" t="s">
        <v>95</v>
      </c>
      <c r="D96" s="3" t="s">
        <v>36</v>
      </c>
      <c r="E96" s="3" t="s">
        <v>135</v>
      </c>
      <c r="F96" s="3" t="s">
        <v>141</v>
      </c>
      <c r="G96" s="3" t="s">
        <v>182</v>
      </c>
      <c r="H96" s="3" t="s">
        <v>124</v>
      </c>
      <c r="I96" s="3">
        <v>4523</v>
      </c>
      <c r="J96" s="3" t="s">
        <v>162</v>
      </c>
      <c r="K96" s="5">
        <v>1</v>
      </c>
      <c r="L96" s="3" t="s">
        <v>14</v>
      </c>
      <c r="M96" s="3" t="s">
        <v>214</v>
      </c>
      <c r="N96" s="3" t="str">
        <f t="shared" si="2"/>
        <v>OK</v>
      </c>
    </row>
    <row r="97" spans="1:14" x14ac:dyDescent="0.3">
      <c r="A97" s="3" t="s">
        <v>293</v>
      </c>
      <c r="B97" s="4">
        <v>46082</v>
      </c>
      <c r="C97" s="3" t="s">
        <v>99</v>
      </c>
      <c r="D97" s="3" t="s">
        <v>25</v>
      </c>
      <c r="E97" s="3" t="s">
        <v>135</v>
      </c>
      <c r="F97" s="3" t="s">
        <v>134</v>
      </c>
      <c r="G97" s="3" t="s">
        <v>181</v>
      </c>
      <c r="H97" s="3" t="s">
        <v>124</v>
      </c>
      <c r="I97" s="3">
        <v>6556</v>
      </c>
      <c r="J97" s="3" t="s">
        <v>126</v>
      </c>
      <c r="K97" s="5">
        <v>4.13</v>
      </c>
      <c r="L97" s="3" t="s">
        <v>191</v>
      </c>
      <c r="M97" s="3" t="s">
        <v>214</v>
      </c>
      <c r="N97" s="3" t="str">
        <f t="shared" si="2"/>
        <v>OK</v>
      </c>
    </row>
    <row r="98" spans="1:14" x14ac:dyDescent="0.3">
      <c r="A98" s="3" t="s">
        <v>294</v>
      </c>
      <c r="B98" s="4">
        <v>46135</v>
      </c>
      <c r="C98" s="3" t="s">
        <v>81</v>
      </c>
      <c r="D98" s="3" t="s">
        <v>25</v>
      </c>
      <c r="E98" s="3" t="s">
        <v>135</v>
      </c>
      <c r="F98" s="3" t="s">
        <v>149</v>
      </c>
      <c r="G98" s="3" t="s">
        <v>177</v>
      </c>
      <c r="H98" s="3" t="s">
        <v>131</v>
      </c>
      <c r="I98" s="3">
        <v>66082</v>
      </c>
      <c r="J98" s="3" t="s">
        <v>162</v>
      </c>
      <c r="K98" s="5">
        <v>1</v>
      </c>
      <c r="L98" s="3" t="s">
        <v>14</v>
      </c>
      <c r="M98" s="3" t="s">
        <v>200</v>
      </c>
      <c r="N98" s="3" t="str">
        <f t="shared" ref="N98:N129" si="3">IF(COUNTA(A98:M98)&lt;13,"MISSING DATA",IF(OR(I98&lt;=0,K98&lt;=0),"VALUE ERROR","OK"))</f>
        <v>OK</v>
      </c>
    </row>
    <row r="99" spans="1:14" x14ac:dyDescent="0.3">
      <c r="A99" s="3" t="s">
        <v>295</v>
      </c>
      <c r="B99" s="4">
        <v>46081</v>
      </c>
      <c r="C99" s="3" t="s">
        <v>62</v>
      </c>
      <c r="D99" s="3" t="s">
        <v>25</v>
      </c>
      <c r="E99" s="3" t="s">
        <v>135</v>
      </c>
      <c r="F99" s="3" t="s">
        <v>144</v>
      </c>
      <c r="G99" s="3" t="s">
        <v>142</v>
      </c>
      <c r="H99" s="3" t="s">
        <v>131</v>
      </c>
      <c r="I99" s="3">
        <v>25055</v>
      </c>
      <c r="J99" s="3" t="s">
        <v>133</v>
      </c>
      <c r="K99" s="5">
        <v>1.65</v>
      </c>
      <c r="L99" s="3" t="s">
        <v>191</v>
      </c>
      <c r="M99" s="3" t="s">
        <v>214</v>
      </c>
      <c r="N99" s="3" t="str">
        <f t="shared" si="3"/>
        <v>OK</v>
      </c>
    </row>
    <row r="100" spans="1:14" x14ac:dyDescent="0.3">
      <c r="A100" s="3" t="s">
        <v>296</v>
      </c>
      <c r="B100" s="4">
        <v>46076</v>
      </c>
      <c r="C100" s="3" t="s">
        <v>58</v>
      </c>
      <c r="D100" s="3" t="s">
        <v>28</v>
      </c>
      <c r="E100" s="3" t="s">
        <v>135</v>
      </c>
      <c r="F100" s="3" t="s">
        <v>141</v>
      </c>
      <c r="G100" s="3" t="s">
        <v>172</v>
      </c>
      <c r="H100" s="3" t="s">
        <v>131</v>
      </c>
      <c r="I100" s="3">
        <v>75488</v>
      </c>
      <c r="J100" s="3" t="s">
        <v>174</v>
      </c>
      <c r="K100" s="5">
        <v>0.21</v>
      </c>
      <c r="L100" s="3" t="s">
        <v>191</v>
      </c>
      <c r="M100" s="3" t="s">
        <v>200</v>
      </c>
      <c r="N100" s="3" t="str">
        <f t="shared" si="3"/>
        <v>OK</v>
      </c>
    </row>
    <row r="101" spans="1:14" x14ac:dyDescent="0.3">
      <c r="A101" s="3" t="s">
        <v>297</v>
      </c>
      <c r="B101" s="4">
        <v>46031</v>
      </c>
      <c r="C101" s="3" t="s">
        <v>73</v>
      </c>
      <c r="D101" s="3" t="s">
        <v>21</v>
      </c>
      <c r="E101" s="3" t="s">
        <v>135</v>
      </c>
      <c r="F101" s="3" t="s">
        <v>141</v>
      </c>
      <c r="G101" s="3" t="s">
        <v>139</v>
      </c>
      <c r="H101" s="3" t="s">
        <v>131</v>
      </c>
      <c r="I101" s="3">
        <v>107336</v>
      </c>
      <c r="J101" s="3" t="s">
        <v>133</v>
      </c>
      <c r="K101" s="5">
        <v>1</v>
      </c>
      <c r="L101" s="3" t="s">
        <v>14</v>
      </c>
      <c r="M101" s="3" t="s">
        <v>214</v>
      </c>
      <c r="N101" s="3" t="str">
        <f t="shared" si="3"/>
        <v>OK</v>
      </c>
    </row>
    <row r="102" spans="1:14" x14ac:dyDescent="0.3">
      <c r="A102" s="3" t="s">
        <v>298</v>
      </c>
      <c r="B102" s="4">
        <v>46063</v>
      </c>
      <c r="C102" s="3" t="s">
        <v>82</v>
      </c>
      <c r="D102" s="3" t="s">
        <v>25</v>
      </c>
      <c r="E102" s="3" t="s">
        <v>128</v>
      </c>
      <c r="F102" s="3" t="s">
        <v>127</v>
      </c>
      <c r="G102" s="3" t="s">
        <v>152</v>
      </c>
      <c r="H102" s="3" t="s">
        <v>124</v>
      </c>
      <c r="I102" s="3">
        <v>1685</v>
      </c>
      <c r="J102" s="3" t="s">
        <v>126</v>
      </c>
      <c r="K102" s="5">
        <v>1</v>
      </c>
      <c r="L102" s="3" t="s">
        <v>14</v>
      </c>
      <c r="M102" s="3" t="s">
        <v>195</v>
      </c>
      <c r="N102" s="3" t="str">
        <f t="shared" si="3"/>
        <v>OK</v>
      </c>
    </row>
    <row r="103" spans="1:14" x14ac:dyDescent="0.3">
      <c r="A103" s="3" t="s">
        <v>299</v>
      </c>
      <c r="B103" s="4">
        <v>46039</v>
      </c>
      <c r="C103" s="3" t="s">
        <v>105</v>
      </c>
      <c r="D103" s="3" t="s">
        <v>55</v>
      </c>
      <c r="E103" s="3" t="s">
        <v>135</v>
      </c>
      <c r="F103" s="3" t="s">
        <v>149</v>
      </c>
      <c r="G103" s="3" t="s">
        <v>148</v>
      </c>
      <c r="H103" s="3" t="s">
        <v>137</v>
      </c>
      <c r="I103" s="3">
        <v>1709</v>
      </c>
      <c r="J103" s="3" t="s">
        <v>133</v>
      </c>
      <c r="K103" s="5">
        <v>1</v>
      </c>
      <c r="L103" s="3" t="s">
        <v>14</v>
      </c>
      <c r="M103" s="3" t="s">
        <v>214</v>
      </c>
      <c r="N103" s="3" t="str">
        <f t="shared" si="3"/>
        <v>OK</v>
      </c>
    </row>
    <row r="104" spans="1:14" x14ac:dyDescent="0.3">
      <c r="A104" s="3" t="s">
        <v>300</v>
      </c>
      <c r="B104" s="4">
        <v>46102</v>
      </c>
      <c r="C104" s="3" t="s">
        <v>75</v>
      </c>
      <c r="D104" s="3" t="s">
        <v>55</v>
      </c>
      <c r="E104" s="3" t="s">
        <v>135</v>
      </c>
      <c r="F104" s="3" t="s">
        <v>141</v>
      </c>
      <c r="G104" s="3" t="s">
        <v>167</v>
      </c>
      <c r="H104" s="3" t="s">
        <v>124</v>
      </c>
      <c r="I104" s="3">
        <v>1763</v>
      </c>
      <c r="J104" s="3" t="s">
        <v>126</v>
      </c>
      <c r="K104" s="5">
        <v>1</v>
      </c>
      <c r="L104" s="3" t="s">
        <v>14</v>
      </c>
      <c r="M104" s="3" t="s">
        <v>195</v>
      </c>
      <c r="N104" s="3" t="str">
        <f t="shared" si="3"/>
        <v>OK</v>
      </c>
    </row>
    <row r="105" spans="1:14" x14ac:dyDescent="0.3">
      <c r="A105" s="3" t="s">
        <v>301</v>
      </c>
      <c r="B105" s="4">
        <v>46055</v>
      </c>
      <c r="C105" s="3" t="s">
        <v>98</v>
      </c>
      <c r="D105" s="3" t="s">
        <v>55</v>
      </c>
      <c r="E105" s="3" t="s">
        <v>135</v>
      </c>
      <c r="F105" s="3" t="s">
        <v>141</v>
      </c>
      <c r="G105" s="3" t="s">
        <v>167</v>
      </c>
      <c r="H105" s="3" t="s">
        <v>124</v>
      </c>
      <c r="I105" s="3">
        <v>888</v>
      </c>
      <c r="J105" s="3" t="s">
        <v>126</v>
      </c>
      <c r="K105" s="5">
        <v>1</v>
      </c>
      <c r="L105" s="3" t="s">
        <v>14</v>
      </c>
      <c r="M105" s="3" t="s">
        <v>198</v>
      </c>
      <c r="N105" s="3" t="str">
        <f t="shared" si="3"/>
        <v>OK</v>
      </c>
    </row>
    <row r="106" spans="1:14" x14ac:dyDescent="0.3">
      <c r="A106" s="3" t="s">
        <v>302</v>
      </c>
      <c r="B106" s="4">
        <v>46129</v>
      </c>
      <c r="C106" s="3" t="s">
        <v>63</v>
      </c>
      <c r="D106" s="3" t="s">
        <v>25</v>
      </c>
      <c r="E106" s="3" t="s">
        <v>135</v>
      </c>
      <c r="F106" s="3" t="s">
        <v>134</v>
      </c>
      <c r="G106" s="3" t="s">
        <v>130</v>
      </c>
      <c r="H106" s="3" t="s">
        <v>131</v>
      </c>
      <c r="I106" s="3">
        <v>52224</v>
      </c>
      <c r="J106" s="3" t="s">
        <v>133</v>
      </c>
      <c r="K106" s="5">
        <v>1</v>
      </c>
      <c r="L106" s="3" t="s">
        <v>14</v>
      </c>
      <c r="M106" s="3" t="s">
        <v>214</v>
      </c>
      <c r="N106" s="3" t="str">
        <f t="shared" si="3"/>
        <v>OK</v>
      </c>
    </row>
    <row r="107" spans="1:14" x14ac:dyDescent="0.3">
      <c r="A107" s="3" t="s">
        <v>303</v>
      </c>
      <c r="B107" s="4">
        <v>46105</v>
      </c>
      <c r="C107" s="3" t="s">
        <v>78</v>
      </c>
      <c r="D107" s="3" t="s">
        <v>33</v>
      </c>
      <c r="E107" s="3" t="s">
        <v>135</v>
      </c>
      <c r="F107" s="3" t="s">
        <v>144</v>
      </c>
      <c r="G107" s="3" t="s">
        <v>142</v>
      </c>
      <c r="H107" s="3" t="s">
        <v>131</v>
      </c>
      <c r="I107" s="3">
        <v>83133</v>
      </c>
      <c r="J107" s="3" t="s">
        <v>133</v>
      </c>
      <c r="K107" s="5">
        <v>1.65</v>
      </c>
      <c r="L107" s="3" t="s">
        <v>191</v>
      </c>
      <c r="M107" s="3" t="s">
        <v>198</v>
      </c>
      <c r="N107" s="3" t="str">
        <f t="shared" si="3"/>
        <v>OK</v>
      </c>
    </row>
    <row r="108" spans="1:14" x14ac:dyDescent="0.3">
      <c r="A108" s="3" t="s">
        <v>304</v>
      </c>
      <c r="B108" s="4">
        <v>46063</v>
      </c>
      <c r="C108" s="3" t="s">
        <v>91</v>
      </c>
      <c r="D108" s="3" t="s">
        <v>21</v>
      </c>
      <c r="E108" s="3" t="s">
        <v>135</v>
      </c>
      <c r="F108" s="3" t="s">
        <v>141</v>
      </c>
      <c r="G108" s="3" t="s">
        <v>182</v>
      </c>
      <c r="H108" s="3" t="s">
        <v>124</v>
      </c>
      <c r="I108" s="3">
        <v>2630</v>
      </c>
      <c r="J108" s="3" t="s">
        <v>162</v>
      </c>
      <c r="K108" s="5">
        <v>1</v>
      </c>
      <c r="L108" s="3" t="s">
        <v>14</v>
      </c>
      <c r="M108" s="3" t="s">
        <v>214</v>
      </c>
      <c r="N108" s="3" t="str">
        <f t="shared" si="3"/>
        <v>OK</v>
      </c>
    </row>
    <row r="109" spans="1:14" x14ac:dyDescent="0.3">
      <c r="A109" s="3" t="s">
        <v>305</v>
      </c>
      <c r="B109" s="4">
        <v>46034</v>
      </c>
      <c r="C109" s="3" t="s">
        <v>59</v>
      </c>
      <c r="D109" s="3" t="s">
        <v>12</v>
      </c>
      <c r="E109" s="3" t="s">
        <v>135</v>
      </c>
      <c r="F109" s="3" t="s">
        <v>149</v>
      </c>
      <c r="G109" s="3" t="s">
        <v>177</v>
      </c>
      <c r="H109" s="3" t="s">
        <v>131</v>
      </c>
      <c r="I109" s="3">
        <v>98589</v>
      </c>
      <c r="J109" s="3" t="s">
        <v>162</v>
      </c>
      <c r="K109" s="5">
        <v>1</v>
      </c>
      <c r="L109" s="3" t="s">
        <v>14</v>
      </c>
      <c r="M109" s="3" t="s">
        <v>195</v>
      </c>
      <c r="N109" s="3" t="str">
        <f t="shared" si="3"/>
        <v>OK</v>
      </c>
    </row>
    <row r="110" spans="1:14" x14ac:dyDescent="0.3">
      <c r="A110" s="3" t="s">
        <v>306</v>
      </c>
      <c r="B110" s="4">
        <v>46039</v>
      </c>
      <c r="C110" s="3" t="s">
        <v>95</v>
      </c>
      <c r="D110" s="3" t="s">
        <v>36</v>
      </c>
      <c r="E110" s="3" t="s">
        <v>135</v>
      </c>
      <c r="F110" s="3" t="s">
        <v>141</v>
      </c>
      <c r="G110" s="3" t="s">
        <v>170</v>
      </c>
      <c r="H110" s="3" t="s">
        <v>131</v>
      </c>
      <c r="I110" s="3">
        <v>13363</v>
      </c>
      <c r="J110" s="3" t="s">
        <v>133</v>
      </c>
      <c r="K110" s="5">
        <v>1</v>
      </c>
      <c r="L110" s="3" t="s">
        <v>14</v>
      </c>
      <c r="M110" s="3" t="s">
        <v>200</v>
      </c>
      <c r="N110" s="3" t="str">
        <f t="shared" si="3"/>
        <v>OK</v>
      </c>
    </row>
    <row r="111" spans="1:14" x14ac:dyDescent="0.3">
      <c r="A111" s="3" t="s">
        <v>307</v>
      </c>
      <c r="B111" s="4">
        <v>46048</v>
      </c>
      <c r="C111" s="3" t="s">
        <v>54</v>
      </c>
      <c r="D111" s="3" t="s">
        <v>55</v>
      </c>
      <c r="E111" s="3" t="s">
        <v>135</v>
      </c>
      <c r="F111" s="3" t="s">
        <v>141</v>
      </c>
      <c r="G111" s="3" t="s">
        <v>184</v>
      </c>
      <c r="H111" s="3" t="s">
        <v>131</v>
      </c>
      <c r="I111" s="3">
        <v>74252</v>
      </c>
      <c r="J111" s="3" t="s">
        <v>174</v>
      </c>
      <c r="K111" s="5">
        <v>3.06</v>
      </c>
      <c r="L111" s="3" t="s">
        <v>191</v>
      </c>
      <c r="M111" s="3" t="s">
        <v>200</v>
      </c>
      <c r="N111" s="3" t="str">
        <f t="shared" si="3"/>
        <v>OK</v>
      </c>
    </row>
    <row r="112" spans="1:14" x14ac:dyDescent="0.3">
      <c r="A112" s="3" t="s">
        <v>308</v>
      </c>
      <c r="B112" s="4">
        <v>46069</v>
      </c>
      <c r="C112" s="3" t="s">
        <v>50</v>
      </c>
      <c r="D112" s="3" t="s">
        <v>33</v>
      </c>
      <c r="E112" s="3" t="s">
        <v>135</v>
      </c>
      <c r="F112" s="3" t="s">
        <v>127</v>
      </c>
      <c r="G112" s="3" t="s">
        <v>178</v>
      </c>
      <c r="H112" s="3" t="s">
        <v>137</v>
      </c>
      <c r="I112" s="3">
        <v>2452</v>
      </c>
      <c r="J112" s="3" t="s">
        <v>133</v>
      </c>
      <c r="K112" s="5">
        <v>1</v>
      </c>
      <c r="L112" s="3" t="s">
        <v>14</v>
      </c>
      <c r="M112" s="3" t="s">
        <v>214</v>
      </c>
      <c r="N112" s="3" t="str">
        <f t="shared" si="3"/>
        <v>OK</v>
      </c>
    </row>
    <row r="113" spans="1:14" x14ac:dyDescent="0.3">
      <c r="A113" s="3" t="s">
        <v>309</v>
      </c>
      <c r="B113" s="4">
        <v>46084</v>
      </c>
      <c r="C113" s="3" t="s">
        <v>58</v>
      </c>
      <c r="D113" s="3" t="s">
        <v>28</v>
      </c>
      <c r="E113" s="3" t="s">
        <v>135</v>
      </c>
      <c r="F113" s="3" t="s">
        <v>149</v>
      </c>
      <c r="G113" s="3" t="s">
        <v>148</v>
      </c>
      <c r="H113" s="3" t="s">
        <v>137</v>
      </c>
      <c r="I113" s="3">
        <v>7379</v>
      </c>
      <c r="J113" s="3" t="s">
        <v>133</v>
      </c>
      <c r="K113" s="5">
        <v>1</v>
      </c>
      <c r="L113" s="3" t="s">
        <v>14</v>
      </c>
      <c r="M113" s="3" t="s">
        <v>198</v>
      </c>
      <c r="N113" s="3" t="str">
        <f t="shared" si="3"/>
        <v>OK</v>
      </c>
    </row>
    <row r="114" spans="1:14" x14ac:dyDescent="0.3">
      <c r="A114" s="3" t="s">
        <v>310</v>
      </c>
      <c r="B114" s="4">
        <v>46085</v>
      </c>
      <c r="C114" s="3" t="s">
        <v>86</v>
      </c>
      <c r="D114" s="3" t="s">
        <v>33</v>
      </c>
      <c r="E114" s="3" t="s">
        <v>135</v>
      </c>
      <c r="F114" s="3" t="s">
        <v>127</v>
      </c>
      <c r="G114" s="3" t="s">
        <v>178</v>
      </c>
      <c r="H114" s="3" t="s">
        <v>137</v>
      </c>
      <c r="I114" s="3">
        <v>8168</v>
      </c>
      <c r="J114" s="3" t="s">
        <v>133</v>
      </c>
      <c r="K114" s="5">
        <v>1</v>
      </c>
      <c r="L114" s="3" t="s">
        <v>14</v>
      </c>
      <c r="M114" s="3" t="s">
        <v>195</v>
      </c>
      <c r="N114" s="3" t="str">
        <f t="shared" si="3"/>
        <v>OK</v>
      </c>
    </row>
    <row r="115" spans="1:14" x14ac:dyDescent="0.3">
      <c r="A115" s="3" t="s">
        <v>311</v>
      </c>
      <c r="B115" s="4">
        <v>46036</v>
      </c>
      <c r="C115" s="3" t="s">
        <v>105</v>
      </c>
      <c r="D115" s="3" t="s">
        <v>55</v>
      </c>
      <c r="E115" s="3" t="s">
        <v>135</v>
      </c>
      <c r="F115" s="3" t="s">
        <v>149</v>
      </c>
      <c r="G115" s="3" t="s">
        <v>160</v>
      </c>
      <c r="H115" s="3" t="s">
        <v>131</v>
      </c>
      <c r="I115" s="3">
        <v>21387</v>
      </c>
      <c r="J115" s="3" t="s">
        <v>162</v>
      </c>
      <c r="K115" s="5">
        <v>1</v>
      </c>
      <c r="L115" s="3" t="s">
        <v>14</v>
      </c>
      <c r="M115" s="3" t="s">
        <v>198</v>
      </c>
      <c r="N115" s="3" t="str">
        <f t="shared" si="3"/>
        <v>OK</v>
      </c>
    </row>
    <row r="116" spans="1:14" x14ac:dyDescent="0.3">
      <c r="A116" s="3" t="s">
        <v>312</v>
      </c>
      <c r="B116" s="4">
        <v>46065</v>
      </c>
      <c r="C116" s="3" t="s">
        <v>45</v>
      </c>
      <c r="D116" s="3" t="s">
        <v>40</v>
      </c>
      <c r="E116" s="3" t="s">
        <v>135</v>
      </c>
      <c r="F116" s="3" t="s">
        <v>141</v>
      </c>
      <c r="G116" s="3" t="s">
        <v>139</v>
      </c>
      <c r="H116" s="3" t="s">
        <v>131</v>
      </c>
      <c r="I116" s="3">
        <v>33115</v>
      </c>
      <c r="J116" s="3" t="s">
        <v>133</v>
      </c>
      <c r="K116" s="5">
        <v>1</v>
      </c>
      <c r="L116" s="3" t="s">
        <v>14</v>
      </c>
      <c r="M116" s="3" t="s">
        <v>198</v>
      </c>
      <c r="N116" s="3" t="str">
        <f t="shared" si="3"/>
        <v>OK</v>
      </c>
    </row>
    <row r="117" spans="1:14" x14ac:dyDescent="0.3">
      <c r="A117" s="3" t="s">
        <v>313</v>
      </c>
      <c r="B117" s="4">
        <v>46048</v>
      </c>
      <c r="C117" s="3" t="s">
        <v>84</v>
      </c>
      <c r="D117" s="3" t="s">
        <v>33</v>
      </c>
      <c r="E117" s="3" t="s">
        <v>135</v>
      </c>
      <c r="F117" s="3" t="s">
        <v>127</v>
      </c>
      <c r="G117" s="3" t="s">
        <v>145</v>
      </c>
      <c r="H117" s="3" t="s">
        <v>131</v>
      </c>
      <c r="I117" s="3">
        <v>55331</v>
      </c>
      <c r="J117" s="3" t="s">
        <v>133</v>
      </c>
      <c r="K117" s="5">
        <v>1</v>
      </c>
      <c r="L117" s="3" t="s">
        <v>14</v>
      </c>
      <c r="M117" s="3" t="s">
        <v>214</v>
      </c>
      <c r="N117" s="3" t="str">
        <f t="shared" si="3"/>
        <v>OK</v>
      </c>
    </row>
    <row r="118" spans="1:14" x14ac:dyDescent="0.3">
      <c r="A118" s="3" t="s">
        <v>314</v>
      </c>
      <c r="B118" s="4">
        <v>46096</v>
      </c>
      <c r="C118" s="3" t="s">
        <v>92</v>
      </c>
      <c r="D118" s="3" t="s">
        <v>40</v>
      </c>
      <c r="E118" s="3" t="s">
        <v>135</v>
      </c>
      <c r="F118" s="3" t="s">
        <v>141</v>
      </c>
      <c r="G118" s="3" t="s">
        <v>139</v>
      </c>
      <c r="H118" s="3" t="s">
        <v>131</v>
      </c>
      <c r="I118" s="3">
        <v>29249</v>
      </c>
      <c r="J118" s="3" t="s">
        <v>133</v>
      </c>
      <c r="K118" s="5">
        <v>1</v>
      </c>
      <c r="L118" s="3" t="s">
        <v>14</v>
      </c>
      <c r="M118" s="3" t="s">
        <v>198</v>
      </c>
      <c r="N118" s="3" t="str">
        <f t="shared" si="3"/>
        <v>OK</v>
      </c>
    </row>
    <row r="119" spans="1:14" x14ac:dyDescent="0.3">
      <c r="A119" s="3" t="s">
        <v>315</v>
      </c>
      <c r="B119" s="4">
        <v>46095</v>
      </c>
      <c r="C119" s="3" t="s">
        <v>88</v>
      </c>
      <c r="D119" s="3" t="s">
        <v>40</v>
      </c>
      <c r="E119" s="3" t="s">
        <v>135</v>
      </c>
      <c r="F119" s="3" t="s">
        <v>144</v>
      </c>
      <c r="G119" s="3" t="s">
        <v>142</v>
      </c>
      <c r="H119" s="3" t="s">
        <v>131</v>
      </c>
      <c r="I119" s="3">
        <v>19128</v>
      </c>
      <c r="J119" s="3" t="s">
        <v>133</v>
      </c>
      <c r="K119" s="5">
        <v>1.65</v>
      </c>
      <c r="L119" s="3" t="s">
        <v>191</v>
      </c>
      <c r="M119" s="3" t="s">
        <v>198</v>
      </c>
      <c r="N119" s="3" t="str">
        <f t="shared" si="3"/>
        <v>OK</v>
      </c>
    </row>
    <row r="120" spans="1:14" x14ac:dyDescent="0.3">
      <c r="A120" s="3" t="s">
        <v>316</v>
      </c>
      <c r="B120" s="4">
        <v>46130</v>
      </c>
      <c r="C120" s="3" t="s">
        <v>56</v>
      </c>
      <c r="D120" s="3" t="s">
        <v>33</v>
      </c>
      <c r="E120" s="3" t="s">
        <v>128</v>
      </c>
      <c r="F120" s="3" t="s">
        <v>127</v>
      </c>
      <c r="G120" s="3" t="s">
        <v>123</v>
      </c>
      <c r="H120" s="3" t="s">
        <v>124</v>
      </c>
      <c r="I120" s="3">
        <v>2522</v>
      </c>
      <c r="J120" s="3" t="s">
        <v>126</v>
      </c>
      <c r="K120" s="5">
        <v>1</v>
      </c>
      <c r="L120" s="3" t="s">
        <v>14</v>
      </c>
      <c r="M120" s="3" t="s">
        <v>198</v>
      </c>
      <c r="N120" s="3" t="str">
        <f t="shared" si="3"/>
        <v>OK</v>
      </c>
    </row>
    <row r="121" spans="1:14" x14ac:dyDescent="0.3">
      <c r="A121" s="3" t="s">
        <v>317</v>
      </c>
      <c r="B121" s="4">
        <v>46079</v>
      </c>
      <c r="C121" s="3" t="s">
        <v>70</v>
      </c>
      <c r="D121" s="3" t="s">
        <v>25</v>
      </c>
      <c r="E121" s="3" t="s">
        <v>135</v>
      </c>
      <c r="F121" s="3" t="s">
        <v>134</v>
      </c>
      <c r="G121" s="3" t="s">
        <v>136</v>
      </c>
      <c r="H121" s="3" t="s">
        <v>137</v>
      </c>
      <c r="I121" s="3">
        <v>7972</v>
      </c>
      <c r="J121" s="3" t="s">
        <v>133</v>
      </c>
      <c r="K121" s="5">
        <v>1</v>
      </c>
      <c r="L121" s="3" t="s">
        <v>14</v>
      </c>
      <c r="M121" s="3" t="s">
        <v>200</v>
      </c>
      <c r="N121" s="3" t="str">
        <f t="shared" si="3"/>
        <v>OK</v>
      </c>
    </row>
    <row r="122" spans="1:14" x14ac:dyDescent="0.3">
      <c r="A122" s="3" t="s">
        <v>318</v>
      </c>
      <c r="B122" s="4">
        <v>46075</v>
      </c>
      <c r="C122" s="3" t="s">
        <v>31</v>
      </c>
      <c r="D122" s="3" t="s">
        <v>33</v>
      </c>
      <c r="E122" s="3" t="s">
        <v>135</v>
      </c>
      <c r="F122" s="3" t="s">
        <v>127</v>
      </c>
      <c r="G122" s="3" t="s">
        <v>178</v>
      </c>
      <c r="H122" s="3" t="s">
        <v>137</v>
      </c>
      <c r="I122" s="3">
        <v>3957</v>
      </c>
      <c r="J122" s="3" t="s">
        <v>133</v>
      </c>
      <c r="K122" s="5">
        <v>1</v>
      </c>
      <c r="L122" s="3" t="s">
        <v>14</v>
      </c>
      <c r="M122" s="3" t="s">
        <v>198</v>
      </c>
      <c r="N122" s="3" t="str">
        <f t="shared" si="3"/>
        <v>OK</v>
      </c>
    </row>
    <row r="123" spans="1:14" x14ac:dyDescent="0.3">
      <c r="A123" s="3" t="s">
        <v>319</v>
      </c>
      <c r="B123" s="4">
        <v>46136</v>
      </c>
      <c r="C123" s="3" t="s">
        <v>19</v>
      </c>
      <c r="D123" s="3" t="s">
        <v>21</v>
      </c>
      <c r="E123" s="3" t="s">
        <v>135</v>
      </c>
      <c r="F123" s="3" t="s">
        <v>141</v>
      </c>
      <c r="G123" s="3" t="s">
        <v>167</v>
      </c>
      <c r="H123" s="3" t="s">
        <v>124</v>
      </c>
      <c r="I123" s="3">
        <v>482</v>
      </c>
      <c r="J123" s="3" t="s">
        <v>126</v>
      </c>
      <c r="K123" s="5">
        <v>1</v>
      </c>
      <c r="L123" s="3" t="s">
        <v>14</v>
      </c>
      <c r="M123" s="3" t="s">
        <v>198</v>
      </c>
      <c r="N123" s="3" t="str">
        <f t="shared" si="3"/>
        <v>OK</v>
      </c>
    </row>
    <row r="124" spans="1:14" x14ac:dyDescent="0.3">
      <c r="A124" s="3" t="s">
        <v>320</v>
      </c>
      <c r="B124" s="4">
        <v>46068</v>
      </c>
      <c r="C124" s="3" t="s">
        <v>69</v>
      </c>
      <c r="D124" s="3" t="s">
        <v>17</v>
      </c>
      <c r="E124" s="3" t="s">
        <v>135</v>
      </c>
      <c r="F124" s="3" t="s">
        <v>144</v>
      </c>
      <c r="G124" s="3" t="s">
        <v>158</v>
      </c>
      <c r="H124" s="3" t="s">
        <v>124</v>
      </c>
      <c r="I124" s="3">
        <v>6347</v>
      </c>
      <c r="J124" s="3" t="s">
        <v>126</v>
      </c>
      <c r="K124" s="5">
        <v>5.15</v>
      </c>
      <c r="L124" s="3" t="s">
        <v>191</v>
      </c>
      <c r="M124" s="3" t="s">
        <v>214</v>
      </c>
      <c r="N124" s="3" t="str">
        <f t="shared" si="3"/>
        <v>OK</v>
      </c>
    </row>
    <row r="125" spans="1:14" x14ac:dyDescent="0.3">
      <c r="A125" s="3" t="s">
        <v>321</v>
      </c>
      <c r="B125" s="4">
        <v>46054</v>
      </c>
      <c r="C125" s="3" t="s">
        <v>23</v>
      </c>
      <c r="D125" s="3" t="s">
        <v>25</v>
      </c>
      <c r="E125" s="3" t="s">
        <v>135</v>
      </c>
      <c r="F125" s="3" t="s">
        <v>141</v>
      </c>
      <c r="G125" s="3" t="s">
        <v>184</v>
      </c>
      <c r="H125" s="3" t="s">
        <v>131</v>
      </c>
      <c r="I125" s="3">
        <v>38097</v>
      </c>
      <c r="J125" s="3" t="s">
        <v>174</v>
      </c>
      <c r="K125" s="5">
        <v>3.06</v>
      </c>
      <c r="L125" s="3" t="s">
        <v>191</v>
      </c>
      <c r="M125" s="3" t="s">
        <v>200</v>
      </c>
      <c r="N125" s="3" t="str">
        <f t="shared" si="3"/>
        <v>OK</v>
      </c>
    </row>
    <row r="126" spans="1:14" x14ac:dyDescent="0.3">
      <c r="A126" s="3" t="s">
        <v>322</v>
      </c>
      <c r="B126" s="4">
        <v>46068</v>
      </c>
      <c r="C126" s="3" t="s">
        <v>82</v>
      </c>
      <c r="D126" s="3" t="s">
        <v>25</v>
      </c>
      <c r="E126" s="3" t="s">
        <v>135</v>
      </c>
      <c r="F126" s="3" t="s">
        <v>144</v>
      </c>
      <c r="G126" s="3" t="s">
        <v>142</v>
      </c>
      <c r="H126" s="3" t="s">
        <v>131</v>
      </c>
      <c r="I126" s="3">
        <v>7303</v>
      </c>
      <c r="J126" s="3" t="s">
        <v>133</v>
      </c>
      <c r="K126" s="5">
        <v>1.65</v>
      </c>
      <c r="L126" s="3" t="s">
        <v>191</v>
      </c>
      <c r="M126" s="3" t="s">
        <v>214</v>
      </c>
      <c r="N126" s="3" t="str">
        <f t="shared" si="3"/>
        <v>OK</v>
      </c>
    </row>
    <row r="127" spans="1:14" x14ac:dyDescent="0.3">
      <c r="A127" s="3" t="s">
        <v>323</v>
      </c>
      <c r="B127" s="4">
        <v>46085</v>
      </c>
      <c r="C127" s="3" t="s">
        <v>31</v>
      </c>
      <c r="D127" s="3" t="s">
        <v>33</v>
      </c>
      <c r="E127" s="3" t="s">
        <v>128</v>
      </c>
      <c r="F127" s="3" t="s">
        <v>127</v>
      </c>
      <c r="G127" s="3" t="s">
        <v>123</v>
      </c>
      <c r="H127" s="3" t="s">
        <v>124</v>
      </c>
      <c r="I127" s="3">
        <v>2151</v>
      </c>
      <c r="J127" s="3" t="s">
        <v>126</v>
      </c>
      <c r="K127" s="5">
        <v>1</v>
      </c>
      <c r="L127" s="3" t="s">
        <v>14</v>
      </c>
      <c r="M127" s="3" t="s">
        <v>195</v>
      </c>
      <c r="N127" s="3" t="str">
        <f t="shared" si="3"/>
        <v>OK</v>
      </c>
    </row>
    <row r="128" spans="1:14" x14ac:dyDescent="0.3">
      <c r="A128" s="3" t="s">
        <v>324</v>
      </c>
      <c r="B128" s="4">
        <v>46133</v>
      </c>
      <c r="C128" s="3" t="s">
        <v>67</v>
      </c>
      <c r="D128" s="3" t="s">
        <v>55</v>
      </c>
      <c r="E128" s="3" t="s">
        <v>135</v>
      </c>
      <c r="F128" s="3" t="s">
        <v>141</v>
      </c>
      <c r="G128" s="3" t="s">
        <v>170</v>
      </c>
      <c r="H128" s="3" t="s">
        <v>131</v>
      </c>
      <c r="I128" s="3">
        <v>56503</v>
      </c>
      <c r="J128" s="3" t="s">
        <v>133</v>
      </c>
      <c r="K128" s="5">
        <v>1</v>
      </c>
      <c r="L128" s="3" t="s">
        <v>14</v>
      </c>
      <c r="M128" s="3" t="s">
        <v>214</v>
      </c>
      <c r="N128" s="3" t="str">
        <f t="shared" si="3"/>
        <v>OK</v>
      </c>
    </row>
    <row r="129" spans="1:14" x14ac:dyDescent="0.3">
      <c r="A129" s="3" t="s">
        <v>325</v>
      </c>
      <c r="B129" s="4">
        <v>46054</v>
      </c>
      <c r="C129" s="3" t="s">
        <v>44</v>
      </c>
      <c r="D129" s="3" t="s">
        <v>36</v>
      </c>
      <c r="E129" s="3" t="s">
        <v>135</v>
      </c>
      <c r="F129" s="3" t="s">
        <v>141</v>
      </c>
      <c r="G129" s="3" t="s">
        <v>157</v>
      </c>
      <c r="H129" s="3" t="s">
        <v>131</v>
      </c>
      <c r="I129" s="3">
        <v>39723</v>
      </c>
      <c r="J129" s="3" t="s">
        <v>133</v>
      </c>
      <c r="K129" s="5">
        <v>1</v>
      </c>
      <c r="L129" s="3" t="s">
        <v>14</v>
      </c>
      <c r="M129" s="3" t="s">
        <v>214</v>
      </c>
      <c r="N129" s="3" t="str">
        <f t="shared" si="3"/>
        <v>OK</v>
      </c>
    </row>
    <row r="130" spans="1:14" x14ac:dyDescent="0.3">
      <c r="A130" s="3" t="s">
        <v>326</v>
      </c>
      <c r="B130" s="4">
        <v>46044</v>
      </c>
      <c r="C130" s="3" t="s">
        <v>43</v>
      </c>
      <c r="D130" s="3" t="s">
        <v>33</v>
      </c>
      <c r="E130" s="3" t="s">
        <v>135</v>
      </c>
      <c r="F130" s="3" t="s">
        <v>149</v>
      </c>
      <c r="G130" s="3" t="s">
        <v>176</v>
      </c>
      <c r="H130" s="3" t="s">
        <v>131</v>
      </c>
      <c r="I130" s="3">
        <v>80676</v>
      </c>
      <c r="J130" s="3" t="s">
        <v>174</v>
      </c>
      <c r="K130" s="5">
        <v>1</v>
      </c>
      <c r="L130" s="3" t="s">
        <v>14</v>
      </c>
      <c r="M130" s="3" t="s">
        <v>198</v>
      </c>
      <c r="N130" s="3" t="str">
        <f t="shared" ref="N130:N161" si="4">IF(COUNTA(A130:M130)&lt;13,"MISSING DATA",IF(OR(I130&lt;=0,K130&lt;=0),"VALUE ERROR","OK"))</f>
        <v>OK</v>
      </c>
    </row>
    <row r="131" spans="1:14" x14ac:dyDescent="0.3">
      <c r="A131" s="3" t="s">
        <v>327</v>
      </c>
      <c r="B131" s="4">
        <v>46052</v>
      </c>
      <c r="C131" s="3" t="s">
        <v>95</v>
      </c>
      <c r="D131" s="3" t="s">
        <v>36</v>
      </c>
      <c r="E131" s="3" t="s">
        <v>135</v>
      </c>
      <c r="F131" s="3" t="s">
        <v>141</v>
      </c>
      <c r="G131" s="3" t="s">
        <v>157</v>
      </c>
      <c r="H131" s="3" t="s">
        <v>131</v>
      </c>
      <c r="I131" s="3">
        <v>50988</v>
      </c>
      <c r="J131" s="3" t="s">
        <v>133</v>
      </c>
      <c r="K131" s="5">
        <v>1</v>
      </c>
      <c r="L131" s="3" t="s">
        <v>14</v>
      </c>
      <c r="M131" s="3" t="s">
        <v>195</v>
      </c>
      <c r="N131" s="3" t="str">
        <f t="shared" si="4"/>
        <v>OK</v>
      </c>
    </row>
    <row r="132" spans="1:14" x14ac:dyDescent="0.3">
      <c r="A132" s="3" t="s">
        <v>328</v>
      </c>
      <c r="B132" s="4">
        <v>46110</v>
      </c>
      <c r="C132" s="3" t="s">
        <v>68</v>
      </c>
      <c r="D132" s="3" t="s">
        <v>40</v>
      </c>
      <c r="E132" s="3" t="s">
        <v>135</v>
      </c>
      <c r="F132" s="3" t="s">
        <v>149</v>
      </c>
      <c r="G132" s="3" t="s">
        <v>176</v>
      </c>
      <c r="H132" s="3" t="s">
        <v>131</v>
      </c>
      <c r="I132" s="3">
        <v>12369</v>
      </c>
      <c r="J132" s="3" t="s">
        <v>174</v>
      </c>
      <c r="K132" s="5">
        <v>1</v>
      </c>
      <c r="L132" s="3" t="s">
        <v>14</v>
      </c>
      <c r="M132" s="3" t="s">
        <v>200</v>
      </c>
      <c r="N132" s="3" t="str">
        <f t="shared" si="4"/>
        <v>OK</v>
      </c>
    </row>
    <row r="133" spans="1:14" x14ac:dyDescent="0.3">
      <c r="A133" s="3" t="s">
        <v>329</v>
      </c>
      <c r="B133" s="4">
        <v>46097</v>
      </c>
      <c r="C133" s="3" t="s">
        <v>27</v>
      </c>
      <c r="D133" s="3" t="s">
        <v>28</v>
      </c>
      <c r="E133" s="3" t="s">
        <v>135</v>
      </c>
      <c r="F133" s="3" t="s">
        <v>141</v>
      </c>
      <c r="G133" s="3" t="s">
        <v>167</v>
      </c>
      <c r="H133" s="3" t="s">
        <v>124</v>
      </c>
      <c r="I133" s="3">
        <v>3278</v>
      </c>
      <c r="J133" s="3" t="s">
        <v>126</v>
      </c>
      <c r="K133" s="5">
        <v>1</v>
      </c>
      <c r="L133" s="3" t="s">
        <v>14</v>
      </c>
      <c r="M133" s="3" t="s">
        <v>214</v>
      </c>
      <c r="N133" s="3" t="str">
        <f t="shared" si="4"/>
        <v>OK</v>
      </c>
    </row>
    <row r="134" spans="1:14" x14ac:dyDescent="0.3">
      <c r="A134" s="3" t="s">
        <v>330</v>
      </c>
      <c r="B134" s="4">
        <v>46090</v>
      </c>
      <c r="C134" s="3" t="s">
        <v>57</v>
      </c>
      <c r="D134" s="3" t="s">
        <v>17</v>
      </c>
      <c r="E134" s="3" t="s">
        <v>135</v>
      </c>
      <c r="F134" s="3" t="s">
        <v>144</v>
      </c>
      <c r="G134" s="3" t="s">
        <v>158</v>
      </c>
      <c r="H134" s="3" t="s">
        <v>124</v>
      </c>
      <c r="I134" s="3">
        <v>6357</v>
      </c>
      <c r="J134" s="3" t="s">
        <v>126</v>
      </c>
      <c r="K134" s="5">
        <v>5.15</v>
      </c>
      <c r="L134" s="3" t="s">
        <v>191</v>
      </c>
      <c r="M134" s="3" t="s">
        <v>195</v>
      </c>
      <c r="N134" s="3" t="str">
        <f t="shared" si="4"/>
        <v>OK</v>
      </c>
    </row>
    <row r="135" spans="1:14" x14ac:dyDescent="0.3">
      <c r="A135" s="3" t="s">
        <v>331</v>
      </c>
      <c r="B135" s="4">
        <v>46092</v>
      </c>
      <c r="C135" s="3" t="s">
        <v>27</v>
      </c>
      <c r="D135" s="3" t="s">
        <v>28</v>
      </c>
      <c r="E135" s="3" t="s">
        <v>135</v>
      </c>
      <c r="F135" s="3" t="s">
        <v>141</v>
      </c>
      <c r="G135" s="3" t="s">
        <v>139</v>
      </c>
      <c r="H135" s="3" t="s">
        <v>131</v>
      </c>
      <c r="I135" s="3">
        <v>62468</v>
      </c>
      <c r="J135" s="3" t="s">
        <v>133</v>
      </c>
      <c r="K135" s="5">
        <v>1</v>
      </c>
      <c r="L135" s="3" t="s">
        <v>14</v>
      </c>
      <c r="M135" s="3" t="s">
        <v>200</v>
      </c>
      <c r="N135" s="3" t="str">
        <f t="shared" si="4"/>
        <v>OK</v>
      </c>
    </row>
    <row r="136" spans="1:14" x14ac:dyDescent="0.3">
      <c r="A136" s="3" t="s">
        <v>332</v>
      </c>
      <c r="B136" s="4">
        <v>46099</v>
      </c>
      <c r="C136" s="3" t="s">
        <v>88</v>
      </c>
      <c r="D136" s="3" t="s">
        <v>40</v>
      </c>
      <c r="E136" s="3" t="s">
        <v>128</v>
      </c>
      <c r="F136" s="3" t="s">
        <v>127</v>
      </c>
      <c r="G136" s="3" t="s">
        <v>152</v>
      </c>
      <c r="H136" s="3" t="s">
        <v>124</v>
      </c>
      <c r="I136" s="3">
        <v>3400</v>
      </c>
      <c r="J136" s="3" t="s">
        <v>126</v>
      </c>
      <c r="K136" s="5">
        <v>1</v>
      </c>
      <c r="L136" s="3" t="s">
        <v>14</v>
      </c>
      <c r="M136" s="3" t="s">
        <v>198</v>
      </c>
      <c r="N136" s="3" t="str">
        <f t="shared" si="4"/>
        <v>OK</v>
      </c>
    </row>
    <row r="137" spans="1:14" x14ac:dyDescent="0.3">
      <c r="A137" s="3" t="s">
        <v>333</v>
      </c>
      <c r="B137" s="4">
        <v>46050</v>
      </c>
      <c r="C137" s="3" t="s">
        <v>54</v>
      </c>
      <c r="D137" s="3" t="s">
        <v>55</v>
      </c>
      <c r="E137" s="3" t="s">
        <v>135</v>
      </c>
      <c r="F137" s="3" t="s">
        <v>149</v>
      </c>
      <c r="G137" s="3" t="s">
        <v>148</v>
      </c>
      <c r="H137" s="3" t="s">
        <v>137</v>
      </c>
      <c r="I137" s="3">
        <v>3954</v>
      </c>
      <c r="J137" s="3" t="s">
        <v>133</v>
      </c>
      <c r="K137" s="5">
        <v>1</v>
      </c>
      <c r="L137" s="3" t="s">
        <v>14</v>
      </c>
      <c r="M137" s="3" t="s">
        <v>214</v>
      </c>
      <c r="N137" s="3" t="str">
        <f t="shared" si="4"/>
        <v>OK</v>
      </c>
    </row>
    <row r="138" spans="1:14" x14ac:dyDescent="0.3">
      <c r="A138" s="3" t="s">
        <v>334</v>
      </c>
      <c r="B138" s="4">
        <v>46048</v>
      </c>
      <c r="C138" s="3" t="s">
        <v>84</v>
      </c>
      <c r="D138" s="3" t="s">
        <v>33</v>
      </c>
      <c r="E138" s="3" t="s">
        <v>135</v>
      </c>
      <c r="F138" s="3" t="s">
        <v>127</v>
      </c>
      <c r="G138" s="3" t="s">
        <v>178</v>
      </c>
      <c r="H138" s="3" t="s">
        <v>137</v>
      </c>
      <c r="I138" s="3">
        <v>10399</v>
      </c>
      <c r="J138" s="3" t="s">
        <v>133</v>
      </c>
      <c r="K138" s="5">
        <v>1</v>
      </c>
      <c r="L138" s="3" t="s">
        <v>14</v>
      </c>
      <c r="M138" s="3" t="s">
        <v>195</v>
      </c>
      <c r="N138" s="3" t="str">
        <f t="shared" si="4"/>
        <v>OK</v>
      </c>
    </row>
    <row r="139" spans="1:14" x14ac:dyDescent="0.3">
      <c r="A139" s="3" t="s">
        <v>335</v>
      </c>
      <c r="B139" s="4">
        <v>46037</v>
      </c>
      <c r="C139" s="3" t="s">
        <v>105</v>
      </c>
      <c r="D139" s="3" t="s">
        <v>55</v>
      </c>
      <c r="E139" s="3" t="s">
        <v>135</v>
      </c>
      <c r="F139" s="3" t="s">
        <v>149</v>
      </c>
      <c r="G139" s="3" t="s">
        <v>160</v>
      </c>
      <c r="H139" s="3" t="s">
        <v>131</v>
      </c>
      <c r="I139" s="3">
        <v>21387</v>
      </c>
      <c r="J139" s="3" t="s">
        <v>162</v>
      </c>
      <c r="K139" s="5">
        <v>1</v>
      </c>
      <c r="L139" s="3" t="s">
        <v>14</v>
      </c>
      <c r="M139" s="3" t="s">
        <v>195</v>
      </c>
      <c r="N139" s="3" t="str">
        <f t="shared" si="4"/>
        <v>OK</v>
      </c>
    </row>
    <row r="140" spans="1:14" x14ac:dyDescent="0.3">
      <c r="A140" s="3" t="s">
        <v>336</v>
      </c>
      <c r="B140" s="4">
        <v>46053</v>
      </c>
      <c r="C140" s="3" t="s">
        <v>91</v>
      </c>
      <c r="D140" s="3" t="s">
        <v>21</v>
      </c>
      <c r="E140" s="3" t="s">
        <v>135</v>
      </c>
      <c r="F140" s="3" t="s">
        <v>141</v>
      </c>
      <c r="G140" s="3" t="s">
        <v>179</v>
      </c>
      <c r="H140" s="3" t="s">
        <v>131</v>
      </c>
      <c r="I140" s="3">
        <v>37792</v>
      </c>
      <c r="J140" s="3" t="s">
        <v>162</v>
      </c>
      <c r="K140" s="5">
        <v>2.39</v>
      </c>
      <c r="L140" s="3" t="s">
        <v>191</v>
      </c>
      <c r="M140" s="3" t="s">
        <v>214</v>
      </c>
      <c r="N140" s="3" t="str">
        <f t="shared" si="4"/>
        <v>OK</v>
      </c>
    </row>
    <row r="141" spans="1:14" x14ac:dyDescent="0.3">
      <c r="A141" s="3" t="s">
        <v>337</v>
      </c>
      <c r="B141" s="4">
        <v>46031</v>
      </c>
      <c r="C141" s="3" t="s">
        <v>41</v>
      </c>
      <c r="D141" s="3" t="s">
        <v>17</v>
      </c>
      <c r="E141" s="3" t="s">
        <v>135</v>
      </c>
      <c r="F141" s="3" t="s">
        <v>141</v>
      </c>
      <c r="G141" s="3" t="s">
        <v>184</v>
      </c>
      <c r="H141" s="3" t="s">
        <v>131</v>
      </c>
      <c r="I141" s="3">
        <v>20099</v>
      </c>
      <c r="J141" s="3" t="s">
        <v>174</v>
      </c>
      <c r="K141" s="5">
        <v>3.06</v>
      </c>
      <c r="L141" s="3" t="s">
        <v>191</v>
      </c>
      <c r="M141" s="3" t="s">
        <v>200</v>
      </c>
      <c r="N141" s="3" t="str">
        <f t="shared" si="4"/>
        <v>OK</v>
      </c>
    </row>
    <row r="142" spans="1:14" x14ac:dyDescent="0.3">
      <c r="A142" s="3" t="s">
        <v>338</v>
      </c>
      <c r="B142" s="4">
        <v>46052</v>
      </c>
      <c r="C142" s="3" t="s">
        <v>98</v>
      </c>
      <c r="D142" s="3" t="s">
        <v>55</v>
      </c>
      <c r="E142" s="3" t="s">
        <v>135</v>
      </c>
      <c r="F142" s="3" t="s">
        <v>141</v>
      </c>
      <c r="G142" s="3" t="s">
        <v>184</v>
      </c>
      <c r="H142" s="3" t="s">
        <v>131</v>
      </c>
      <c r="I142" s="3">
        <v>11197</v>
      </c>
      <c r="J142" s="3" t="s">
        <v>174</v>
      </c>
      <c r="K142" s="5">
        <v>3.06</v>
      </c>
      <c r="L142" s="3" t="s">
        <v>191</v>
      </c>
      <c r="M142" s="3" t="s">
        <v>214</v>
      </c>
      <c r="N142" s="3" t="str">
        <f t="shared" si="4"/>
        <v>OK</v>
      </c>
    </row>
    <row r="143" spans="1:14" x14ac:dyDescent="0.3">
      <c r="A143" s="3" t="s">
        <v>339</v>
      </c>
      <c r="B143" s="4">
        <v>46131</v>
      </c>
      <c r="C143" s="3" t="s">
        <v>60</v>
      </c>
      <c r="D143" s="3" t="s">
        <v>17</v>
      </c>
      <c r="E143" s="3" t="s">
        <v>135</v>
      </c>
      <c r="F143" s="3" t="s">
        <v>141</v>
      </c>
      <c r="G143" s="3" t="s">
        <v>150</v>
      </c>
      <c r="H143" s="3" t="s">
        <v>137</v>
      </c>
      <c r="I143" s="3">
        <v>645</v>
      </c>
      <c r="J143" s="3" t="s">
        <v>133</v>
      </c>
      <c r="K143" s="5">
        <v>0.26</v>
      </c>
      <c r="L143" s="3" t="s">
        <v>191</v>
      </c>
      <c r="M143" s="3" t="s">
        <v>195</v>
      </c>
      <c r="N143" s="3" t="str">
        <f t="shared" si="4"/>
        <v>OK</v>
      </c>
    </row>
    <row r="144" spans="1:14" x14ac:dyDescent="0.3">
      <c r="A144" s="3" t="s">
        <v>340</v>
      </c>
      <c r="B144" s="4">
        <v>46047</v>
      </c>
      <c r="C144" s="3" t="s">
        <v>98</v>
      </c>
      <c r="D144" s="3" t="s">
        <v>55</v>
      </c>
      <c r="E144" s="3" t="s">
        <v>128</v>
      </c>
      <c r="F144" s="3" t="s">
        <v>127</v>
      </c>
      <c r="G144" s="3" t="s">
        <v>152</v>
      </c>
      <c r="H144" s="3" t="s">
        <v>124</v>
      </c>
      <c r="I144" s="3">
        <v>1003</v>
      </c>
      <c r="J144" s="3" t="s">
        <v>126</v>
      </c>
      <c r="K144" s="5">
        <v>1</v>
      </c>
      <c r="L144" s="3" t="s">
        <v>14</v>
      </c>
      <c r="M144" s="3" t="s">
        <v>198</v>
      </c>
      <c r="N144" s="3" t="str">
        <f t="shared" si="4"/>
        <v>OK</v>
      </c>
    </row>
    <row r="145" spans="1:14" x14ac:dyDescent="0.3">
      <c r="A145" s="3" t="s">
        <v>341</v>
      </c>
      <c r="B145" s="4">
        <v>46080</v>
      </c>
      <c r="C145" s="3" t="s">
        <v>31</v>
      </c>
      <c r="D145" s="3" t="s">
        <v>33</v>
      </c>
      <c r="E145" s="3" t="s">
        <v>135</v>
      </c>
      <c r="F145" s="3" t="s">
        <v>141</v>
      </c>
      <c r="G145" s="3" t="s">
        <v>182</v>
      </c>
      <c r="H145" s="3" t="s">
        <v>124</v>
      </c>
      <c r="I145" s="3">
        <v>1452</v>
      </c>
      <c r="J145" s="3" t="s">
        <v>162</v>
      </c>
      <c r="K145" s="5">
        <v>1</v>
      </c>
      <c r="L145" s="3" t="s">
        <v>14</v>
      </c>
      <c r="M145" s="3" t="s">
        <v>195</v>
      </c>
      <c r="N145" s="3" t="str">
        <f t="shared" si="4"/>
        <v>OK</v>
      </c>
    </row>
    <row r="146" spans="1:14" x14ac:dyDescent="0.3">
      <c r="A146" s="3" t="s">
        <v>342</v>
      </c>
      <c r="B146" s="4">
        <v>46091</v>
      </c>
      <c r="C146" s="3" t="s">
        <v>78</v>
      </c>
      <c r="D146" s="3" t="s">
        <v>33</v>
      </c>
      <c r="E146" s="3" t="s">
        <v>135</v>
      </c>
      <c r="F146" s="3" t="s">
        <v>127</v>
      </c>
      <c r="G146" s="3" t="s">
        <v>178</v>
      </c>
      <c r="H146" s="3" t="s">
        <v>137</v>
      </c>
      <c r="I146" s="3">
        <v>7381</v>
      </c>
      <c r="J146" s="3" t="s">
        <v>133</v>
      </c>
      <c r="K146" s="5">
        <v>1</v>
      </c>
      <c r="L146" s="3" t="s">
        <v>14</v>
      </c>
      <c r="M146" s="3" t="s">
        <v>195</v>
      </c>
      <c r="N146" s="3" t="str">
        <f t="shared" si="4"/>
        <v>OK</v>
      </c>
    </row>
    <row r="147" spans="1:14" x14ac:dyDescent="0.3">
      <c r="A147" s="3" t="s">
        <v>343</v>
      </c>
      <c r="B147" s="4">
        <v>46106</v>
      </c>
      <c r="C147" s="3" t="s">
        <v>94</v>
      </c>
      <c r="D147" s="3" t="s">
        <v>28</v>
      </c>
      <c r="E147" s="3" t="s">
        <v>135</v>
      </c>
      <c r="F147" s="3" t="s">
        <v>149</v>
      </c>
      <c r="G147" s="3" t="s">
        <v>148</v>
      </c>
      <c r="H147" s="3" t="s">
        <v>137</v>
      </c>
      <c r="I147" s="3">
        <v>10643</v>
      </c>
      <c r="J147" s="3" t="s">
        <v>133</v>
      </c>
      <c r="K147" s="5">
        <v>1</v>
      </c>
      <c r="L147" s="3" t="s">
        <v>14</v>
      </c>
      <c r="M147" s="3" t="s">
        <v>214</v>
      </c>
      <c r="N147" s="3" t="str">
        <f t="shared" si="4"/>
        <v>OK</v>
      </c>
    </row>
    <row r="148" spans="1:14" x14ac:dyDescent="0.3">
      <c r="A148" s="3" t="s">
        <v>344</v>
      </c>
      <c r="B148" s="4">
        <v>46095</v>
      </c>
      <c r="C148" s="3" t="s">
        <v>78</v>
      </c>
      <c r="D148" s="3" t="s">
        <v>33</v>
      </c>
      <c r="E148" s="3" t="s">
        <v>135</v>
      </c>
      <c r="F148" s="3" t="s">
        <v>141</v>
      </c>
      <c r="G148" s="3" t="s">
        <v>182</v>
      </c>
      <c r="H148" s="3" t="s">
        <v>124</v>
      </c>
      <c r="I148" s="3">
        <v>2709</v>
      </c>
      <c r="J148" s="3" t="s">
        <v>162</v>
      </c>
      <c r="K148" s="5">
        <v>1</v>
      </c>
      <c r="L148" s="3" t="s">
        <v>14</v>
      </c>
      <c r="M148" s="3" t="s">
        <v>200</v>
      </c>
      <c r="N148" s="3" t="str">
        <f t="shared" si="4"/>
        <v>OK</v>
      </c>
    </row>
    <row r="149" spans="1:14" x14ac:dyDescent="0.3">
      <c r="A149" s="3" t="s">
        <v>345</v>
      </c>
      <c r="B149" s="4">
        <v>46042</v>
      </c>
      <c r="C149" s="3" t="s">
        <v>87</v>
      </c>
      <c r="D149" s="3" t="s">
        <v>12</v>
      </c>
      <c r="E149" s="3" t="s">
        <v>135</v>
      </c>
      <c r="F149" s="3" t="s">
        <v>141</v>
      </c>
      <c r="G149" s="3" t="s">
        <v>157</v>
      </c>
      <c r="H149" s="3" t="s">
        <v>131</v>
      </c>
      <c r="I149" s="3">
        <v>37701</v>
      </c>
      <c r="J149" s="3" t="s">
        <v>133</v>
      </c>
      <c r="K149" s="5">
        <v>1</v>
      </c>
      <c r="L149" s="3" t="s">
        <v>14</v>
      </c>
      <c r="M149" s="3" t="s">
        <v>214</v>
      </c>
      <c r="N149" s="3" t="str">
        <f t="shared" si="4"/>
        <v>OK</v>
      </c>
    </row>
    <row r="150" spans="1:14" x14ac:dyDescent="0.3">
      <c r="A150" s="3" t="s">
        <v>346</v>
      </c>
      <c r="B150" s="4">
        <v>46061</v>
      </c>
      <c r="C150" s="3" t="s">
        <v>50</v>
      </c>
      <c r="D150" s="3" t="s">
        <v>33</v>
      </c>
      <c r="E150" s="3" t="s">
        <v>135</v>
      </c>
      <c r="F150" s="3" t="s">
        <v>127</v>
      </c>
      <c r="G150" s="3" t="s">
        <v>178</v>
      </c>
      <c r="H150" s="3" t="s">
        <v>137</v>
      </c>
      <c r="I150" s="3">
        <v>2452</v>
      </c>
      <c r="J150" s="3" t="s">
        <v>133</v>
      </c>
      <c r="K150" s="5">
        <v>1</v>
      </c>
      <c r="L150" s="3" t="s">
        <v>14</v>
      </c>
      <c r="M150" s="3" t="s">
        <v>198</v>
      </c>
      <c r="N150" s="3" t="str">
        <f t="shared" si="4"/>
        <v>OK</v>
      </c>
    </row>
    <row r="151" spans="1:14" x14ac:dyDescent="0.3">
      <c r="A151" s="3" t="s">
        <v>347</v>
      </c>
      <c r="B151" s="4">
        <v>46043</v>
      </c>
      <c r="C151" s="3" t="s">
        <v>72</v>
      </c>
      <c r="D151" s="3" t="s">
        <v>40</v>
      </c>
      <c r="E151" s="3" t="s">
        <v>135</v>
      </c>
      <c r="F151" s="3" t="s">
        <v>141</v>
      </c>
      <c r="G151" s="3" t="s">
        <v>139</v>
      </c>
      <c r="H151" s="3" t="s">
        <v>131</v>
      </c>
      <c r="I151" s="3">
        <v>37685</v>
      </c>
      <c r="J151" s="3" t="s">
        <v>133</v>
      </c>
      <c r="K151" s="5">
        <v>1</v>
      </c>
      <c r="L151" s="3" t="s">
        <v>14</v>
      </c>
      <c r="M151" s="3" t="s">
        <v>200</v>
      </c>
      <c r="N151" s="3" t="str">
        <f t="shared" si="4"/>
        <v>OK</v>
      </c>
    </row>
    <row r="152" spans="1:14" x14ac:dyDescent="0.3">
      <c r="A152" s="3" t="s">
        <v>348</v>
      </c>
      <c r="B152" s="4">
        <v>46128</v>
      </c>
      <c r="C152" s="3" t="s">
        <v>97</v>
      </c>
      <c r="D152" s="3" t="s">
        <v>28</v>
      </c>
      <c r="E152" s="3" t="s">
        <v>135</v>
      </c>
      <c r="F152" s="3" t="s">
        <v>141</v>
      </c>
      <c r="G152" s="3" t="s">
        <v>167</v>
      </c>
      <c r="H152" s="3" t="s">
        <v>124</v>
      </c>
      <c r="I152" s="3">
        <v>1607</v>
      </c>
      <c r="J152" s="3" t="s">
        <v>126</v>
      </c>
      <c r="K152" s="5">
        <v>1</v>
      </c>
      <c r="L152" s="3" t="s">
        <v>14</v>
      </c>
      <c r="M152" s="3" t="s">
        <v>214</v>
      </c>
      <c r="N152" s="3" t="str">
        <f t="shared" si="4"/>
        <v>OK</v>
      </c>
    </row>
    <row r="153" spans="1:14" x14ac:dyDescent="0.3">
      <c r="A153" s="3" t="s">
        <v>349</v>
      </c>
      <c r="B153" s="4">
        <v>46083</v>
      </c>
      <c r="C153" s="3" t="s">
        <v>93</v>
      </c>
      <c r="D153" s="3" t="s">
        <v>66</v>
      </c>
      <c r="E153" s="3" t="s">
        <v>135</v>
      </c>
      <c r="F153" s="3" t="s">
        <v>144</v>
      </c>
      <c r="G153" s="3" t="s">
        <v>142</v>
      </c>
      <c r="H153" s="3" t="s">
        <v>131</v>
      </c>
      <c r="I153" s="3">
        <v>54028</v>
      </c>
      <c r="J153" s="3" t="s">
        <v>133</v>
      </c>
      <c r="K153" s="5">
        <v>1.65</v>
      </c>
      <c r="L153" s="3" t="s">
        <v>191</v>
      </c>
      <c r="M153" s="3" t="s">
        <v>198</v>
      </c>
      <c r="N153" s="3" t="str">
        <f t="shared" si="4"/>
        <v>OK</v>
      </c>
    </row>
    <row r="154" spans="1:14" x14ac:dyDescent="0.3">
      <c r="A154" s="3" t="s">
        <v>350</v>
      </c>
      <c r="B154" s="4">
        <v>46135</v>
      </c>
      <c r="C154" s="3" t="s">
        <v>81</v>
      </c>
      <c r="D154" s="3" t="s">
        <v>25</v>
      </c>
      <c r="E154" s="3" t="s">
        <v>135</v>
      </c>
      <c r="F154" s="3" t="s">
        <v>134</v>
      </c>
      <c r="G154" s="3" t="s">
        <v>136</v>
      </c>
      <c r="H154" s="3" t="s">
        <v>137</v>
      </c>
      <c r="I154" s="3">
        <v>10500</v>
      </c>
      <c r="J154" s="3" t="s">
        <v>133</v>
      </c>
      <c r="K154" s="5">
        <v>1</v>
      </c>
      <c r="L154" s="3" t="s">
        <v>14</v>
      </c>
      <c r="M154" s="3" t="s">
        <v>214</v>
      </c>
      <c r="N154" s="3" t="str">
        <f t="shared" si="4"/>
        <v>OK</v>
      </c>
    </row>
    <row r="155" spans="1:14" x14ac:dyDescent="0.3">
      <c r="A155" s="3" t="s">
        <v>351</v>
      </c>
      <c r="B155" s="4">
        <v>46040</v>
      </c>
      <c r="C155" s="3" t="s">
        <v>111</v>
      </c>
      <c r="D155" s="3" t="s">
        <v>21</v>
      </c>
      <c r="E155" s="3" t="s">
        <v>135</v>
      </c>
      <c r="F155" s="3" t="s">
        <v>141</v>
      </c>
      <c r="G155" s="3" t="s">
        <v>139</v>
      </c>
      <c r="H155" s="3" t="s">
        <v>131</v>
      </c>
      <c r="I155" s="3">
        <v>102603</v>
      </c>
      <c r="J155" s="3" t="s">
        <v>133</v>
      </c>
      <c r="K155" s="5">
        <v>1</v>
      </c>
      <c r="L155" s="3" t="s">
        <v>14</v>
      </c>
      <c r="M155" s="3" t="s">
        <v>214</v>
      </c>
      <c r="N155" s="3" t="str">
        <f t="shared" si="4"/>
        <v>OK</v>
      </c>
    </row>
    <row r="156" spans="1:14" x14ac:dyDescent="0.3">
      <c r="A156" s="3" t="s">
        <v>352</v>
      </c>
      <c r="B156" s="4">
        <v>46097</v>
      </c>
      <c r="C156" s="3" t="s">
        <v>83</v>
      </c>
      <c r="D156" s="3" t="s">
        <v>21</v>
      </c>
      <c r="E156" s="3" t="s">
        <v>135</v>
      </c>
      <c r="F156" s="3" t="s">
        <v>141</v>
      </c>
      <c r="G156" s="3" t="s">
        <v>182</v>
      </c>
      <c r="H156" s="3" t="s">
        <v>124</v>
      </c>
      <c r="I156" s="3">
        <v>1447</v>
      </c>
      <c r="J156" s="3" t="s">
        <v>162</v>
      </c>
      <c r="K156" s="5">
        <v>1</v>
      </c>
      <c r="L156" s="3" t="s">
        <v>14</v>
      </c>
      <c r="M156" s="3" t="s">
        <v>198</v>
      </c>
      <c r="N156" s="3" t="str">
        <f t="shared" si="4"/>
        <v>OK</v>
      </c>
    </row>
    <row r="157" spans="1:14" x14ac:dyDescent="0.3">
      <c r="A157" s="3" t="s">
        <v>353</v>
      </c>
      <c r="B157" s="4">
        <v>46054</v>
      </c>
      <c r="C157" s="3" t="s">
        <v>84</v>
      </c>
      <c r="D157" s="3" t="s">
        <v>33</v>
      </c>
      <c r="E157" s="3" t="s">
        <v>135</v>
      </c>
      <c r="F157" s="3" t="s">
        <v>141</v>
      </c>
      <c r="G157" s="3" t="s">
        <v>182</v>
      </c>
      <c r="H157" s="3" t="s">
        <v>124</v>
      </c>
      <c r="I157" s="3">
        <v>3817</v>
      </c>
      <c r="J157" s="3" t="s">
        <v>162</v>
      </c>
      <c r="K157" s="5">
        <v>1</v>
      </c>
      <c r="L157" s="3" t="s">
        <v>14</v>
      </c>
      <c r="M157" s="3" t="s">
        <v>214</v>
      </c>
      <c r="N157" s="3" t="str">
        <f t="shared" si="4"/>
        <v>OK</v>
      </c>
    </row>
    <row r="158" spans="1:14" x14ac:dyDescent="0.3">
      <c r="A158" s="3" t="s">
        <v>354</v>
      </c>
      <c r="B158" s="4">
        <v>46104</v>
      </c>
      <c r="C158" s="3" t="s">
        <v>61</v>
      </c>
      <c r="D158" s="3" t="s">
        <v>40</v>
      </c>
      <c r="E158" s="3" t="s">
        <v>135</v>
      </c>
      <c r="F158" s="3" t="s">
        <v>149</v>
      </c>
      <c r="G158" s="3" t="s">
        <v>176</v>
      </c>
      <c r="H158" s="3" t="s">
        <v>131</v>
      </c>
      <c r="I158" s="3">
        <v>13998</v>
      </c>
      <c r="J158" s="3" t="s">
        <v>174</v>
      </c>
      <c r="K158" s="5">
        <v>1</v>
      </c>
      <c r="L158" s="3" t="s">
        <v>14</v>
      </c>
      <c r="M158" s="3" t="s">
        <v>200</v>
      </c>
      <c r="N158" s="3" t="str">
        <f t="shared" si="4"/>
        <v>OK</v>
      </c>
    </row>
    <row r="159" spans="1:14" x14ac:dyDescent="0.3">
      <c r="A159" s="3" t="s">
        <v>355</v>
      </c>
      <c r="B159" s="4">
        <v>46058</v>
      </c>
      <c r="C159" s="3" t="s">
        <v>48</v>
      </c>
      <c r="D159" s="3" t="s">
        <v>36</v>
      </c>
      <c r="E159" s="3" t="s">
        <v>135</v>
      </c>
      <c r="F159" s="3" t="s">
        <v>141</v>
      </c>
      <c r="G159" s="3" t="s">
        <v>182</v>
      </c>
      <c r="H159" s="3" t="s">
        <v>124</v>
      </c>
      <c r="I159" s="3">
        <v>3885</v>
      </c>
      <c r="J159" s="3" t="s">
        <v>162</v>
      </c>
      <c r="K159" s="5">
        <v>1</v>
      </c>
      <c r="L159" s="3" t="s">
        <v>14</v>
      </c>
      <c r="M159" s="3" t="s">
        <v>195</v>
      </c>
      <c r="N159" s="3" t="str">
        <f t="shared" si="4"/>
        <v>OK</v>
      </c>
    </row>
    <row r="160" spans="1:14" x14ac:dyDescent="0.3">
      <c r="A160" s="3" t="s">
        <v>356</v>
      </c>
      <c r="B160" s="4">
        <v>46086</v>
      </c>
      <c r="C160" s="3" t="s">
        <v>16</v>
      </c>
      <c r="D160" s="3" t="s">
        <v>17</v>
      </c>
      <c r="E160" s="3" t="s">
        <v>135</v>
      </c>
      <c r="F160" s="3" t="s">
        <v>141</v>
      </c>
      <c r="G160" s="3" t="s">
        <v>150</v>
      </c>
      <c r="H160" s="3" t="s">
        <v>137</v>
      </c>
      <c r="I160" s="3">
        <v>4005</v>
      </c>
      <c r="J160" s="3" t="s">
        <v>133</v>
      </c>
      <c r="K160" s="5">
        <v>0.26</v>
      </c>
      <c r="L160" s="3" t="s">
        <v>191</v>
      </c>
      <c r="M160" s="3" t="s">
        <v>198</v>
      </c>
      <c r="N160" s="3" t="str">
        <f t="shared" si="4"/>
        <v>OK</v>
      </c>
    </row>
    <row r="161" spans="1:14" x14ac:dyDescent="0.3">
      <c r="A161" s="3" t="s">
        <v>357</v>
      </c>
      <c r="B161" s="4">
        <v>46068</v>
      </c>
      <c r="C161" s="3" t="s">
        <v>82</v>
      </c>
      <c r="D161" s="3" t="s">
        <v>25</v>
      </c>
      <c r="E161" s="3" t="s">
        <v>135</v>
      </c>
      <c r="F161" s="3" t="s">
        <v>134</v>
      </c>
      <c r="G161" s="3" t="s">
        <v>130</v>
      </c>
      <c r="H161" s="3" t="s">
        <v>131</v>
      </c>
      <c r="I161" s="3">
        <v>12187</v>
      </c>
      <c r="J161" s="3" t="s">
        <v>133</v>
      </c>
      <c r="K161" s="5">
        <v>1</v>
      </c>
      <c r="L161" s="3" t="s">
        <v>14</v>
      </c>
      <c r="M161" s="3" t="s">
        <v>198</v>
      </c>
      <c r="N161" s="3" t="str">
        <f t="shared" si="4"/>
        <v>OK</v>
      </c>
    </row>
    <row r="162" spans="1:14" x14ac:dyDescent="0.3">
      <c r="A162" s="3" t="s">
        <v>358</v>
      </c>
      <c r="B162" s="4">
        <v>46043</v>
      </c>
      <c r="C162" s="3" t="s">
        <v>73</v>
      </c>
      <c r="D162" s="3" t="s">
        <v>21</v>
      </c>
      <c r="E162" s="3" t="s">
        <v>135</v>
      </c>
      <c r="F162" s="3" t="s">
        <v>127</v>
      </c>
      <c r="G162" s="3" t="s">
        <v>163</v>
      </c>
      <c r="H162" s="3" t="s">
        <v>137</v>
      </c>
      <c r="I162" s="3">
        <v>4432</v>
      </c>
      <c r="J162" s="3" t="s">
        <v>133</v>
      </c>
      <c r="K162" s="5">
        <v>3.19</v>
      </c>
      <c r="L162" s="3" t="s">
        <v>191</v>
      </c>
      <c r="M162" s="3" t="s">
        <v>195</v>
      </c>
      <c r="N162" s="3" t="str">
        <f t="shared" ref="N162:N193" si="5">IF(COUNTA(A162:M162)&lt;13,"MISSING DATA",IF(OR(I162&lt;=0,K162&lt;=0),"VALUE ERROR","OK"))</f>
        <v>OK</v>
      </c>
    </row>
    <row r="163" spans="1:14" x14ac:dyDescent="0.3">
      <c r="A163" s="3" t="s">
        <v>359</v>
      </c>
      <c r="B163" s="4">
        <v>46095</v>
      </c>
      <c r="C163" s="3" t="s">
        <v>88</v>
      </c>
      <c r="D163" s="3" t="s">
        <v>40</v>
      </c>
      <c r="E163" s="3" t="s">
        <v>135</v>
      </c>
      <c r="F163" s="3" t="s">
        <v>141</v>
      </c>
      <c r="G163" s="3" t="s">
        <v>139</v>
      </c>
      <c r="H163" s="3" t="s">
        <v>131</v>
      </c>
      <c r="I163" s="3">
        <v>20474</v>
      </c>
      <c r="J163" s="3" t="s">
        <v>133</v>
      </c>
      <c r="K163" s="5">
        <v>1</v>
      </c>
      <c r="L163" s="3" t="s">
        <v>14</v>
      </c>
      <c r="M163" s="3" t="s">
        <v>200</v>
      </c>
      <c r="N163" s="3" t="str">
        <f t="shared" si="5"/>
        <v>OK</v>
      </c>
    </row>
    <row r="164" spans="1:14" x14ac:dyDescent="0.3">
      <c r="A164" s="3" t="s">
        <v>360</v>
      </c>
      <c r="B164" s="4">
        <v>46044</v>
      </c>
      <c r="C164" s="3" t="s">
        <v>105</v>
      </c>
      <c r="D164" s="3" t="s">
        <v>55</v>
      </c>
      <c r="E164" s="3" t="s">
        <v>135</v>
      </c>
      <c r="F164" s="3" t="s">
        <v>141</v>
      </c>
      <c r="G164" s="3" t="s">
        <v>167</v>
      </c>
      <c r="H164" s="3" t="s">
        <v>124</v>
      </c>
      <c r="I164" s="3">
        <v>2545</v>
      </c>
      <c r="J164" s="3" t="s">
        <v>126</v>
      </c>
      <c r="K164" s="5">
        <v>1</v>
      </c>
      <c r="L164" s="3" t="s">
        <v>14</v>
      </c>
      <c r="M164" s="3" t="s">
        <v>198</v>
      </c>
      <c r="N164" s="3" t="str">
        <f t="shared" si="5"/>
        <v>OK</v>
      </c>
    </row>
    <row r="165" spans="1:14" x14ac:dyDescent="0.3">
      <c r="A165" s="3" t="s">
        <v>361</v>
      </c>
      <c r="B165" s="4">
        <v>46105</v>
      </c>
      <c r="C165" s="3" t="s">
        <v>75</v>
      </c>
      <c r="D165" s="3" t="s">
        <v>55</v>
      </c>
      <c r="E165" s="3" t="s">
        <v>135</v>
      </c>
      <c r="F165" s="3" t="s">
        <v>149</v>
      </c>
      <c r="G165" s="3" t="s">
        <v>148</v>
      </c>
      <c r="H165" s="3" t="s">
        <v>137</v>
      </c>
      <c r="I165" s="3">
        <v>1184</v>
      </c>
      <c r="J165" s="3" t="s">
        <v>133</v>
      </c>
      <c r="K165" s="5">
        <v>1</v>
      </c>
      <c r="L165" s="3" t="s">
        <v>14</v>
      </c>
      <c r="M165" s="3" t="s">
        <v>200</v>
      </c>
      <c r="N165" s="3" t="str">
        <f t="shared" si="5"/>
        <v>OK</v>
      </c>
    </row>
    <row r="166" spans="1:14" x14ac:dyDescent="0.3">
      <c r="A166" s="3" t="s">
        <v>362</v>
      </c>
      <c r="B166" s="4">
        <v>46064</v>
      </c>
      <c r="C166" s="3" t="s">
        <v>91</v>
      </c>
      <c r="D166" s="3" t="s">
        <v>21</v>
      </c>
      <c r="E166" s="3" t="s">
        <v>135</v>
      </c>
      <c r="F166" s="3" t="s">
        <v>134</v>
      </c>
      <c r="G166" s="3" t="s">
        <v>130</v>
      </c>
      <c r="H166" s="3" t="s">
        <v>131</v>
      </c>
      <c r="I166" s="3">
        <v>136453</v>
      </c>
      <c r="J166" s="3" t="s">
        <v>133</v>
      </c>
      <c r="K166" s="5">
        <v>1</v>
      </c>
      <c r="L166" s="3" t="s">
        <v>14</v>
      </c>
      <c r="M166" s="3" t="s">
        <v>200</v>
      </c>
      <c r="N166" s="3" t="str">
        <f t="shared" si="5"/>
        <v>OK</v>
      </c>
    </row>
    <row r="167" spans="1:14" x14ac:dyDescent="0.3">
      <c r="A167" s="3" t="s">
        <v>363</v>
      </c>
      <c r="B167" s="4">
        <v>46087</v>
      </c>
      <c r="C167" s="3" t="s">
        <v>62</v>
      </c>
      <c r="D167" s="3" t="s">
        <v>25</v>
      </c>
      <c r="E167" s="3" t="s">
        <v>128</v>
      </c>
      <c r="F167" s="3" t="s">
        <v>127</v>
      </c>
      <c r="G167" s="3" t="s">
        <v>152</v>
      </c>
      <c r="H167" s="3" t="s">
        <v>124</v>
      </c>
      <c r="I167" s="3">
        <v>5781</v>
      </c>
      <c r="J167" s="3" t="s">
        <v>126</v>
      </c>
      <c r="K167" s="5">
        <v>1</v>
      </c>
      <c r="L167" s="3" t="s">
        <v>14</v>
      </c>
      <c r="M167" s="3" t="s">
        <v>214</v>
      </c>
      <c r="N167" s="3" t="str">
        <f t="shared" si="5"/>
        <v>OK</v>
      </c>
    </row>
    <row r="168" spans="1:14" x14ac:dyDescent="0.3">
      <c r="A168" s="3" t="s">
        <v>364</v>
      </c>
      <c r="B168" s="4">
        <v>46090</v>
      </c>
      <c r="C168" s="3" t="s">
        <v>96</v>
      </c>
      <c r="D168" s="3" t="s">
        <v>36</v>
      </c>
      <c r="E168" s="3" t="s">
        <v>135</v>
      </c>
      <c r="F168" s="3" t="s">
        <v>141</v>
      </c>
      <c r="G168" s="3" t="s">
        <v>170</v>
      </c>
      <c r="H168" s="3" t="s">
        <v>131</v>
      </c>
      <c r="I168" s="3">
        <v>36333</v>
      </c>
      <c r="J168" s="3" t="s">
        <v>133</v>
      </c>
      <c r="K168" s="5">
        <v>1</v>
      </c>
      <c r="L168" s="3" t="s">
        <v>14</v>
      </c>
      <c r="M168" s="3" t="s">
        <v>200</v>
      </c>
      <c r="N168" s="3" t="str">
        <f t="shared" si="5"/>
        <v>OK</v>
      </c>
    </row>
    <row r="169" spans="1:14" x14ac:dyDescent="0.3">
      <c r="A169" s="3" t="s">
        <v>365</v>
      </c>
      <c r="B169" s="4">
        <v>46053</v>
      </c>
      <c r="C169" s="3" t="s">
        <v>100</v>
      </c>
      <c r="D169" s="3" t="s">
        <v>36</v>
      </c>
      <c r="E169" s="3" t="s">
        <v>135</v>
      </c>
      <c r="F169" s="3" t="s">
        <v>141</v>
      </c>
      <c r="G169" s="3" t="s">
        <v>157</v>
      </c>
      <c r="H169" s="3" t="s">
        <v>131</v>
      </c>
      <c r="I169" s="3">
        <v>101114</v>
      </c>
      <c r="J169" s="3" t="s">
        <v>133</v>
      </c>
      <c r="K169" s="5">
        <v>1</v>
      </c>
      <c r="L169" s="3" t="s">
        <v>14</v>
      </c>
      <c r="M169" s="3" t="s">
        <v>214</v>
      </c>
      <c r="N169" s="3" t="str">
        <f t="shared" si="5"/>
        <v>OK</v>
      </c>
    </row>
    <row r="170" spans="1:14" x14ac:dyDescent="0.3">
      <c r="A170" s="3" t="s">
        <v>366</v>
      </c>
      <c r="B170" s="4">
        <v>46129</v>
      </c>
      <c r="C170" s="3" t="s">
        <v>51</v>
      </c>
      <c r="D170" s="3" t="s">
        <v>33</v>
      </c>
      <c r="E170" s="3" t="s">
        <v>135</v>
      </c>
      <c r="F170" s="3" t="s">
        <v>141</v>
      </c>
      <c r="G170" s="3" t="s">
        <v>182</v>
      </c>
      <c r="H170" s="3" t="s">
        <v>124</v>
      </c>
      <c r="I170" s="3">
        <v>3141</v>
      </c>
      <c r="J170" s="3" t="s">
        <v>162</v>
      </c>
      <c r="K170" s="5">
        <v>1</v>
      </c>
      <c r="L170" s="3" t="s">
        <v>14</v>
      </c>
      <c r="M170" s="3" t="s">
        <v>195</v>
      </c>
      <c r="N170" s="3" t="str">
        <f t="shared" si="5"/>
        <v>OK</v>
      </c>
    </row>
    <row r="171" spans="1:14" x14ac:dyDescent="0.3">
      <c r="A171" s="3" t="s">
        <v>367</v>
      </c>
      <c r="B171" s="4">
        <v>46143</v>
      </c>
      <c r="C171" s="3" t="s">
        <v>77</v>
      </c>
      <c r="D171" s="3" t="s">
        <v>12</v>
      </c>
      <c r="E171" s="3" t="s">
        <v>128</v>
      </c>
      <c r="F171" s="3" t="s">
        <v>127</v>
      </c>
      <c r="G171" s="3" t="s">
        <v>123</v>
      </c>
      <c r="H171" s="3" t="s">
        <v>124</v>
      </c>
      <c r="I171" s="3">
        <v>3616</v>
      </c>
      <c r="J171" s="3" t="s">
        <v>126</v>
      </c>
      <c r="K171" s="5">
        <v>1</v>
      </c>
      <c r="L171" s="3" t="s">
        <v>14</v>
      </c>
      <c r="M171" s="3" t="s">
        <v>200</v>
      </c>
      <c r="N171" s="3" t="str">
        <f t="shared" si="5"/>
        <v>OK</v>
      </c>
    </row>
    <row r="172" spans="1:14" x14ac:dyDescent="0.3">
      <c r="A172" s="3" t="s">
        <v>368</v>
      </c>
      <c r="B172" s="4">
        <v>46094</v>
      </c>
      <c r="C172" s="3" t="s">
        <v>96</v>
      </c>
      <c r="D172" s="3" t="s">
        <v>36</v>
      </c>
      <c r="E172" s="3" t="s">
        <v>135</v>
      </c>
      <c r="F172" s="3" t="s">
        <v>141</v>
      </c>
      <c r="G172" s="3" t="s">
        <v>182</v>
      </c>
      <c r="H172" s="3" t="s">
        <v>124</v>
      </c>
      <c r="I172" s="3">
        <v>12296</v>
      </c>
      <c r="J172" s="3" t="s">
        <v>162</v>
      </c>
      <c r="K172" s="5">
        <v>1</v>
      </c>
      <c r="L172" s="3" t="s">
        <v>14</v>
      </c>
      <c r="M172" s="3" t="s">
        <v>214</v>
      </c>
      <c r="N172" s="3" t="str">
        <f t="shared" si="5"/>
        <v>OK</v>
      </c>
    </row>
    <row r="173" spans="1:14" x14ac:dyDescent="0.3">
      <c r="A173" s="3" t="s">
        <v>369</v>
      </c>
      <c r="B173" s="4">
        <v>46107</v>
      </c>
      <c r="C173" s="3" t="s">
        <v>71</v>
      </c>
      <c r="D173" s="3" t="s">
        <v>12</v>
      </c>
      <c r="E173" s="3" t="s">
        <v>135</v>
      </c>
      <c r="F173" s="3" t="s">
        <v>149</v>
      </c>
      <c r="G173" s="3" t="s">
        <v>164</v>
      </c>
      <c r="H173" s="3" t="s">
        <v>137</v>
      </c>
      <c r="I173" s="3">
        <v>12255</v>
      </c>
      <c r="J173" s="3" t="s">
        <v>133</v>
      </c>
      <c r="K173" s="5">
        <v>1</v>
      </c>
      <c r="L173" s="3" t="s">
        <v>14</v>
      </c>
      <c r="M173" s="3" t="s">
        <v>198</v>
      </c>
      <c r="N173" s="3" t="str">
        <f t="shared" si="5"/>
        <v>OK</v>
      </c>
    </row>
    <row r="174" spans="1:14" x14ac:dyDescent="0.3">
      <c r="A174" s="3" t="s">
        <v>370</v>
      </c>
      <c r="B174" s="4">
        <v>46083</v>
      </c>
      <c r="C174" s="3" t="s">
        <v>58</v>
      </c>
      <c r="D174" s="3" t="s">
        <v>28</v>
      </c>
      <c r="E174" s="3" t="s">
        <v>135</v>
      </c>
      <c r="F174" s="3" t="s">
        <v>134</v>
      </c>
      <c r="G174" s="3" t="s">
        <v>181</v>
      </c>
      <c r="H174" s="3" t="s">
        <v>124</v>
      </c>
      <c r="I174" s="3">
        <v>3824</v>
      </c>
      <c r="J174" s="3" t="s">
        <v>126</v>
      </c>
      <c r="K174" s="5">
        <v>4.13</v>
      </c>
      <c r="L174" s="3" t="s">
        <v>191</v>
      </c>
      <c r="M174" s="3" t="s">
        <v>198</v>
      </c>
      <c r="N174" s="3" t="str">
        <f t="shared" si="5"/>
        <v>OK</v>
      </c>
    </row>
    <row r="175" spans="1:14" x14ac:dyDescent="0.3">
      <c r="A175" s="3" t="s">
        <v>371</v>
      </c>
      <c r="B175" s="4">
        <v>46101</v>
      </c>
      <c r="C175" s="3" t="s">
        <v>83</v>
      </c>
      <c r="D175" s="3" t="s">
        <v>21</v>
      </c>
      <c r="E175" s="3" t="s">
        <v>135</v>
      </c>
      <c r="F175" s="3" t="s">
        <v>141</v>
      </c>
      <c r="G175" s="3" t="s">
        <v>179</v>
      </c>
      <c r="H175" s="3" t="s">
        <v>131</v>
      </c>
      <c r="I175" s="3">
        <v>20786</v>
      </c>
      <c r="J175" s="3" t="s">
        <v>162</v>
      </c>
      <c r="K175" s="5">
        <v>2.39</v>
      </c>
      <c r="L175" s="3" t="s">
        <v>191</v>
      </c>
      <c r="M175" s="3" t="s">
        <v>200</v>
      </c>
      <c r="N175" s="3" t="str">
        <f t="shared" si="5"/>
        <v>OK</v>
      </c>
    </row>
    <row r="176" spans="1:14" x14ac:dyDescent="0.3">
      <c r="A176" s="3" t="s">
        <v>372</v>
      </c>
      <c r="B176" s="4">
        <v>46128</v>
      </c>
      <c r="C176" s="3" t="s">
        <v>51</v>
      </c>
      <c r="D176" s="3" t="s">
        <v>33</v>
      </c>
      <c r="E176" s="3" t="s">
        <v>135</v>
      </c>
      <c r="F176" s="3" t="s">
        <v>141</v>
      </c>
      <c r="G176" s="3" t="s">
        <v>182</v>
      </c>
      <c r="H176" s="3" t="s">
        <v>124</v>
      </c>
      <c r="I176" s="3">
        <v>3141</v>
      </c>
      <c r="J176" s="3" t="s">
        <v>162</v>
      </c>
      <c r="K176" s="5">
        <v>1</v>
      </c>
      <c r="L176" s="3" t="s">
        <v>14</v>
      </c>
      <c r="M176" s="3" t="s">
        <v>200</v>
      </c>
      <c r="N176" s="3" t="str">
        <f t="shared" si="5"/>
        <v>OK</v>
      </c>
    </row>
    <row r="177" spans="1:14" x14ac:dyDescent="0.3">
      <c r="A177" s="3" t="s">
        <v>373</v>
      </c>
      <c r="B177" s="4">
        <v>46067</v>
      </c>
      <c r="C177" s="3" t="s">
        <v>45</v>
      </c>
      <c r="D177" s="3" t="s">
        <v>40</v>
      </c>
      <c r="E177" s="3" t="s">
        <v>135</v>
      </c>
      <c r="F177" s="3" t="s">
        <v>144</v>
      </c>
      <c r="G177" s="3" t="s">
        <v>158</v>
      </c>
      <c r="H177" s="3" t="s">
        <v>124</v>
      </c>
      <c r="I177" s="3">
        <v>4582</v>
      </c>
      <c r="J177" s="3" t="s">
        <v>126</v>
      </c>
      <c r="K177" s="5">
        <v>5.15</v>
      </c>
      <c r="L177" s="3" t="s">
        <v>191</v>
      </c>
      <c r="M177" s="3" t="s">
        <v>214</v>
      </c>
      <c r="N177" s="3" t="str">
        <f t="shared" si="5"/>
        <v>OK</v>
      </c>
    </row>
    <row r="178" spans="1:14" x14ac:dyDescent="0.3">
      <c r="A178" s="3" t="s">
        <v>374</v>
      </c>
      <c r="B178" s="4">
        <v>46051</v>
      </c>
      <c r="C178" s="3" t="s">
        <v>48</v>
      </c>
      <c r="D178" s="3" t="s">
        <v>36</v>
      </c>
      <c r="E178" s="3" t="s">
        <v>135</v>
      </c>
      <c r="F178" s="3" t="s">
        <v>127</v>
      </c>
      <c r="G178" s="3" t="s">
        <v>146</v>
      </c>
      <c r="H178" s="3" t="s">
        <v>137</v>
      </c>
      <c r="I178" s="3">
        <v>1342</v>
      </c>
      <c r="J178" s="3" t="s">
        <v>133</v>
      </c>
      <c r="K178" s="5">
        <v>1</v>
      </c>
      <c r="L178" s="3" t="s">
        <v>14</v>
      </c>
      <c r="M178" s="3" t="s">
        <v>195</v>
      </c>
      <c r="N178" s="3" t="str">
        <f t="shared" si="5"/>
        <v>OK</v>
      </c>
    </row>
    <row r="179" spans="1:14" x14ac:dyDescent="0.3">
      <c r="A179" s="3" t="s">
        <v>375</v>
      </c>
      <c r="B179" s="4">
        <v>46044</v>
      </c>
      <c r="C179" s="3" t="s">
        <v>54</v>
      </c>
      <c r="D179" s="3" t="s">
        <v>55</v>
      </c>
      <c r="E179" s="3" t="s">
        <v>135</v>
      </c>
      <c r="F179" s="3" t="s">
        <v>141</v>
      </c>
      <c r="G179" s="3" t="s">
        <v>170</v>
      </c>
      <c r="H179" s="3" t="s">
        <v>131</v>
      </c>
      <c r="I179" s="3">
        <v>38679</v>
      </c>
      <c r="J179" s="3" t="s">
        <v>133</v>
      </c>
      <c r="K179" s="5">
        <v>1</v>
      </c>
      <c r="L179" s="3" t="s">
        <v>14</v>
      </c>
      <c r="M179" s="3" t="s">
        <v>198</v>
      </c>
      <c r="N179" s="3" t="str">
        <f t="shared" si="5"/>
        <v>OK</v>
      </c>
    </row>
    <row r="180" spans="1:14" x14ac:dyDescent="0.3">
      <c r="A180" s="3" t="s">
        <v>376</v>
      </c>
      <c r="B180" s="4">
        <v>46096</v>
      </c>
      <c r="C180" s="3" t="s">
        <v>93</v>
      </c>
      <c r="D180" s="3" t="s">
        <v>66</v>
      </c>
      <c r="E180" s="3" t="s">
        <v>135</v>
      </c>
      <c r="F180" s="3" t="s">
        <v>144</v>
      </c>
      <c r="G180" s="3" t="s">
        <v>185</v>
      </c>
      <c r="H180" s="3" t="s">
        <v>137</v>
      </c>
      <c r="I180" s="3">
        <v>3674</v>
      </c>
      <c r="J180" s="3" t="s">
        <v>133</v>
      </c>
      <c r="K180" s="5">
        <v>1</v>
      </c>
      <c r="L180" s="3" t="s">
        <v>14</v>
      </c>
      <c r="M180" s="3" t="s">
        <v>214</v>
      </c>
      <c r="N180" s="3" t="str">
        <f t="shared" si="5"/>
        <v>OK</v>
      </c>
    </row>
    <row r="181" spans="1:14" x14ac:dyDescent="0.3">
      <c r="A181" s="3" t="s">
        <v>377</v>
      </c>
      <c r="B181" s="4">
        <v>46120</v>
      </c>
      <c r="C181" s="3" t="s">
        <v>108</v>
      </c>
      <c r="D181" s="3" t="s">
        <v>55</v>
      </c>
      <c r="E181" s="3" t="s">
        <v>135</v>
      </c>
      <c r="F181" s="3" t="s">
        <v>149</v>
      </c>
      <c r="G181" s="3" t="s">
        <v>148</v>
      </c>
      <c r="H181" s="3" t="s">
        <v>137</v>
      </c>
      <c r="I181" s="3">
        <v>2793</v>
      </c>
      <c r="J181" s="3" t="s">
        <v>133</v>
      </c>
      <c r="K181" s="5">
        <v>1</v>
      </c>
      <c r="L181" s="3" t="s">
        <v>14</v>
      </c>
      <c r="M181" s="3" t="s">
        <v>198</v>
      </c>
      <c r="N181" s="3" t="str">
        <f t="shared" si="5"/>
        <v>OK</v>
      </c>
    </row>
  </sheetData>
  <autoFilter ref="A1:M181" xr:uid="{00000000-0009-0000-0000-00000D000000}"/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5A5A5"/>
    <pageSetUpPr fitToPage="1"/>
  </sheetPr>
  <dimension ref="A1:J81"/>
  <sheetViews>
    <sheetView showGridLines="0" workbookViewId="0">
      <pane ySplit="1" topLeftCell="A5" activePane="bottomLeft" state="frozen"/>
      <selection pane="bottomLeft"/>
    </sheetView>
  </sheetViews>
  <sheetFormatPr defaultRowHeight="14.4" x14ac:dyDescent="0.3"/>
  <cols>
    <col min="1" max="10" width="18" customWidth="1"/>
  </cols>
  <sheetData>
    <row r="1" spans="1:10" x14ac:dyDescent="0.3">
      <c r="A1" s="7" t="s">
        <v>4</v>
      </c>
      <c r="B1" s="7" t="s">
        <v>1</v>
      </c>
      <c r="C1" s="7" t="s">
        <v>6</v>
      </c>
      <c r="D1" s="7" t="s">
        <v>378</v>
      </c>
      <c r="E1" s="7" t="s">
        <v>379</v>
      </c>
      <c r="F1" s="7" t="s">
        <v>380</v>
      </c>
      <c r="G1" s="7" t="s">
        <v>381</v>
      </c>
      <c r="H1" s="7" t="s">
        <v>382</v>
      </c>
      <c r="I1" s="7" t="s">
        <v>590</v>
      </c>
      <c r="J1" s="7" t="s">
        <v>591</v>
      </c>
    </row>
    <row r="2" spans="1:10" x14ac:dyDescent="0.3">
      <c r="A2" s="3" t="s">
        <v>10</v>
      </c>
      <c r="B2" s="3" t="s">
        <v>12</v>
      </c>
      <c r="C2" s="3">
        <v>5263</v>
      </c>
      <c r="D2" s="3">
        <v>9901.4699999999993</v>
      </c>
      <c r="E2" s="3">
        <v>6026.58</v>
      </c>
      <c r="F2" s="3">
        <v>1139.1400000000001</v>
      </c>
      <c r="G2" s="3">
        <v>10005.709999999999</v>
      </c>
      <c r="H2" s="3">
        <v>3562.27</v>
      </c>
      <c r="I2" s="9">
        <f t="shared" ref="I2:I33" si="0">SUM(D2:H2)</f>
        <v>30635.17</v>
      </c>
      <c r="J2" s="10">
        <f t="shared" ref="J2:J33" si="1">IFERROR(I2/C2,0)</f>
        <v>5.8208569257077709</v>
      </c>
    </row>
    <row r="3" spans="1:10" x14ac:dyDescent="0.3">
      <c r="A3" s="3" t="s">
        <v>16</v>
      </c>
      <c r="B3" s="3" t="s">
        <v>17</v>
      </c>
      <c r="C3" s="3">
        <v>9914</v>
      </c>
      <c r="D3" s="3">
        <v>35120.480000000003</v>
      </c>
      <c r="E3" s="3">
        <v>13418.6</v>
      </c>
      <c r="F3" s="3">
        <v>1610.6</v>
      </c>
      <c r="G3" s="3">
        <v>8685.8700000000008</v>
      </c>
      <c r="H3" s="3">
        <v>2776.49</v>
      </c>
      <c r="I3" s="9">
        <f t="shared" si="0"/>
        <v>61612.04</v>
      </c>
      <c r="J3" s="10">
        <f t="shared" si="1"/>
        <v>6.2146499899132541</v>
      </c>
    </row>
    <row r="4" spans="1:10" x14ac:dyDescent="0.3">
      <c r="A4" s="3" t="s">
        <v>19</v>
      </c>
      <c r="B4" s="3" t="s">
        <v>21</v>
      </c>
      <c r="C4" s="3">
        <v>1342</v>
      </c>
      <c r="D4" s="3">
        <v>4480.25</v>
      </c>
      <c r="E4" s="3">
        <v>885.8</v>
      </c>
      <c r="F4" s="3">
        <v>217.26</v>
      </c>
      <c r="G4" s="3">
        <v>2702.53</v>
      </c>
      <c r="H4" s="3">
        <v>198.66</v>
      </c>
      <c r="I4" s="9">
        <f t="shared" si="0"/>
        <v>8484.5</v>
      </c>
      <c r="J4" s="10">
        <f t="shared" si="1"/>
        <v>6.3222801788375556</v>
      </c>
    </row>
    <row r="5" spans="1:10" x14ac:dyDescent="0.3">
      <c r="A5" s="3" t="s">
        <v>23</v>
      </c>
      <c r="B5" s="3" t="s">
        <v>25</v>
      </c>
      <c r="C5" s="3">
        <v>5769</v>
      </c>
      <c r="D5" s="3">
        <v>20555.11</v>
      </c>
      <c r="E5" s="3">
        <v>5002.32</v>
      </c>
      <c r="F5" s="3">
        <v>848.26</v>
      </c>
      <c r="G5" s="3">
        <v>10288.469999999999</v>
      </c>
      <c r="H5" s="3">
        <v>2689.45</v>
      </c>
      <c r="I5" s="9">
        <f t="shared" si="0"/>
        <v>39383.609999999993</v>
      </c>
      <c r="J5" s="10">
        <f t="shared" si="1"/>
        <v>6.8267654706188239</v>
      </c>
    </row>
    <row r="6" spans="1:10" x14ac:dyDescent="0.3">
      <c r="A6" s="3" t="s">
        <v>27</v>
      </c>
      <c r="B6" s="3" t="s">
        <v>28</v>
      </c>
      <c r="C6" s="3">
        <v>11218</v>
      </c>
      <c r="D6" s="3">
        <v>44055.11</v>
      </c>
      <c r="E6" s="3">
        <v>4371.2700000000004</v>
      </c>
      <c r="F6" s="3">
        <v>2589.4</v>
      </c>
      <c r="G6" s="3">
        <v>22515.03</v>
      </c>
      <c r="H6" s="3">
        <v>6307.52</v>
      </c>
      <c r="I6" s="9">
        <f t="shared" si="0"/>
        <v>79838.33</v>
      </c>
      <c r="J6" s="10">
        <f t="shared" si="1"/>
        <v>7.1169843109288644</v>
      </c>
    </row>
    <row r="7" spans="1:10" x14ac:dyDescent="0.3">
      <c r="A7" s="3" t="s">
        <v>31</v>
      </c>
      <c r="B7" s="3" t="s">
        <v>33</v>
      </c>
      <c r="C7" s="3">
        <v>4306</v>
      </c>
      <c r="D7" s="3">
        <v>12594.5</v>
      </c>
      <c r="E7" s="3">
        <v>4838.32</v>
      </c>
      <c r="F7" s="3">
        <v>1690.57</v>
      </c>
      <c r="G7" s="3">
        <v>8718.14</v>
      </c>
      <c r="H7" s="3">
        <v>1628.77</v>
      </c>
      <c r="I7" s="9">
        <f t="shared" si="0"/>
        <v>29470.3</v>
      </c>
      <c r="J7" s="10">
        <f t="shared" si="1"/>
        <v>6.8440083604273108</v>
      </c>
    </row>
    <row r="8" spans="1:10" x14ac:dyDescent="0.3">
      <c r="A8" s="3" t="s">
        <v>34</v>
      </c>
      <c r="B8" s="3" t="s">
        <v>36</v>
      </c>
      <c r="C8" s="3">
        <v>4961</v>
      </c>
      <c r="D8" s="3">
        <v>9854.09</v>
      </c>
      <c r="E8" s="3">
        <v>3551.38</v>
      </c>
      <c r="F8" s="3">
        <v>1961</v>
      </c>
      <c r="G8" s="3">
        <v>7848.51</v>
      </c>
      <c r="H8" s="3">
        <v>2630.2</v>
      </c>
      <c r="I8" s="9">
        <f t="shared" si="0"/>
        <v>25845.180000000004</v>
      </c>
      <c r="J8" s="10">
        <f t="shared" si="1"/>
        <v>5.2096714372102406</v>
      </c>
    </row>
    <row r="9" spans="1:10" x14ac:dyDescent="0.3">
      <c r="A9" s="3" t="s">
        <v>39</v>
      </c>
      <c r="B9" s="3" t="s">
        <v>40</v>
      </c>
      <c r="C9" s="3">
        <v>9075</v>
      </c>
      <c r="D9" s="3">
        <v>11902.21</v>
      </c>
      <c r="E9" s="3">
        <v>4806.66</v>
      </c>
      <c r="F9" s="3">
        <v>1219.53</v>
      </c>
      <c r="G9" s="3">
        <v>12675.4</v>
      </c>
      <c r="H9" s="3">
        <v>3160.97</v>
      </c>
      <c r="I9" s="9">
        <f t="shared" si="0"/>
        <v>33764.769999999997</v>
      </c>
      <c r="J9" s="10">
        <f t="shared" si="1"/>
        <v>3.7206358126721759</v>
      </c>
    </row>
    <row r="10" spans="1:10" x14ac:dyDescent="0.3">
      <c r="A10" s="3" t="s">
        <v>41</v>
      </c>
      <c r="B10" s="3" t="s">
        <v>17</v>
      </c>
      <c r="C10" s="3">
        <v>2613</v>
      </c>
      <c r="D10" s="3">
        <v>7453.29</v>
      </c>
      <c r="E10" s="3">
        <v>1277.1099999999999</v>
      </c>
      <c r="F10" s="3">
        <v>167.66</v>
      </c>
      <c r="G10" s="3">
        <v>1580.61</v>
      </c>
      <c r="H10" s="3">
        <v>905.62</v>
      </c>
      <c r="I10" s="9">
        <f t="shared" si="0"/>
        <v>11384.29</v>
      </c>
      <c r="J10" s="10">
        <f t="shared" si="1"/>
        <v>4.3567891312667433</v>
      </c>
    </row>
    <row r="11" spans="1:10" x14ac:dyDescent="0.3">
      <c r="A11" s="3" t="s">
        <v>43</v>
      </c>
      <c r="B11" s="3" t="s">
        <v>33</v>
      </c>
      <c r="C11" s="3">
        <v>5933</v>
      </c>
      <c r="D11" s="3">
        <v>7708.09</v>
      </c>
      <c r="E11" s="3">
        <v>3409.19</v>
      </c>
      <c r="F11" s="3">
        <v>1897.84</v>
      </c>
      <c r="G11" s="3">
        <v>11077.71</v>
      </c>
      <c r="H11" s="3">
        <v>1403.33</v>
      </c>
      <c r="I11" s="9">
        <f t="shared" si="0"/>
        <v>25496.160000000003</v>
      </c>
      <c r="J11" s="10">
        <f t="shared" si="1"/>
        <v>4.2973470419686501</v>
      </c>
    </row>
    <row r="12" spans="1:10" x14ac:dyDescent="0.3">
      <c r="A12" s="3" t="s">
        <v>44</v>
      </c>
      <c r="B12" s="3" t="s">
        <v>36</v>
      </c>
      <c r="C12" s="3">
        <v>3043</v>
      </c>
      <c r="D12" s="3">
        <v>6389.82</v>
      </c>
      <c r="E12" s="3">
        <v>3992.03</v>
      </c>
      <c r="F12" s="3">
        <v>470.03</v>
      </c>
      <c r="G12" s="3">
        <v>6005.89</v>
      </c>
      <c r="H12" s="3">
        <v>447.5</v>
      </c>
      <c r="I12" s="9">
        <f t="shared" si="0"/>
        <v>17305.27</v>
      </c>
      <c r="J12" s="10">
        <f t="shared" si="1"/>
        <v>5.6869109431482094</v>
      </c>
    </row>
    <row r="13" spans="1:10" x14ac:dyDescent="0.3">
      <c r="A13" s="3" t="s">
        <v>45</v>
      </c>
      <c r="B13" s="3" t="s">
        <v>40</v>
      </c>
      <c r="C13" s="3">
        <v>7152</v>
      </c>
      <c r="D13" s="3">
        <v>12398.75</v>
      </c>
      <c r="E13" s="3">
        <v>5900.75</v>
      </c>
      <c r="F13" s="3">
        <v>2268.21</v>
      </c>
      <c r="G13" s="3">
        <v>16227.47</v>
      </c>
      <c r="H13" s="3">
        <v>998.65</v>
      </c>
      <c r="I13" s="9">
        <f t="shared" si="0"/>
        <v>37793.83</v>
      </c>
      <c r="J13" s="10">
        <f t="shared" si="1"/>
        <v>5.2843722035794185</v>
      </c>
    </row>
    <row r="14" spans="1:10" x14ac:dyDescent="0.3">
      <c r="A14" s="3" t="s">
        <v>46</v>
      </c>
      <c r="B14" s="3" t="s">
        <v>28</v>
      </c>
      <c r="C14" s="3">
        <v>10256</v>
      </c>
      <c r="D14" s="3">
        <v>39217.480000000003</v>
      </c>
      <c r="E14" s="3">
        <v>14210.3</v>
      </c>
      <c r="F14" s="3">
        <v>1257.6099999999999</v>
      </c>
      <c r="G14" s="3">
        <v>23085.22</v>
      </c>
      <c r="H14" s="3">
        <v>1964.07</v>
      </c>
      <c r="I14" s="9">
        <f t="shared" si="0"/>
        <v>79734.680000000008</v>
      </c>
      <c r="J14" s="10">
        <f t="shared" si="1"/>
        <v>7.774442277691108</v>
      </c>
    </row>
    <row r="15" spans="1:10" x14ac:dyDescent="0.3">
      <c r="A15" s="3" t="s">
        <v>47</v>
      </c>
      <c r="B15" s="3" t="s">
        <v>12</v>
      </c>
      <c r="C15" s="3">
        <v>5526</v>
      </c>
      <c r="D15" s="3">
        <v>6638.44</v>
      </c>
      <c r="E15" s="3">
        <v>1435.45</v>
      </c>
      <c r="F15" s="3">
        <v>571.04999999999995</v>
      </c>
      <c r="G15" s="3">
        <v>9118.56</v>
      </c>
      <c r="H15" s="3">
        <v>993.14</v>
      </c>
      <c r="I15" s="9">
        <f t="shared" si="0"/>
        <v>18756.64</v>
      </c>
      <c r="J15" s="10">
        <f t="shared" si="1"/>
        <v>3.3942526239594644</v>
      </c>
    </row>
    <row r="16" spans="1:10" x14ac:dyDescent="0.3">
      <c r="A16" s="3" t="s">
        <v>48</v>
      </c>
      <c r="B16" s="3" t="s">
        <v>36</v>
      </c>
      <c r="C16" s="3">
        <v>3355</v>
      </c>
      <c r="D16" s="3">
        <v>11481.61</v>
      </c>
      <c r="E16" s="3">
        <v>2584.6799999999998</v>
      </c>
      <c r="F16" s="3">
        <v>876.04</v>
      </c>
      <c r="G16" s="3">
        <v>5214.51</v>
      </c>
      <c r="H16" s="3">
        <v>971.67</v>
      </c>
      <c r="I16" s="9">
        <f t="shared" si="0"/>
        <v>21128.510000000002</v>
      </c>
      <c r="J16" s="10">
        <f t="shared" si="1"/>
        <v>6.2976184798807759</v>
      </c>
    </row>
    <row r="17" spans="1:10" x14ac:dyDescent="0.3">
      <c r="A17" s="3" t="s">
        <v>49</v>
      </c>
      <c r="B17" s="3" t="s">
        <v>28</v>
      </c>
      <c r="C17" s="3">
        <v>10419</v>
      </c>
      <c r="D17" s="3">
        <v>23904.78</v>
      </c>
      <c r="E17" s="3">
        <v>3684.22</v>
      </c>
      <c r="F17" s="3">
        <v>2397.33</v>
      </c>
      <c r="G17" s="3">
        <v>14839.55</v>
      </c>
      <c r="H17" s="3">
        <v>5846.91</v>
      </c>
      <c r="I17" s="9">
        <f t="shared" si="0"/>
        <v>50672.790000000008</v>
      </c>
      <c r="J17" s="10">
        <f t="shared" si="1"/>
        <v>4.8634984163547372</v>
      </c>
    </row>
    <row r="18" spans="1:10" x14ac:dyDescent="0.3">
      <c r="A18" s="3" t="s">
        <v>50</v>
      </c>
      <c r="B18" s="3" t="s">
        <v>33</v>
      </c>
      <c r="C18" s="3">
        <v>2668</v>
      </c>
      <c r="D18" s="3">
        <v>6370.53</v>
      </c>
      <c r="E18" s="3">
        <v>2385.3200000000002</v>
      </c>
      <c r="F18" s="3">
        <v>244.52</v>
      </c>
      <c r="G18" s="3">
        <v>4378.84</v>
      </c>
      <c r="H18" s="3">
        <v>1505.84</v>
      </c>
      <c r="I18" s="9">
        <f t="shared" si="0"/>
        <v>14885.050000000001</v>
      </c>
      <c r="J18" s="10">
        <f t="shared" si="1"/>
        <v>5.5791041979010503</v>
      </c>
    </row>
    <row r="19" spans="1:10" x14ac:dyDescent="0.3">
      <c r="A19" s="3" t="s">
        <v>51</v>
      </c>
      <c r="B19" s="3" t="s">
        <v>33</v>
      </c>
      <c r="C19" s="3">
        <v>9312</v>
      </c>
      <c r="D19" s="3">
        <v>30511.63</v>
      </c>
      <c r="E19" s="3">
        <v>3632.45</v>
      </c>
      <c r="F19" s="3">
        <v>3720</v>
      </c>
      <c r="G19" s="3">
        <v>4628.68</v>
      </c>
      <c r="H19" s="3">
        <v>2204.71</v>
      </c>
      <c r="I19" s="9">
        <f t="shared" si="0"/>
        <v>44697.47</v>
      </c>
      <c r="J19" s="10">
        <f t="shared" si="1"/>
        <v>4.7999860395189007</v>
      </c>
    </row>
    <row r="20" spans="1:10" x14ac:dyDescent="0.3">
      <c r="A20" s="3" t="s">
        <v>52</v>
      </c>
      <c r="B20" s="3" t="s">
        <v>33</v>
      </c>
      <c r="C20" s="3">
        <v>9785</v>
      </c>
      <c r="D20" s="3">
        <v>33399.199999999997</v>
      </c>
      <c r="E20" s="3">
        <v>5329.61</v>
      </c>
      <c r="F20" s="3">
        <v>3433.38</v>
      </c>
      <c r="G20" s="3">
        <v>10367.18</v>
      </c>
      <c r="H20" s="3">
        <v>4607.8900000000003</v>
      </c>
      <c r="I20" s="9">
        <f t="shared" si="0"/>
        <v>57137.259999999995</v>
      </c>
      <c r="J20" s="10">
        <f t="shared" si="1"/>
        <v>5.8392703117015836</v>
      </c>
    </row>
    <row r="21" spans="1:10" x14ac:dyDescent="0.3">
      <c r="A21" s="3" t="s">
        <v>53</v>
      </c>
      <c r="B21" s="3" t="s">
        <v>21</v>
      </c>
      <c r="C21" s="3">
        <v>4846</v>
      </c>
      <c r="D21" s="3">
        <v>21871.56</v>
      </c>
      <c r="E21" s="3">
        <v>2743.72</v>
      </c>
      <c r="F21" s="3">
        <v>634.34</v>
      </c>
      <c r="G21" s="3">
        <v>6257.87</v>
      </c>
      <c r="H21" s="3">
        <v>903.41</v>
      </c>
      <c r="I21" s="9">
        <f t="shared" si="0"/>
        <v>32410.9</v>
      </c>
      <c r="J21" s="10">
        <f t="shared" si="1"/>
        <v>6.6881758151052422</v>
      </c>
    </row>
    <row r="22" spans="1:10" x14ac:dyDescent="0.3">
      <c r="A22" s="3" t="s">
        <v>54</v>
      </c>
      <c r="B22" s="3" t="s">
        <v>55</v>
      </c>
      <c r="C22" s="3">
        <v>7858</v>
      </c>
      <c r="D22" s="3">
        <v>21302.560000000001</v>
      </c>
      <c r="E22" s="3">
        <v>10477.36</v>
      </c>
      <c r="F22" s="3">
        <v>1512.9</v>
      </c>
      <c r="G22" s="3">
        <v>15609.49</v>
      </c>
      <c r="H22" s="3">
        <v>1600.76</v>
      </c>
      <c r="I22" s="9">
        <f t="shared" si="0"/>
        <v>50503.07</v>
      </c>
      <c r="J22" s="10">
        <f t="shared" si="1"/>
        <v>6.4269623313820308</v>
      </c>
    </row>
    <row r="23" spans="1:10" x14ac:dyDescent="0.3">
      <c r="A23" s="3" t="s">
        <v>56</v>
      </c>
      <c r="B23" s="3" t="s">
        <v>33</v>
      </c>
      <c r="C23" s="3">
        <v>5048</v>
      </c>
      <c r="D23" s="3">
        <v>17557.89</v>
      </c>
      <c r="E23" s="3">
        <v>6920.91</v>
      </c>
      <c r="F23" s="3">
        <v>1382.99</v>
      </c>
      <c r="G23" s="3">
        <v>2583.0500000000002</v>
      </c>
      <c r="H23" s="3">
        <v>2310.36</v>
      </c>
      <c r="I23" s="9">
        <f t="shared" si="0"/>
        <v>30755.200000000001</v>
      </c>
      <c r="J23" s="10">
        <f t="shared" si="1"/>
        <v>6.0925515055467514</v>
      </c>
    </row>
    <row r="24" spans="1:10" x14ac:dyDescent="0.3">
      <c r="A24" s="3" t="s">
        <v>57</v>
      </c>
      <c r="B24" s="3" t="s">
        <v>17</v>
      </c>
      <c r="C24" s="3">
        <v>5182</v>
      </c>
      <c r="D24" s="3">
        <v>17981.71</v>
      </c>
      <c r="E24" s="3">
        <v>6219.6</v>
      </c>
      <c r="F24" s="3">
        <v>722.19</v>
      </c>
      <c r="G24" s="3">
        <v>10753.1</v>
      </c>
      <c r="H24" s="3">
        <v>1515.02</v>
      </c>
      <c r="I24" s="9">
        <f t="shared" si="0"/>
        <v>37191.619999999995</v>
      </c>
      <c r="J24" s="10">
        <f t="shared" si="1"/>
        <v>7.1770783481281351</v>
      </c>
    </row>
    <row r="25" spans="1:10" x14ac:dyDescent="0.3">
      <c r="A25" s="3" t="s">
        <v>58</v>
      </c>
      <c r="B25" s="3" t="s">
        <v>28</v>
      </c>
      <c r="C25" s="3">
        <v>8093</v>
      </c>
      <c r="D25" s="3">
        <v>34718.199999999997</v>
      </c>
      <c r="E25" s="3">
        <v>5460.47</v>
      </c>
      <c r="F25" s="3">
        <v>1936.84</v>
      </c>
      <c r="G25" s="3">
        <v>6326.99</v>
      </c>
      <c r="H25" s="3">
        <v>1824.59</v>
      </c>
      <c r="I25" s="9">
        <f t="shared" si="0"/>
        <v>50267.089999999989</v>
      </c>
      <c r="J25" s="10">
        <f t="shared" si="1"/>
        <v>6.211181267762262</v>
      </c>
    </row>
    <row r="26" spans="1:10" x14ac:dyDescent="0.3">
      <c r="A26" s="3" t="s">
        <v>59</v>
      </c>
      <c r="B26" s="3" t="s">
        <v>12</v>
      </c>
      <c r="C26" s="3">
        <v>6759</v>
      </c>
      <c r="D26" s="3">
        <v>26402.29</v>
      </c>
      <c r="E26" s="3">
        <v>5145.99</v>
      </c>
      <c r="F26" s="3">
        <v>1409.96</v>
      </c>
      <c r="G26" s="3">
        <v>13727.74</v>
      </c>
      <c r="H26" s="3">
        <v>1685.03</v>
      </c>
      <c r="I26" s="9">
        <f t="shared" si="0"/>
        <v>48371.009999999995</v>
      </c>
      <c r="J26" s="10">
        <f t="shared" si="1"/>
        <v>7.1565335108743886</v>
      </c>
    </row>
    <row r="27" spans="1:10" x14ac:dyDescent="0.3">
      <c r="A27" s="3" t="s">
        <v>60</v>
      </c>
      <c r="B27" s="3" t="s">
        <v>17</v>
      </c>
      <c r="C27" s="3">
        <v>1596</v>
      </c>
      <c r="D27" s="3">
        <v>4648.82</v>
      </c>
      <c r="E27" s="3">
        <v>489.01</v>
      </c>
      <c r="F27" s="3">
        <v>523.22</v>
      </c>
      <c r="G27" s="3">
        <v>841.66</v>
      </c>
      <c r="H27" s="3">
        <v>474.21</v>
      </c>
      <c r="I27" s="9">
        <f t="shared" si="0"/>
        <v>6976.92</v>
      </c>
      <c r="J27" s="10">
        <f t="shared" si="1"/>
        <v>4.3715037593984967</v>
      </c>
    </row>
    <row r="28" spans="1:10" x14ac:dyDescent="0.3">
      <c r="A28" s="3" t="s">
        <v>61</v>
      </c>
      <c r="B28" s="3" t="s">
        <v>40</v>
      </c>
      <c r="C28" s="3">
        <v>8326</v>
      </c>
      <c r="D28" s="3">
        <v>23531.22</v>
      </c>
      <c r="E28" s="3">
        <v>9116.1200000000008</v>
      </c>
      <c r="F28" s="3">
        <v>1794.5</v>
      </c>
      <c r="G28" s="3">
        <v>5824.72</v>
      </c>
      <c r="H28" s="3">
        <v>3498.53</v>
      </c>
      <c r="I28" s="9">
        <f t="shared" si="0"/>
        <v>43765.090000000004</v>
      </c>
      <c r="J28" s="10">
        <f t="shared" si="1"/>
        <v>5.2564364640883978</v>
      </c>
    </row>
    <row r="29" spans="1:10" x14ac:dyDescent="0.3">
      <c r="A29" s="3" t="s">
        <v>62</v>
      </c>
      <c r="B29" s="3" t="s">
        <v>25</v>
      </c>
      <c r="C29" s="3">
        <v>7743</v>
      </c>
      <c r="D29" s="3">
        <v>9504.2000000000007</v>
      </c>
      <c r="E29" s="3">
        <v>11193.78</v>
      </c>
      <c r="F29" s="3">
        <v>1465.42</v>
      </c>
      <c r="G29" s="3">
        <v>8113.43</v>
      </c>
      <c r="H29" s="3">
        <v>3380.53</v>
      </c>
      <c r="I29" s="9">
        <f t="shared" si="0"/>
        <v>33657.360000000001</v>
      </c>
      <c r="J29" s="10">
        <f t="shared" si="1"/>
        <v>4.3468113134444017</v>
      </c>
    </row>
    <row r="30" spans="1:10" x14ac:dyDescent="0.3">
      <c r="A30" s="3" t="s">
        <v>63</v>
      </c>
      <c r="B30" s="3" t="s">
        <v>25</v>
      </c>
      <c r="C30" s="3">
        <v>9672</v>
      </c>
      <c r="D30" s="3">
        <v>31776.46</v>
      </c>
      <c r="E30" s="3">
        <v>13756.74</v>
      </c>
      <c r="F30" s="3">
        <v>1622.11</v>
      </c>
      <c r="G30" s="3">
        <v>13833.09</v>
      </c>
      <c r="H30" s="3">
        <v>4189.1000000000004</v>
      </c>
      <c r="I30" s="9">
        <f t="shared" si="0"/>
        <v>65177.499999999993</v>
      </c>
      <c r="J30" s="10">
        <f t="shared" si="1"/>
        <v>6.7387820512820502</v>
      </c>
    </row>
    <row r="31" spans="1:10" x14ac:dyDescent="0.3">
      <c r="A31" s="3" t="s">
        <v>64</v>
      </c>
      <c r="B31" s="3" t="s">
        <v>40</v>
      </c>
      <c r="C31" s="3">
        <v>9850</v>
      </c>
      <c r="D31" s="3">
        <v>22711.78</v>
      </c>
      <c r="E31" s="3">
        <v>12507.27</v>
      </c>
      <c r="F31" s="3">
        <v>2404.2600000000002</v>
      </c>
      <c r="G31" s="3">
        <v>17026.419999999998</v>
      </c>
      <c r="H31" s="3">
        <v>2532.02</v>
      </c>
      <c r="I31" s="9">
        <f t="shared" si="0"/>
        <v>57181.75</v>
      </c>
      <c r="J31" s="10">
        <f t="shared" si="1"/>
        <v>5.8052538071065989</v>
      </c>
    </row>
    <row r="32" spans="1:10" x14ac:dyDescent="0.3">
      <c r="A32" s="3" t="s">
        <v>65</v>
      </c>
      <c r="B32" s="3" t="s">
        <v>66</v>
      </c>
      <c r="C32" s="3">
        <v>10153</v>
      </c>
      <c r="D32" s="3">
        <v>30801.93</v>
      </c>
      <c r="E32" s="3">
        <v>12680.4</v>
      </c>
      <c r="F32" s="3">
        <v>3800.46</v>
      </c>
      <c r="G32" s="3">
        <v>11036.09</v>
      </c>
      <c r="H32" s="3">
        <v>6957.25</v>
      </c>
      <c r="I32" s="9">
        <f t="shared" si="0"/>
        <v>65276.130000000005</v>
      </c>
      <c r="J32" s="10">
        <f t="shared" si="1"/>
        <v>6.4292455431892055</v>
      </c>
    </row>
    <row r="33" spans="1:10" x14ac:dyDescent="0.3">
      <c r="A33" s="3" t="s">
        <v>67</v>
      </c>
      <c r="B33" s="3" t="s">
        <v>55</v>
      </c>
      <c r="C33" s="3">
        <v>11479</v>
      </c>
      <c r="D33" s="3">
        <v>28124.45</v>
      </c>
      <c r="E33" s="3">
        <v>13163.31</v>
      </c>
      <c r="F33" s="3">
        <v>4326.79</v>
      </c>
      <c r="G33" s="3">
        <v>20373.310000000001</v>
      </c>
      <c r="H33" s="3">
        <v>4771.12</v>
      </c>
      <c r="I33" s="9">
        <f t="shared" si="0"/>
        <v>70758.98</v>
      </c>
      <c r="J33" s="10">
        <f t="shared" si="1"/>
        <v>6.1642111682202279</v>
      </c>
    </row>
    <row r="34" spans="1:10" x14ac:dyDescent="0.3">
      <c r="A34" s="3" t="s">
        <v>68</v>
      </c>
      <c r="B34" s="3" t="s">
        <v>40</v>
      </c>
      <c r="C34" s="3">
        <v>7357</v>
      </c>
      <c r="D34" s="3">
        <v>34046.07</v>
      </c>
      <c r="E34" s="3">
        <v>2874.25</v>
      </c>
      <c r="F34" s="3">
        <v>1330.19</v>
      </c>
      <c r="G34" s="3">
        <v>6320.64</v>
      </c>
      <c r="H34" s="3">
        <v>2107.83</v>
      </c>
      <c r="I34" s="9">
        <f t="shared" ref="I34:I65" si="2">SUM(D34:H34)</f>
        <v>46678.98</v>
      </c>
      <c r="J34" s="10">
        <f t="shared" ref="J34:J65" si="3">IFERROR(I34/C34,0)</f>
        <v>6.3448389289112415</v>
      </c>
    </row>
    <row r="35" spans="1:10" x14ac:dyDescent="0.3">
      <c r="A35" s="3" t="s">
        <v>69</v>
      </c>
      <c r="B35" s="3" t="s">
        <v>17</v>
      </c>
      <c r="C35" s="3">
        <v>5174</v>
      </c>
      <c r="D35" s="3">
        <v>8195.6299999999992</v>
      </c>
      <c r="E35" s="3">
        <v>3447.39</v>
      </c>
      <c r="F35" s="3">
        <v>687.59</v>
      </c>
      <c r="G35" s="3">
        <v>4407.96</v>
      </c>
      <c r="H35" s="3">
        <v>2930.8</v>
      </c>
      <c r="I35" s="9">
        <f t="shared" si="2"/>
        <v>19669.37</v>
      </c>
      <c r="J35" s="10">
        <f t="shared" si="3"/>
        <v>3.8015790490916119</v>
      </c>
    </row>
    <row r="36" spans="1:10" x14ac:dyDescent="0.3">
      <c r="A36" s="3" t="s">
        <v>70</v>
      </c>
      <c r="B36" s="3" t="s">
        <v>25</v>
      </c>
      <c r="C36" s="3">
        <v>7852</v>
      </c>
      <c r="D36" s="3">
        <v>20518.740000000002</v>
      </c>
      <c r="E36" s="3">
        <v>11361.43</v>
      </c>
      <c r="F36" s="3">
        <v>2613.46</v>
      </c>
      <c r="G36" s="3">
        <v>15641.92</v>
      </c>
      <c r="H36" s="3">
        <v>4128.58</v>
      </c>
      <c r="I36" s="9">
        <f t="shared" si="2"/>
        <v>54264.130000000005</v>
      </c>
      <c r="J36" s="10">
        <f t="shared" si="3"/>
        <v>6.9108672949566996</v>
      </c>
    </row>
    <row r="37" spans="1:10" x14ac:dyDescent="0.3">
      <c r="A37" s="3" t="s">
        <v>71</v>
      </c>
      <c r="B37" s="3" t="s">
        <v>12</v>
      </c>
      <c r="C37" s="3">
        <v>11193</v>
      </c>
      <c r="D37" s="3">
        <v>40922.769999999997</v>
      </c>
      <c r="E37" s="3">
        <v>7497.65</v>
      </c>
      <c r="F37" s="3">
        <v>4044.79</v>
      </c>
      <c r="G37" s="3">
        <v>19022.080000000002</v>
      </c>
      <c r="H37" s="3">
        <v>3803.89</v>
      </c>
      <c r="I37" s="9">
        <f t="shared" si="2"/>
        <v>75291.180000000008</v>
      </c>
      <c r="J37" s="10">
        <f t="shared" si="3"/>
        <v>6.7266309300455651</v>
      </c>
    </row>
    <row r="38" spans="1:10" x14ac:dyDescent="0.3">
      <c r="A38" s="3" t="s">
        <v>72</v>
      </c>
      <c r="B38" s="3" t="s">
        <v>40</v>
      </c>
      <c r="C38" s="3">
        <v>8139</v>
      </c>
      <c r="D38" s="3">
        <v>33259.449999999997</v>
      </c>
      <c r="E38" s="3">
        <v>8868.2900000000009</v>
      </c>
      <c r="F38" s="3">
        <v>1289.8900000000001</v>
      </c>
      <c r="G38" s="3">
        <v>10055.040000000001</v>
      </c>
      <c r="H38" s="3">
        <v>1065.82</v>
      </c>
      <c r="I38" s="9">
        <f t="shared" si="2"/>
        <v>54538.49</v>
      </c>
      <c r="J38" s="10">
        <f t="shared" si="3"/>
        <v>6.700883400909202</v>
      </c>
    </row>
    <row r="39" spans="1:10" x14ac:dyDescent="0.3">
      <c r="A39" s="3" t="s">
        <v>73</v>
      </c>
      <c r="B39" s="3" t="s">
        <v>21</v>
      </c>
      <c r="C39" s="3">
        <v>7076</v>
      </c>
      <c r="D39" s="3">
        <v>25482.560000000001</v>
      </c>
      <c r="E39" s="3">
        <v>1877.49</v>
      </c>
      <c r="F39" s="3">
        <v>507.42</v>
      </c>
      <c r="G39" s="3">
        <v>13998.87</v>
      </c>
      <c r="H39" s="3">
        <v>2958.56</v>
      </c>
      <c r="I39" s="9">
        <f t="shared" si="2"/>
        <v>44824.9</v>
      </c>
      <c r="J39" s="10">
        <f t="shared" si="3"/>
        <v>6.3347795364612773</v>
      </c>
    </row>
    <row r="40" spans="1:10" x14ac:dyDescent="0.3">
      <c r="A40" s="3" t="s">
        <v>74</v>
      </c>
      <c r="B40" s="3" t="s">
        <v>55</v>
      </c>
      <c r="C40" s="3">
        <v>3093</v>
      </c>
      <c r="D40" s="3">
        <v>12187.17</v>
      </c>
      <c r="E40" s="3">
        <v>4176.0200000000004</v>
      </c>
      <c r="F40" s="3">
        <v>789.44</v>
      </c>
      <c r="G40" s="3">
        <v>4096.8</v>
      </c>
      <c r="H40" s="3">
        <v>2043.19</v>
      </c>
      <c r="I40" s="9">
        <f t="shared" si="2"/>
        <v>23292.62</v>
      </c>
      <c r="J40" s="10">
        <f t="shared" si="3"/>
        <v>7.5307533139346905</v>
      </c>
    </row>
    <row r="41" spans="1:10" x14ac:dyDescent="0.3">
      <c r="A41" s="3" t="s">
        <v>75</v>
      </c>
      <c r="B41" s="3" t="s">
        <v>55</v>
      </c>
      <c r="C41" s="3">
        <v>2353</v>
      </c>
      <c r="D41" s="3">
        <v>10496.24</v>
      </c>
      <c r="E41" s="3">
        <v>1007.99</v>
      </c>
      <c r="F41" s="3">
        <v>390.88</v>
      </c>
      <c r="G41" s="3">
        <v>2337.15</v>
      </c>
      <c r="H41" s="3">
        <v>728.5</v>
      </c>
      <c r="I41" s="9">
        <f t="shared" si="2"/>
        <v>14960.759999999998</v>
      </c>
      <c r="J41" s="10">
        <f t="shared" si="3"/>
        <v>6.3581640458988522</v>
      </c>
    </row>
    <row r="42" spans="1:10" x14ac:dyDescent="0.3">
      <c r="A42" s="3" t="s">
        <v>76</v>
      </c>
      <c r="B42" s="3" t="s">
        <v>33</v>
      </c>
      <c r="C42" s="3">
        <v>9483</v>
      </c>
      <c r="D42" s="3">
        <v>14139.36</v>
      </c>
      <c r="E42" s="3">
        <v>6018.63</v>
      </c>
      <c r="F42" s="3">
        <v>2102.15</v>
      </c>
      <c r="G42" s="3">
        <v>15110.45</v>
      </c>
      <c r="H42" s="3">
        <v>4120.42</v>
      </c>
      <c r="I42" s="9">
        <f t="shared" si="2"/>
        <v>41491.01</v>
      </c>
      <c r="J42" s="10">
        <f t="shared" si="3"/>
        <v>4.3753042286196351</v>
      </c>
    </row>
    <row r="43" spans="1:10" x14ac:dyDescent="0.3">
      <c r="A43" s="3" t="s">
        <v>77</v>
      </c>
      <c r="B43" s="3" t="s">
        <v>12</v>
      </c>
      <c r="C43" s="3">
        <v>9553</v>
      </c>
      <c r="D43" s="3">
        <v>27663.56</v>
      </c>
      <c r="E43" s="3">
        <v>5135.6000000000004</v>
      </c>
      <c r="F43" s="3">
        <v>1732.22</v>
      </c>
      <c r="G43" s="3">
        <v>11679.51</v>
      </c>
      <c r="H43" s="3">
        <v>5998.36</v>
      </c>
      <c r="I43" s="9">
        <f t="shared" si="2"/>
        <v>52209.250000000007</v>
      </c>
      <c r="J43" s="10">
        <f t="shared" si="3"/>
        <v>5.4652203496283898</v>
      </c>
    </row>
    <row r="44" spans="1:10" x14ac:dyDescent="0.3">
      <c r="A44" s="3" t="s">
        <v>78</v>
      </c>
      <c r="B44" s="3" t="s">
        <v>33</v>
      </c>
      <c r="C44" s="3">
        <v>8032</v>
      </c>
      <c r="D44" s="3">
        <v>31765.77</v>
      </c>
      <c r="E44" s="3">
        <v>10951.29</v>
      </c>
      <c r="F44" s="3">
        <v>1459.21</v>
      </c>
      <c r="G44" s="3">
        <v>5710.74</v>
      </c>
      <c r="H44" s="3">
        <v>2994.49</v>
      </c>
      <c r="I44" s="9">
        <f t="shared" si="2"/>
        <v>52881.499999999993</v>
      </c>
      <c r="J44" s="10">
        <f t="shared" si="3"/>
        <v>6.5838520916334655</v>
      </c>
    </row>
    <row r="45" spans="1:10" x14ac:dyDescent="0.3">
      <c r="A45" s="3" t="s">
        <v>79</v>
      </c>
      <c r="B45" s="3" t="s">
        <v>36</v>
      </c>
      <c r="C45" s="3">
        <v>11036</v>
      </c>
      <c r="D45" s="3">
        <v>31486.240000000002</v>
      </c>
      <c r="E45" s="3">
        <v>12357.41</v>
      </c>
      <c r="F45" s="3">
        <v>1884.16</v>
      </c>
      <c r="G45" s="3">
        <v>23559.919999999998</v>
      </c>
      <c r="H45" s="3">
        <v>6491.54</v>
      </c>
      <c r="I45" s="9">
        <f t="shared" si="2"/>
        <v>75779.27</v>
      </c>
      <c r="J45" s="10">
        <f t="shared" si="3"/>
        <v>6.8665521928234874</v>
      </c>
    </row>
    <row r="46" spans="1:10" x14ac:dyDescent="0.3">
      <c r="A46" s="3" t="s">
        <v>80</v>
      </c>
      <c r="B46" s="3" t="s">
        <v>21</v>
      </c>
      <c r="C46" s="3">
        <v>1567</v>
      </c>
      <c r="D46" s="3">
        <v>6268.25</v>
      </c>
      <c r="E46" s="3">
        <v>1678.96</v>
      </c>
      <c r="F46" s="3">
        <v>122.73</v>
      </c>
      <c r="G46" s="3">
        <v>2530.96</v>
      </c>
      <c r="H46" s="3">
        <v>408.94</v>
      </c>
      <c r="I46" s="9">
        <f t="shared" si="2"/>
        <v>11009.84</v>
      </c>
      <c r="J46" s="10">
        <f t="shared" si="3"/>
        <v>7.0260625398851309</v>
      </c>
    </row>
    <row r="47" spans="1:10" x14ac:dyDescent="0.3">
      <c r="A47" s="3" t="s">
        <v>81</v>
      </c>
      <c r="B47" s="3" t="s">
        <v>25</v>
      </c>
      <c r="C47" s="3">
        <v>10342</v>
      </c>
      <c r="D47" s="3">
        <v>32708.42</v>
      </c>
      <c r="E47" s="3">
        <v>7274.68</v>
      </c>
      <c r="F47" s="3">
        <v>2631.03</v>
      </c>
      <c r="G47" s="3">
        <v>23611.5</v>
      </c>
      <c r="H47" s="3">
        <v>7146.43</v>
      </c>
      <c r="I47" s="9">
        <f t="shared" si="2"/>
        <v>73372.06</v>
      </c>
      <c r="J47" s="10">
        <f t="shared" si="3"/>
        <v>7.0945716495842195</v>
      </c>
    </row>
    <row r="48" spans="1:10" x14ac:dyDescent="0.3">
      <c r="A48" s="3" t="s">
        <v>82</v>
      </c>
      <c r="B48" s="3" t="s">
        <v>25</v>
      </c>
      <c r="C48" s="3">
        <v>2257</v>
      </c>
      <c r="D48" s="3">
        <v>4537.3</v>
      </c>
      <c r="E48" s="3">
        <v>2833.3</v>
      </c>
      <c r="F48" s="3">
        <v>793.94</v>
      </c>
      <c r="G48" s="3">
        <v>3437.94</v>
      </c>
      <c r="H48" s="3">
        <v>699.29</v>
      </c>
      <c r="I48" s="9">
        <f t="shared" si="2"/>
        <v>12301.77</v>
      </c>
      <c r="J48" s="10">
        <f t="shared" si="3"/>
        <v>5.450496233938857</v>
      </c>
    </row>
    <row r="49" spans="1:10" x14ac:dyDescent="0.3">
      <c r="A49" s="3" t="s">
        <v>83</v>
      </c>
      <c r="B49" s="3" t="s">
        <v>21</v>
      </c>
      <c r="C49" s="3">
        <v>6149</v>
      </c>
      <c r="D49" s="3">
        <v>22175.16</v>
      </c>
      <c r="E49" s="3">
        <v>3708.91</v>
      </c>
      <c r="F49" s="3">
        <v>1549.2</v>
      </c>
      <c r="G49" s="3">
        <v>8055.14</v>
      </c>
      <c r="H49" s="3">
        <v>3168.13</v>
      </c>
      <c r="I49" s="9">
        <f t="shared" si="2"/>
        <v>38656.54</v>
      </c>
      <c r="J49" s="10">
        <f t="shared" si="3"/>
        <v>6.2866384778012687</v>
      </c>
    </row>
    <row r="50" spans="1:10" x14ac:dyDescent="0.3">
      <c r="A50" s="3" t="s">
        <v>84</v>
      </c>
      <c r="B50" s="3" t="s">
        <v>33</v>
      </c>
      <c r="C50" s="3">
        <v>11316</v>
      </c>
      <c r="D50" s="3">
        <v>22444.46</v>
      </c>
      <c r="E50" s="3">
        <v>10081.82</v>
      </c>
      <c r="F50" s="3">
        <v>2039.52</v>
      </c>
      <c r="G50" s="3">
        <v>7430.32</v>
      </c>
      <c r="H50" s="3">
        <v>5011.0600000000004</v>
      </c>
      <c r="I50" s="9">
        <f t="shared" si="2"/>
        <v>47007.179999999993</v>
      </c>
      <c r="J50" s="10">
        <f t="shared" si="3"/>
        <v>4.154045599151643</v>
      </c>
    </row>
    <row r="51" spans="1:10" x14ac:dyDescent="0.3">
      <c r="A51" s="3" t="s">
        <v>85</v>
      </c>
      <c r="B51" s="3" t="s">
        <v>12</v>
      </c>
      <c r="C51" s="3">
        <v>2721</v>
      </c>
      <c r="D51" s="3">
        <v>9771.59</v>
      </c>
      <c r="E51" s="3">
        <v>1744.71</v>
      </c>
      <c r="F51" s="3">
        <v>972.94</v>
      </c>
      <c r="G51" s="3">
        <v>1446.2</v>
      </c>
      <c r="H51" s="3">
        <v>1384.76</v>
      </c>
      <c r="I51" s="9">
        <f t="shared" si="2"/>
        <v>15320.2</v>
      </c>
      <c r="J51" s="10">
        <f t="shared" si="3"/>
        <v>5.6303564865858142</v>
      </c>
    </row>
    <row r="52" spans="1:10" x14ac:dyDescent="0.3">
      <c r="A52" s="3" t="s">
        <v>86</v>
      </c>
      <c r="B52" s="3" t="s">
        <v>33</v>
      </c>
      <c r="C52" s="3">
        <v>8888</v>
      </c>
      <c r="D52" s="3">
        <v>22888.639999999999</v>
      </c>
      <c r="E52" s="3">
        <v>11161.42</v>
      </c>
      <c r="F52" s="3">
        <v>3115.45</v>
      </c>
      <c r="G52" s="3">
        <v>11953.08</v>
      </c>
      <c r="H52" s="3">
        <v>1949.35</v>
      </c>
      <c r="I52" s="9">
        <f t="shared" si="2"/>
        <v>51067.939999999995</v>
      </c>
      <c r="J52" s="10">
        <f t="shared" si="3"/>
        <v>5.7457178217821774</v>
      </c>
    </row>
    <row r="53" spans="1:10" x14ac:dyDescent="0.3">
      <c r="A53" s="3" t="s">
        <v>87</v>
      </c>
      <c r="B53" s="3" t="s">
        <v>12</v>
      </c>
      <c r="C53" s="3">
        <v>3009</v>
      </c>
      <c r="D53" s="3">
        <v>4727.42</v>
      </c>
      <c r="E53" s="3">
        <v>1294.45</v>
      </c>
      <c r="F53" s="3">
        <v>1134.28</v>
      </c>
      <c r="G53" s="3">
        <v>2523.59</v>
      </c>
      <c r="H53" s="3">
        <v>506.91</v>
      </c>
      <c r="I53" s="9">
        <f t="shared" si="2"/>
        <v>10186.65</v>
      </c>
      <c r="J53" s="10">
        <f t="shared" si="3"/>
        <v>3.3853938185443666</v>
      </c>
    </row>
    <row r="54" spans="1:10" x14ac:dyDescent="0.3">
      <c r="A54" s="3" t="s">
        <v>88</v>
      </c>
      <c r="B54" s="3" t="s">
        <v>40</v>
      </c>
      <c r="C54" s="3">
        <v>4422</v>
      </c>
      <c r="D54" s="3">
        <v>12712.82</v>
      </c>
      <c r="E54" s="3">
        <v>5681.42</v>
      </c>
      <c r="F54" s="3">
        <v>1537.2</v>
      </c>
      <c r="G54" s="3">
        <v>6382.19</v>
      </c>
      <c r="H54" s="3">
        <v>2046.52</v>
      </c>
      <c r="I54" s="9">
        <f t="shared" si="2"/>
        <v>28360.149999999998</v>
      </c>
      <c r="J54" s="10">
        <f t="shared" si="3"/>
        <v>6.4134215287200353</v>
      </c>
    </row>
    <row r="55" spans="1:10" x14ac:dyDescent="0.3">
      <c r="A55" s="3" t="s">
        <v>89</v>
      </c>
      <c r="B55" s="3" t="s">
        <v>33</v>
      </c>
      <c r="C55" s="3">
        <v>7422</v>
      </c>
      <c r="D55" s="3">
        <v>17420.02</v>
      </c>
      <c r="E55" s="3">
        <v>5404.49</v>
      </c>
      <c r="F55" s="3">
        <v>747.09</v>
      </c>
      <c r="G55" s="3">
        <v>8256.1200000000008</v>
      </c>
      <c r="H55" s="3">
        <v>1077.5899999999999</v>
      </c>
      <c r="I55" s="9">
        <f t="shared" si="2"/>
        <v>32905.31</v>
      </c>
      <c r="J55" s="10">
        <f t="shared" si="3"/>
        <v>4.4334828887092428</v>
      </c>
    </row>
    <row r="56" spans="1:10" x14ac:dyDescent="0.3">
      <c r="A56" s="3" t="s">
        <v>90</v>
      </c>
      <c r="B56" s="3" t="s">
        <v>40</v>
      </c>
      <c r="C56" s="3">
        <v>5352</v>
      </c>
      <c r="D56" s="3">
        <v>12650.76</v>
      </c>
      <c r="E56" s="3">
        <v>2783.23</v>
      </c>
      <c r="F56" s="3">
        <v>1580.43</v>
      </c>
      <c r="G56" s="3">
        <v>4029.23</v>
      </c>
      <c r="H56" s="3">
        <v>766.6</v>
      </c>
      <c r="I56" s="9">
        <f t="shared" si="2"/>
        <v>21810.249999999996</v>
      </c>
      <c r="J56" s="10">
        <f t="shared" si="3"/>
        <v>4.0751588191330335</v>
      </c>
    </row>
    <row r="57" spans="1:10" x14ac:dyDescent="0.3">
      <c r="A57" s="3" t="s">
        <v>91</v>
      </c>
      <c r="B57" s="3" t="s">
        <v>21</v>
      </c>
      <c r="C57" s="3">
        <v>11180</v>
      </c>
      <c r="D57" s="3">
        <v>47370.44</v>
      </c>
      <c r="E57" s="3">
        <v>15846.3</v>
      </c>
      <c r="F57" s="3">
        <v>1265.1500000000001</v>
      </c>
      <c r="G57" s="3">
        <v>24651.21</v>
      </c>
      <c r="H57" s="3">
        <v>6212.86</v>
      </c>
      <c r="I57" s="9">
        <f t="shared" si="2"/>
        <v>95345.96</v>
      </c>
      <c r="J57" s="10">
        <f t="shared" si="3"/>
        <v>8.5282611806797863</v>
      </c>
    </row>
    <row r="58" spans="1:10" x14ac:dyDescent="0.3">
      <c r="A58" s="3" t="s">
        <v>92</v>
      </c>
      <c r="B58" s="3" t="s">
        <v>40</v>
      </c>
      <c r="C58" s="3">
        <v>6317</v>
      </c>
      <c r="D58" s="3">
        <v>23827.97</v>
      </c>
      <c r="E58" s="3">
        <v>6868.62</v>
      </c>
      <c r="F58" s="3">
        <v>1991.4</v>
      </c>
      <c r="G58" s="3">
        <v>8368.9</v>
      </c>
      <c r="H58" s="3">
        <v>3990.86</v>
      </c>
      <c r="I58" s="9">
        <f t="shared" si="2"/>
        <v>45047.75</v>
      </c>
      <c r="J58" s="10">
        <f t="shared" si="3"/>
        <v>7.131193604559126</v>
      </c>
    </row>
    <row r="59" spans="1:10" x14ac:dyDescent="0.3">
      <c r="A59" s="3" t="s">
        <v>93</v>
      </c>
      <c r="B59" s="3" t="s">
        <v>66</v>
      </c>
      <c r="C59" s="3">
        <v>5275</v>
      </c>
      <c r="D59" s="3">
        <v>11268.23</v>
      </c>
      <c r="E59" s="3">
        <v>1506.51</v>
      </c>
      <c r="F59" s="3">
        <v>380.9</v>
      </c>
      <c r="G59" s="3">
        <v>4945.66</v>
      </c>
      <c r="H59" s="3">
        <v>807.05</v>
      </c>
      <c r="I59" s="9">
        <f t="shared" si="2"/>
        <v>18908.349999999999</v>
      </c>
      <c r="J59" s="10">
        <f t="shared" si="3"/>
        <v>3.5845213270142176</v>
      </c>
    </row>
    <row r="60" spans="1:10" x14ac:dyDescent="0.3">
      <c r="A60" s="3" t="s">
        <v>94</v>
      </c>
      <c r="B60" s="3" t="s">
        <v>28</v>
      </c>
      <c r="C60" s="3">
        <v>11673</v>
      </c>
      <c r="D60" s="3">
        <v>39136.92</v>
      </c>
      <c r="E60" s="3">
        <v>12007.16</v>
      </c>
      <c r="F60" s="3">
        <v>614.57000000000005</v>
      </c>
      <c r="G60" s="3">
        <v>17523.419999999998</v>
      </c>
      <c r="H60" s="3">
        <v>2579.61</v>
      </c>
      <c r="I60" s="9">
        <f t="shared" si="2"/>
        <v>71861.680000000008</v>
      </c>
      <c r="J60" s="10">
        <f t="shared" si="3"/>
        <v>6.156230617664697</v>
      </c>
    </row>
    <row r="61" spans="1:10" x14ac:dyDescent="0.3">
      <c r="A61" s="3" t="s">
        <v>95</v>
      </c>
      <c r="B61" s="3" t="s">
        <v>36</v>
      </c>
      <c r="C61" s="3">
        <v>3906</v>
      </c>
      <c r="D61" s="3">
        <v>6764.2</v>
      </c>
      <c r="E61" s="3">
        <v>3848.07</v>
      </c>
      <c r="F61" s="3">
        <v>1167.25</v>
      </c>
      <c r="G61" s="3">
        <v>2087.15</v>
      </c>
      <c r="H61" s="3">
        <v>1468.77</v>
      </c>
      <c r="I61" s="9">
        <f t="shared" si="2"/>
        <v>15335.44</v>
      </c>
      <c r="J61" s="10">
        <f t="shared" si="3"/>
        <v>3.9261239119303637</v>
      </c>
    </row>
    <row r="62" spans="1:10" x14ac:dyDescent="0.3">
      <c r="A62" s="3" t="s">
        <v>96</v>
      </c>
      <c r="B62" s="3" t="s">
        <v>36</v>
      </c>
      <c r="C62" s="3">
        <v>10620</v>
      </c>
      <c r="D62" s="3">
        <v>28406.66</v>
      </c>
      <c r="E62" s="3">
        <v>14454.61</v>
      </c>
      <c r="F62" s="3">
        <v>3828.52</v>
      </c>
      <c r="G62" s="3">
        <v>15586.19</v>
      </c>
      <c r="H62" s="3">
        <v>3105.66</v>
      </c>
      <c r="I62" s="9">
        <f t="shared" si="2"/>
        <v>65381.64</v>
      </c>
      <c r="J62" s="10">
        <f t="shared" si="3"/>
        <v>6.156463276836158</v>
      </c>
    </row>
    <row r="63" spans="1:10" x14ac:dyDescent="0.3">
      <c r="A63" s="3" t="s">
        <v>97</v>
      </c>
      <c r="B63" s="3" t="s">
        <v>28</v>
      </c>
      <c r="C63" s="3">
        <v>5499</v>
      </c>
      <c r="D63" s="3">
        <v>19465.78</v>
      </c>
      <c r="E63" s="3">
        <v>4552.28</v>
      </c>
      <c r="F63" s="3">
        <v>398.01</v>
      </c>
      <c r="G63" s="3">
        <v>6105.38</v>
      </c>
      <c r="H63" s="3">
        <v>2886.67</v>
      </c>
      <c r="I63" s="9">
        <f t="shared" si="2"/>
        <v>33408.119999999995</v>
      </c>
      <c r="J63" s="10">
        <f t="shared" si="3"/>
        <v>6.0753082378614289</v>
      </c>
    </row>
    <row r="64" spans="1:10" x14ac:dyDescent="0.3">
      <c r="A64" s="3" t="s">
        <v>98</v>
      </c>
      <c r="B64" s="3" t="s">
        <v>55</v>
      </c>
      <c r="C64" s="3">
        <v>1185</v>
      </c>
      <c r="D64" s="3">
        <v>5513.36</v>
      </c>
      <c r="E64" s="3">
        <v>662.78</v>
      </c>
      <c r="F64" s="3">
        <v>318.51</v>
      </c>
      <c r="G64" s="3">
        <v>1359.96</v>
      </c>
      <c r="H64" s="3">
        <v>584.21</v>
      </c>
      <c r="I64" s="9">
        <f t="shared" si="2"/>
        <v>8438.82</v>
      </c>
      <c r="J64" s="10">
        <f t="shared" si="3"/>
        <v>7.1213670886075944</v>
      </c>
    </row>
    <row r="65" spans="1:10" x14ac:dyDescent="0.3">
      <c r="A65" s="3" t="s">
        <v>99</v>
      </c>
      <c r="B65" s="3" t="s">
        <v>25</v>
      </c>
      <c r="C65" s="3">
        <v>5876</v>
      </c>
      <c r="D65" s="3">
        <v>23221.360000000001</v>
      </c>
      <c r="E65" s="3">
        <v>5738.87</v>
      </c>
      <c r="F65" s="3">
        <v>2002.81</v>
      </c>
      <c r="G65" s="3">
        <v>2981.96</v>
      </c>
      <c r="H65" s="3">
        <v>1495.16</v>
      </c>
      <c r="I65" s="9">
        <f t="shared" si="2"/>
        <v>35440.160000000003</v>
      </c>
      <c r="J65" s="10">
        <f t="shared" si="3"/>
        <v>6.031341048332199</v>
      </c>
    </row>
    <row r="66" spans="1:10" x14ac:dyDescent="0.3">
      <c r="A66" s="3" t="s">
        <v>100</v>
      </c>
      <c r="B66" s="3" t="s">
        <v>36</v>
      </c>
      <c r="C66" s="3">
        <v>7746</v>
      </c>
      <c r="D66" s="3">
        <v>18468.5</v>
      </c>
      <c r="E66" s="3">
        <v>8459.01</v>
      </c>
      <c r="F66" s="3">
        <v>2390.75</v>
      </c>
      <c r="G66" s="3">
        <v>16828.580000000002</v>
      </c>
      <c r="H66" s="3">
        <v>3358.25</v>
      </c>
      <c r="I66" s="9">
        <f t="shared" ref="I66:I97" si="4">SUM(D66:H66)</f>
        <v>49505.090000000004</v>
      </c>
      <c r="J66" s="10">
        <f t="shared" ref="J66:J97" si="5">IFERROR(I66/C66,0)</f>
        <v>6.391052155951459</v>
      </c>
    </row>
    <row r="67" spans="1:10" x14ac:dyDescent="0.3">
      <c r="A67" s="3" t="s">
        <v>101</v>
      </c>
      <c r="B67" s="3" t="s">
        <v>55</v>
      </c>
      <c r="C67" s="3">
        <v>8211</v>
      </c>
      <c r="D67" s="3">
        <v>21249.25</v>
      </c>
      <c r="E67" s="3">
        <v>7912.27</v>
      </c>
      <c r="F67" s="3">
        <v>1142.5</v>
      </c>
      <c r="G67" s="3">
        <v>5119.0200000000004</v>
      </c>
      <c r="H67" s="3">
        <v>5418.43</v>
      </c>
      <c r="I67" s="9">
        <f t="shared" si="4"/>
        <v>40841.47</v>
      </c>
      <c r="J67" s="10">
        <f t="shared" si="5"/>
        <v>4.9739946413347953</v>
      </c>
    </row>
    <row r="68" spans="1:10" x14ac:dyDescent="0.3">
      <c r="A68" s="3" t="s">
        <v>102</v>
      </c>
      <c r="B68" s="3" t="s">
        <v>28</v>
      </c>
      <c r="C68" s="3">
        <v>6018</v>
      </c>
      <c r="D68" s="3">
        <v>16127.1</v>
      </c>
      <c r="E68" s="3">
        <v>6178.33</v>
      </c>
      <c r="F68" s="3">
        <v>1407.68</v>
      </c>
      <c r="G68" s="3">
        <v>4311.58</v>
      </c>
      <c r="H68" s="3">
        <v>1276.53</v>
      </c>
      <c r="I68" s="9">
        <f t="shared" si="4"/>
        <v>29301.22</v>
      </c>
      <c r="J68" s="10">
        <f t="shared" si="5"/>
        <v>4.8689298770355602</v>
      </c>
    </row>
    <row r="69" spans="1:10" x14ac:dyDescent="0.3">
      <c r="A69" s="3" t="s">
        <v>103</v>
      </c>
      <c r="B69" s="3" t="s">
        <v>21</v>
      </c>
      <c r="C69" s="3">
        <v>7206</v>
      </c>
      <c r="D69" s="3">
        <v>21444.99</v>
      </c>
      <c r="E69" s="3">
        <v>9146.11</v>
      </c>
      <c r="F69" s="3">
        <v>994.29</v>
      </c>
      <c r="G69" s="3">
        <v>13650.44</v>
      </c>
      <c r="H69" s="3">
        <v>4962.12</v>
      </c>
      <c r="I69" s="9">
        <f t="shared" si="4"/>
        <v>50197.950000000004</v>
      </c>
      <c r="J69" s="10">
        <f t="shared" si="5"/>
        <v>6.9661323896752716</v>
      </c>
    </row>
    <row r="70" spans="1:10" x14ac:dyDescent="0.3">
      <c r="A70" s="3" t="s">
        <v>104</v>
      </c>
      <c r="B70" s="3" t="s">
        <v>21</v>
      </c>
      <c r="C70" s="3">
        <v>8259</v>
      </c>
      <c r="D70" s="3">
        <v>27184.91</v>
      </c>
      <c r="E70" s="3">
        <v>8495.0300000000007</v>
      </c>
      <c r="F70" s="3">
        <v>2728.1</v>
      </c>
      <c r="G70" s="3">
        <v>15848.6</v>
      </c>
      <c r="H70" s="3">
        <v>3474.06</v>
      </c>
      <c r="I70" s="9">
        <f t="shared" si="4"/>
        <v>57730.7</v>
      </c>
      <c r="J70" s="10">
        <f t="shared" si="5"/>
        <v>6.9900351132098315</v>
      </c>
    </row>
    <row r="71" spans="1:10" x14ac:dyDescent="0.3">
      <c r="A71" s="3" t="s">
        <v>105</v>
      </c>
      <c r="B71" s="3" t="s">
        <v>55</v>
      </c>
      <c r="C71" s="3">
        <v>3397</v>
      </c>
      <c r="D71" s="3">
        <v>6948.19</v>
      </c>
      <c r="E71" s="3">
        <v>1834.91</v>
      </c>
      <c r="F71" s="3">
        <v>376</v>
      </c>
      <c r="G71" s="3">
        <v>1597.73</v>
      </c>
      <c r="H71" s="3">
        <v>1567.29</v>
      </c>
      <c r="I71" s="9">
        <f t="shared" si="4"/>
        <v>12324.119999999999</v>
      </c>
      <c r="J71" s="10">
        <f t="shared" si="5"/>
        <v>3.6279423020312036</v>
      </c>
    </row>
    <row r="72" spans="1:10" x14ac:dyDescent="0.3">
      <c r="A72" s="3" t="s">
        <v>106</v>
      </c>
      <c r="B72" s="3" t="s">
        <v>40</v>
      </c>
      <c r="C72" s="3">
        <v>5249</v>
      </c>
      <c r="D72" s="3">
        <v>21635.37</v>
      </c>
      <c r="E72" s="3">
        <v>2201.46</v>
      </c>
      <c r="F72" s="3">
        <v>1736.43</v>
      </c>
      <c r="G72" s="3">
        <v>4866.12</v>
      </c>
      <c r="H72" s="3">
        <v>2506.84</v>
      </c>
      <c r="I72" s="9">
        <f t="shared" si="4"/>
        <v>32946.22</v>
      </c>
      <c r="J72" s="10">
        <f t="shared" si="5"/>
        <v>6.276666031625072</v>
      </c>
    </row>
    <row r="73" spans="1:10" x14ac:dyDescent="0.3">
      <c r="A73" s="3" t="s">
        <v>107</v>
      </c>
      <c r="B73" s="3" t="s">
        <v>28</v>
      </c>
      <c r="C73" s="3">
        <v>11147</v>
      </c>
      <c r="D73" s="3">
        <v>23906.54</v>
      </c>
      <c r="E73" s="3">
        <v>16196.65</v>
      </c>
      <c r="F73" s="3">
        <v>876.76</v>
      </c>
      <c r="G73" s="3">
        <v>11220.27</v>
      </c>
      <c r="H73" s="3">
        <v>3436.58</v>
      </c>
      <c r="I73" s="9">
        <f t="shared" si="4"/>
        <v>55636.800000000003</v>
      </c>
      <c r="J73" s="10">
        <f t="shared" si="5"/>
        <v>4.9911904548308961</v>
      </c>
    </row>
    <row r="74" spans="1:10" x14ac:dyDescent="0.3">
      <c r="A74" s="3" t="s">
        <v>108</v>
      </c>
      <c r="B74" s="3" t="s">
        <v>55</v>
      </c>
      <c r="C74" s="3">
        <v>5550</v>
      </c>
      <c r="D74" s="3">
        <v>15497.45</v>
      </c>
      <c r="E74" s="3">
        <v>2288.86</v>
      </c>
      <c r="F74" s="3">
        <v>573.98</v>
      </c>
      <c r="G74" s="3">
        <v>7560.39</v>
      </c>
      <c r="H74" s="3">
        <v>2302.63</v>
      </c>
      <c r="I74" s="9">
        <f t="shared" si="4"/>
        <v>28223.31</v>
      </c>
      <c r="J74" s="10">
        <f t="shared" si="5"/>
        <v>5.0852810810810816</v>
      </c>
    </row>
    <row r="75" spans="1:10" x14ac:dyDescent="0.3">
      <c r="A75" s="3" t="s">
        <v>109</v>
      </c>
      <c r="B75" s="3" t="s">
        <v>55</v>
      </c>
      <c r="C75" s="3">
        <v>3211</v>
      </c>
      <c r="D75" s="3">
        <v>8562.83</v>
      </c>
      <c r="E75" s="3">
        <v>913.86</v>
      </c>
      <c r="F75" s="3">
        <v>447.5</v>
      </c>
      <c r="G75" s="3">
        <v>2990.35</v>
      </c>
      <c r="H75" s="3">
        <v>1848.56</v>
      </c>
      <c r="I75" s="9">
        <f t="shared" si="4"/>
        <v>14763.1</v>
      </c>
      <c r="J75" s="10">
        <f t="shared" si="5"/>
        <v>4.5976642790407976</v>
      </c>
    </row>
    <row r="76" spans="1:10" x14ac:dyDescent="0.3">
      <c r="A76" s="3" t="s">
        <v>110</v>
      </c>
      <c r="B76" s="3" t="s">
        <v>66</v>
      </c>
      <c r="C76" s="3">
        <v>6581</v>
      </c>
      <c r="D76" s="3">
        <v>26468.03</v>
      </c>
      <c r="E76" s="3">
        <v>4473.84</v>
      </c>
      <c r="F76" s="3">
        <v>2427.9499999999998</v>
      </c>
      <c r="G76" s="3">
        <v>7183.93</v>
      </c>
      <c r="H76" s="3">
        <v>3349.55</v>
      </c>
      <c r="I76" s="9">
        <f t="shared" si="4"/>
        <v>43903.3</v>
      </c>
      <c r="J76" s="10">
        <f t="shared" si="5"/>
        <v>6.6712201793040578</v>
      </c>
    </row>
    <row r="77" spans="1:10" x14ac:dyDescent="0.3">
      <c r="A77" s="3" t="s">
        <v>111</v>
      </c>
      <c r="B77" s="3" t="s">
        <v>21</v>
      </c>
      <c r="C77" s="3">
        <v>6764</v>
      </c>
      <c r="D77" s="3">
        <v>14592.45</v>
      </c>
      <c r="E77" s="3">
        <v>9578.67</v>
      </c>
      <c r="F77" s="3">
        <v>990.84</v>
      </c>
      <c r="G77" s="3">
        <v>4520.78</v>
      </c>
      <c r="H77" s="3">
        <v>1767.62</v>
      </c>
      <c r="I77" s="9">
        <f t="shared" si="4"/>
        <v>31450.36</v>
      </c>
      <c r="J77" s="10">
        <f t="shared" si="5"/>
        <v>4.6496688350088702</v>
      </c>
    </row>
    <row r="78" spans="1:10" x14ac:dyDescent="0.3">
      <c r="A78" s="3" t="s">
        <v>112</v>
      </c>
      <c r="B78" s="3" t="s">
        <v>28</v>
      </c>
      <c r="C78" s="3">
        <v>5915</v>
      </c>
      <c r="D78" s="3">
        <v>15330.34</v>
      </c>
      <c r="E78" s="3">
        <v>6528.1</v>
      </c>
      <c r="F78" s="3">
        <v>374.51</v>
      </c>
      <c r="G78" s="3">
        <v>5385.13</v>
      </c>
      <c r="H78" s="3">
        <v>3166.55</v>
      </c>
      <c r="I78" s="9">
        <f t="shared" si="4"/>
        <v>30784.63</v>
      </c>
      <c r="J78" s="10">
        <f t="shared" si="5"/>
        <v>5.204502113271344</v>
      </c>
    </row>
    <row r="79" spans="1:10" x14ac:dyDescent="0.3">
      <c r="A79" s="3" t="s">
        <v>113</v>
      </c>
      <c r="B79" s="3" t="s">
        <v>40</v>
      </c>
      <c r="C79" s="3">
        <v>6509</v>
      </c>
      <c r="D79" s="3">
        <v>11102.02</v>
      </c>
      <c r="E79" s="3">
        <v>8017.08</v>
      </c>
      <c r="F79" s="3">
        <v>2321.5500000000002</v>
      </c>
      <c r="G79" s="3">
        <v>6251.18</v>
      </c>
      <c r="H79" s="3">
        <v>4232.66</v>
      </c>
      <c r="I79" s="9">
        <f t="shared" si="4"/>
        <v>31924.489999999998</v>
      </c>
      <c r="J79" s="10">
        <f t="shared" si="5"/>
        <v>4.9046689199569826</v>
      </c>
    </row>
    <row r="80" spans="1:10" x14ac:dyDescent="0.3">
      <c r="A80" s="3" t="s">
        <v>114</v>
      </c>
      <c r="B80" s="3" t="s">
        <v>66</v>
      </c>
      <c r="C80" s="3">
        <v>7516</v>
      </c>
      <c r="D80" s="3">
        <v>35172.26</v>
      </c>
      <c r="E80" s="3">
        <v>10434.129999999999</v>
      </c>
      <c r="F80" s="3">
        <v>1614.32</v>
      </c>
      <c r="G80" s="3">
        <v>8485.19</v>
      </c>
      <c r="H80" s="3">
        <v>3807.03</v>
      </c>
      <c r="I80" s="9">
        <f t="shared" si="4"/>
        <v>59512.93</v>
      </c>
      <c r="J80" s="10">
        <f t="shared" si="5"/>
        <v>7.9181652474720599</v>
      </c>
    </row>
    <row r="81" spans="1:10" x14ac:dyDescent="0.3">
      <c r="A81" s="3" t="s">
        <v>115</v>
      </c>
      <c r="B81" s="3" t="s">
        <v>25</v>
      </c>
      <c r="C81" s="3">
        <v>1732</v>
      </c>
      <c r="D81" s="3">
        <v>2630.08</v>
      </c>
      <c r="E81" s="3">
        <v>2556.17</v>
      </c>
      <c r="F81" s="3">
        <v>97.91</v>
      </c>
      <c r="G81" s="3">
        <v>3906.3</v>
      </c>
      <c r="H81" s="3">
        <v>939.84</v>
      </c>
      <c r="I81" s="9">
        <f t="shared" si="4"/>
        <v>10130.299999999999</v>
      </c>
      <c r="J81" s="10">
        <f t="shared" si="5"/>
        <v>5.8489030023094681</v>
      </c>
    </row>
  </sheetData>
  <autoFilter ref="A1:J81" xr:uid="{00000000-0009-0000-0000-00000E000000}"/>
  <pageMargins left="0.75" right="0.75" top="1" bottom="1" header="0.5" footer="0.5"/>
  <pageSetup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0000"/>
    <pageSetUpPr fitToPage="1"/>
  </sheetPr>
  <dimension ref="A1:I81"/>
  <sheetViews>
    <sheetView showGridLines="0" workbookViewId="0">
      <pane ySplit="1" topLeftCell="A14" activePane="bottomLeft" state="frozen"/>
      <selection pane="bottomLeft"/>
    </sheetView>
  </sheetViews>
  <sheetFormatPr defaultRowHeight="14.4" x14ac:dyDescent="0.3"/>
  <cols>
    <col min="1" max="9" width="20" customWidth="1"/>
  </cols>
  <sheetData>
    <row r="1" spans="1:9" x14ac:dyDescent="0.3">
      <c r="A1" s="7" t="s">
        <v>1</v>
      </c>
      <c r="B1" s="7" t="s">
        <v>592</v>
      </c>
      <c r="C1" s="7" t="s">
        <v>593</v>
      </c>
      <c r="D1" s="7" t="s">
        <v>594</v>
      </c>
      <c r="E1" s="7" t="s">
        <v>595</v>
      </c>
      <c r="F1" s="7" t="s">
        <v>596</v>
      </c>
      <c r="G1" s="7" t="s">
        <v>597</v>
      </c>
      <c r="H1" s="7" t="s">
        <v>598</v>
      </c>
      <c r="I1" s="7" t="s">
        <v>599</v>
      </c>
    </row>
    <row r="2" spans="1:9" x14ac:dyDescent="0.3">
      <c r="A2" s="3" t="str">
        <f>Order_Sheet!A2</f>
        <v>SO-2026-0001</v>
      </c>
      <c r="B2" s="3">
        <f>IFERROR(VLOOKUP(A2,Order_Sheet!A:L,6,FALSE),"")</f>
        <v>5263</v>
      </c>
      <c r="C2" s="3">
        <f>IFERROR(SUMIF(PO_Tracker!C:C,A2,PO_Tracker!I:I),"")</f>
        <v>3058</v>
      </c>
      <c r="D2" s="3" t="str">
        <f>IFERROR(VLOOKUP(A2,Cost_Sheet!B:J,2,FALSE),"")</f>
        <v/>
      </c>
      <c r="E2" s="3" t="str">
        <f t="shared" ref="E2:E33" si="0">IF(OR(B2="",C2=""),"CHECK",IF(ABS(B2-C2)&lt;=B2*5%,"OK","QTY MISMATCH"))</f>
        <v>QTY MISMATCH</v>
      </c>
      <c r="F2" s="3" t="str">
        <f>IFERROR(IF(VLOOKUP(A2,Order_Sheet!A:L,4,FALSE)=INDEX(PO_Tracker!D:D,MATCH(A2,PO_Tracker!C:C,0)),"OK","STYLE MISMATCH"),"CHECK")</f>
        <v>OK</v>
      </c>
      <c r="G2" s="3" t="str">
        <f>IFERROR(IF(VLOOKUP(A2,Order_Sheet!A:L,8,FALSE)="USD","REVIEW FX","OK"),"CHECK")</f>
        <v>REVIEW FX</v>
      </c>
      <c r="H2" s="3" t="str">
        <f t="shared" ref="H2:H33" si="1">IF(COUNTIF(E2:G2,"*MISMATCH*")+COUNTIF(E2:G2,"CHECK")&gt;0,"ACTION REQUIRED","OK")</f>
        <v>ACTION REQUIRED</v>
      </c>
      <c r="I2" s="3" t="str">
        <f t="shared" ref="I2:I33" si="2">IF(H2="OK","No action","Review Order / PO / Cost Sheet")</f>
        <v>Review Order / PO / Cost Sheet</v>
      </c>
    </row>
    <row r="3" spans="1:9" x14ac:dyDescent="0.3">
      <c r="A3" s="3" t="str">
        <f>Order_Sheet!A3</f>
        <v>SO-2026-0002</v>
      </c>
      <c r="B3" s="3">
        <f>IFERROR(VLOOKUP(A3,Order_Sheet!A:L,6,FALSE),"")</f>
        <v>9914</v>
      </c>
      <c r="C3" s="3">
        <f>IFERROR(SUMIF(PO_Tracker!C:C,A3,PO_Tracker!I:I),"")</f>
        <v>15814</v>
      </c>
      <c r="D3" s="3" t="str">
        <f>IFERROR(VLOOKUP(A3,Cost_Sheet!B:J,2,FALSE),"")</f>
        <v/>
      </c>
      <c r="E3" s="3" t="str">
        <f t="shared" si="0"/>
        <v>QTY MISMATCH</v>
      </c>
      <c r="F3" s="3" t="str">
        <f>IFERROR(IF(VLOOKUP(A3,Order_Sheet!A:L,4,FALSE)=INDEX(PO_Tracker!D:D,MATCH(A3,PO_Tracker!C:C,0)),"OK","STYLE MISMATCH"),"CHECK")</f>
        <v>OK</v>
      </c>
      <c r="G3" s="3" t="str">
        <f>IFERROR(IF(VLOOKUP(A3,Order_Sheet!A:L,8,FALSE)="USD","REVIEW FX","OK"),"CHECK")</f>
        <v>REVIEW FX</v>
      </c>
      <c r="H3" s="3" t="str">
        <f t="shared" si="1"/>
        <v>ACTION REQUIRED</v>
      </c>
      <c r="I3" s="3" t="str">
        <f t="shared" si="2"/>
        <v>Review Order / PO / Cost Sheet</v>
      </c>
    </row>
    <row r="4" spans="1:9" x14ac:dyDescent="0.3">
      <c r="A4" s="3" t="str">
        <f>Order_Sheet!A4</f>
        <v>SO-2026-0003</v>
      </c>
      <c r="B4" s="3">
        <f>IFERROR(VLOOKUP(A4,Order_Sheet!A:L,6,FALSE),"")</f>
        <v>1342</v>
      </c>
      <c r="C4" s="3">
        <f>IFERROR(SUMIF(PO_Tracker!C:C,A4,PO_Tracker!I:I),"")</f>
        <v>1638</v>
      </c>
      <c r="D4" s="3" t="str">
        <f>IFERROR(VLOOKUP(A4,Cost_Sheet!B:J,2,FALSE),"")</f>
        <v/>
      </c>
      <c r="E4" s="3" t="str">
        <f t="shared" si="0"/>
        <v>QTY MISMATCH</v>
      </c>
      <c r="F4" s="3" t="str">
        <f>IFERROR(IF(VLOOKUP(A4,Order_Sheet!A:L,4,FALSE)=INDEX(PO_Tracker!D:D,MATCH(A4,PO_Tracker!C:C,0)),"OK","STYLE MISMATCH"),"CHECK")</f>
        <v>OK</v>
      </c>
      <c r="G4" s="3" t="str">
        <f>IFERROR(IF(VLOOKUP(A4,Order_Sheet!A:L,8,FALSE)="USD","REVIEW FX","OK"),"CHECK")</f>
        <v>REVIEW FX</v>
      </c>
      <c r="H4" s="3" t="str">
        <f t="shared" si="1"/>
        <v>ACTION REQUIRED</v>
      </c>
      <c r="I4" s="3" t="str">
        <f t="shared" si="2"/>
        <v>Review Order / PO / Cost Sheet</v>
      </c>
    </row>
    <row r="5" spans="1:9" x14ac:dyDescent="0.3">
      <c r="A5" s="3" t="str">
        <f>Order_Sheet!A5</f>
        <v>SO-2026-0004</v>
      </c>
      <c r="B5" s="3">
        <f>IFERROR(VLOOKUP(A5,Order_Sheet!A:L,6,FALSE),"")</f>
        <v>5769</v>
      </c>
      <c r="C5" s="3">
        <f>IFERROR(SUMIF(PO_Tracker!C:C,A5,PO_Tracker!I:I),"")</f>
        <v>69247</v>
      </c>
      <c r="D5" s="3" t="str">
        <f>IFERROR(VLOOKUP(A5,Cost_Sheet!B:J,2,FALSE),"")</f>
        <v/>
      </c>
      <c r="E5" s="3" t="str">
        <f t="shared" si="0"/>
        <v>QTY MISMATCH</v>
      </c>
      <c r="F5" s="3" t="str">
        <f>IFERROR(IF(VLOOKUP(A5,Order_Sheet!A:L,4,FALSE)=INDEX(PO_Tracker!D:D,MATCH(A5,PO_Tracker!C:C,0)),"OK","STYLE MISMATCH"),"CHECK")</f>
        <v>OK</v>
      </c>
      <c r="G5" s="3" t="str">
        <f>IFERROR(IF(VLOOKUP(A5,Order_Sheet!A:L,8,FALSE)="USD","REVIEW FX","OK"),"CHECK")</f>
        <v>REVIEW FX</v>
      </c>
      <c r="H5" s="3" t="str">
        <f t="shared" si="1"/>
        <v>ACTION REQUIRED</v>
      </c>
      <c r="I5" s="3" t="str">
        <f t="shared" si="2"/>
        <v>Review Order / PO / Cost Sheet</v>
      </c>
    </row>
    <row r="6" spans="1:9" x14ac:dyDescent="0.3">
      <c r="A6" s="3" t="str">
        <f>Order_Sheet!A6</f>
        <v>SO-2026-0005</v>
      </c>
      <c r="B6" s="3">
        <f>IFERROR(VLOOKUP(A6,Order_Sheet!A:L,6,FALSE),"")</f>
        <v>11218</v>
      </c>
      <c r="C6" s="3">
        <f>IFERROR(SUMIF(PO_Tracker!C:C,A6,PO_Tracker!I:I),"")</f>
        <v>75974</v>
      </c>
      <c r="D6" s="3" t="str">
        <f>IFERROR(VLOOKUP(A6,Cost_Sheet!B:J,2,FALSE),"")</f>
        <v/>
      </c>
      <c r="E6" s="3" t="str">
        <f t="shared" si="0"/>
        <v>QTY MISMATCH</v>
      </c>
      <c r="F6" s="3" t="str">
        <f>IFERROR(IF(VLOOKUP(A6,Order_Sheet!A:L,4,FALSE)=INDEX(PO_Tracker!D:D,MATCH(A6,PO_Tracker!C:C,0)),"OK","STYLE MISMATCH"),"CHECK")</f>
        <v>OK</v>
      </c>
      <c r="G6" s="3" t="str">
        <f>IFERROR(IF(VLOOKUP(A6,Order_Sheet!A:L,8,FALSE)="USD","REVIEW FX","OK"),"CHECK")</f>
        <v>REVIEW FX</v>
      </c>
      <c r="H6" s="3" t="str">
        <f t="shared" si="1"/>
        <v>ACTION REQUIRED</v>
      </c>
      <c r="I6" s="3" t="str">
        <f t="shared" si="2"/>
        <v>Review Order / PO / Cost Sheet</v>
      </c>
    </row>
    <row r="7" spans="1:9" x14ac:dyDescent="0.3">
      <c r="A7" s="3" t="str">
        <f>Order_Sheet!A7</f>
        <v>SO-2026-0006</v>
      </c>
      <c r="B7" s="3">
        <f>IFERROR(VLOOKUP(A7,Order_Sheet!A:L,6,FALSE),"")</f>
        <v>4306</v>
      </c>
      <c r="C7" s="3">
        <f>IFERROR(SUMIF(PO_Tracker!C:C,A7,PO_Tracker!I:I),"")</f>
        <v>7560</v>
      </c>
      <c r="D7" s="3" t="str">
        <f>IFERROR(VLOOKUP(A7,Cost_Sheet!B:J,2,FALSE),"")</f>
        <v/>
      </c>
      <c r="E7" s="3" t="str">
        <f t="shared" si="0"/>
        <v>QTY MISMATCH</v>
      </c>
      <c r="F7" s="3" t="str">
        <f>IFERROR(IF(VLOOKUP(A7,Order_Sheet!A:L,4,FALSE)=INDEX(PO_Tracker!D:D,MATCH(A7,PO_Tracker!C:C,0)),"OK","STYLE MISMATCH"),"CHECK")</f>
        <v>OK</v>
      </c>
      <c r="G7" s="3" t="str">
        <f>IFERROR(IF(VLOOKUP(A7,Order_Sheet!A:L,8,FALSE)="USD","REVIEW FX","OK"),"CHECK")</f>
        <v>REVIEW FX</v>
      </c>
      <c r="H7" s="3" t="str">
        <f t="shared" si="1"/>
        <v>ACTION REQUIRED</v>
      </c>
      <c r="I7" s="3" t="str">
        <f t="shared" si="2"/>
        <v>Review Order / PO / Cost Sheet</v>
      </c>
    </row>
    <row r="8" spans="1:9" x14ac:dyDescent="0.3">
      <c r="A8" s="3" t="str">
        <f>Order_Sheet!A8</f>
        <v>SO-2026-0007</v>
      </c>
      <c r="B8" s="3">
        <f>IFERROR(VLOOKUP(A8,Order_Sheet!A:L,6,FALSE),"")</f>
        <v>4961</v>
      </c>
      <c r="C8" s="3">
        <f>IFERROR(SUMIF(PO_Tracker!C:C,A8,PO_Tracker!I:I),"")</f>
        <v>198755</v>
      </c>
      <c r="D8" s="3" t="str">
        <f>IFERROR(VLOOKUP(A8,Cost_Sheet!B:J,2,FALSE),"")</f>
        <v/>
      </c>
      <c r="E8" s="3" t="str">
        <f t="shared" si="0"/>
        <v>QTY MISMATCH</v>
      </c>
      <c r="F8" s="3" t="str">
        <f>IFERROR(IF(VLOOKUP(A8,Order_Sheet!A:L,4,FALSE)=INDEX(PO_Tracker!D:D,MATCH(A8,PO_Tracker!C:C,0)),"OK","STYLE MISMATCH"),"CHECK")</f>
        <v>OK</v>
      </c>
      <c r="G8" s="3" t="str">
        <f>IFERROR(IF(VLOOKUP(A8,Order_Sheet!A:L,8,FALSE)="USD","REVIEW FX","OK"),"CHECK")</f>
        <v>REVIEW FX</v>
      </c>
      <c r="H8" s="3" t="str">
        <f t="shared" si="1"/>
        <v>ACTION REQUIRED</v>
      </c>
      <c r="I8" s="3" t="str">
        <f t="shared" si="2"/>
        <v>Review Order / PO / Cost Sheet</v>
      </c>
    </row>
    <row r="9" spans="1:9" x14ac:dyDescent="0.3">
      <c r="A9" s="3" t="str">
        <f>Order_Sheet!A9</f>
        <v>SO-2026-0008</v>
      </c>
      <c r="B9" s="3">
        <f>IFERROR(VLOOKUP(A9,Order_Sheet!A:L,6,FALSE),"")</f>
        <v>9075</v>
      </c>
      <c r="C9" s="3">
        <f>IFERROR(SUMIF(PO_Tracker!C:C,A9,PO_Tracker!I:I),"")</f>
        <v>0</v>
      </c>
      <c r="D9" s="3" t="str">
        <f>IFERROR(VLOOKUP(A9,Cost_Sheet!B:J,2,FALSE),"")</f>
        <v/>
      </c>
      <c r="E9" s="3" t="str">
        <f t="shared" si="0"/>
        <v>QTY MISMATCH</v>
      </c>
      <c r="F9" s="3" t="str">
        <f>IFERROR(IF(VLOOKUP(A9,Order_Sheet!A:L,4,FALSE)=INDEX(PO_Tracker!D:D,MATCH(A9,PO_Tracker!C:C,0)),"OK","STYLE MISMATCH"),"CHECK")</f>
        <v>CHECK</v>
      </c>
      <c r="G9" s="3" t="str">
        <f>IFERROR(IF(VLOOKUP(A9,Order_Sheet!A:L,8,FALSE)="USD","REVIEW FX","OK"),"CHECK")</f>
        <v>REVIEW FX</v>
      </c>
      <c r="H9" s="3" t="str">
        <f t="shared" si="1"/>
        <v>ACTION REQUIRED</v>
      </c>
      <c r="I9" s="3" t="str">
        <f t="shared" si="2"/>
        <v>Review Order / PO / Cost Sheet</v>
      </c>
    </row>
    <row r="10" spans="1:9" x14ac:dyDescent="0.3">
      <c r="A10" s="3" t="str">
        <f>Order_Sheet!A10</f>
        <v>SO-2026-0009</v>
      </c>
      <c r="B10" s="3">
        <f>IFERROR(VLOOKUP(A10,Order_Sheet!A:L,6,FALSE),"")</f>
        <v>2613</v>
      </c>
      <c r="C10" s="3">
        <f>IFERROR(SUMIF(PO_Tracker!C:C,A10,PO_Tracker!I:I),"")</f>
        <v>20099</v>
      </c>
      <c r="D10" s="3" t="str">
        <f>IFERROR(VLOOKUP(A10,Cost_Sheet!B:J,2,FALSE),"")</f>
        <v/>
      </c>
      <c r="E10" s="3" t="str">
        <f t="shared" si="0"/>
        <v>QTY MISMATCH</v>
      </c>
      <c r="F10" s="3" t="str">
        <f>IFERROR(IF(VLOOKUP(A10,Order_Sheet!A:L,4,FALSE)=INDEX(PO_Tracker!D:D,MATCH(A10,PO_Tracker!C:C,0)),"OK","STYLE MISMATCH"),"CHECK")</f>
        <v>OK</v>
      </c>
      <c r="G10" s="3" t="str">
        <f>IFERROR(IF(VLOOKUP(A10,Order_Sheet!A:L,8,FALSE)="USD","REVIEW FX","OK"),"CHECK")</f>
        <v>REVIEW FX</v>
      </c>
      <c r="H10" s="3" t="str">
        <f t="shared" si="1"/>
        <v>ACTION REQUIRED</v>
      </c>
      <c r="I10" s="3" t="str">
        <f t="shared" si="2"/>
        <v>Review Order / PO / Cost Sheet</v>
      </c>
    </row>
    <row r="11" spans="1:9" x14ac:dyDescent="0.3">
      <c r="A11" s="3" t="str">
        <f>Order_Sheet!A11</f>
        <v>SO-2026-0010</v>
      </c>
      <c r="B11" s="3">
        <f>IFERROR(VLOOKUP(A11,Order_Sheet!A:L,6,FALSE),"")</f>
        <v>5933</v>
      </c>
      <c r="C11" s="3">
        <f>IFERROR(SUMIF(PO_Tracker!C:C,A11,PO_Tracker!I:I),"")</f>
        <v>80676</v>
      </c>
      <c r="D11" s="3" t="str">
        <f>IFERROR(VLOOKUP(A11,Cost_Sheet!B:J,2,FALSE),"")</f>
        <v/>
      </c>
      <c r="E11" s="3" t="str">
        <f t="shared" si="0"/>
        <v>QTY MISMATCH</v>
      </c>
      <c r="F11" s="3" t="str">
        <f>IFERROR(IF(VLOOKUP(A11,Order_Sheet!A:L,4,FALSE)=INDEX(PO_Tracker!D:D,MATCH(A11,PO_Tracker!C:C,0)),"OK","STYLE MISMATCH"),"CHECK")</f>
        <v>OK</v>
      </c>
      <c r="G11" s="3" t="str">
        <f>IFERROR(IF(VLOOKUP(A11,Order_Sheet!A:L,8,FALSE)="USD","REVIEW FX","OK"),"CHECK")</f>
        <v>REVIEW FX</v>
      </c>
      <c r="H11" s="3" t="str">
        <f t="shared" si="1"/>
        <v>ACTION REQUIRED</v>
      </c>
      <c r="I11" s="3" t="str">
        <f t="shared" si="2"/>
        <v>Review Order / PO / Cost Sheet</v>
      </c>
    </row>
    <row r="12" spans="1:9" x14ac:dyDescent="0.3">
      <c r="A12" s="3" t="str">
        <f>Order_Sheet!A12</f>
        <v>SO-2026-0011</v>
      </c>
      <c r="B12" s="3">
        <f>IFERROR(VLOOKUP(A12,Order_Sheet!A:L,6,FALSE),"")</f>
        <v>3043</v>
      </c>
      <c r="C12" s="3">
        <f>IFERROR(SUMIF(PO_Tracker!C:C,A12,PO_Tracker!I:I),"")</f>
        <v>66066</v>
      </c>
      <c r="D12" s="3" t="str">
        <f>IFERROR(VLOOKUP(A12,Cost_Sheet!B:J,2,FALSE),"")</f>
        <v/>
      </c>
      <c r="E12" s="3" t="str">
        <f t="shared" si="0"/>
        <v>QTY MISMATCH</v>
      </c>
      <c r="F12" s="3" t="str">
        <f>IFERROR(IF(VLOOKUP(A12,Order_Sheet!A:L,4,FALSE)=INDEX(PO_Tracker!D:D,MATCH(A12,PO_Tracker!C:C,0)),"OK","STYLE MISMATCH"),"CHECK")</f>
        <v>OK</v>
      </c>
      <c r="G12" s="3" t="str">
        <f>IFERROR(IF(VLOOKUP(A12,Order_Sheet!A:L,8,FALSE)="USD","REVIEW FX","OK"),"CHECK")</f>
        <v>REVIEW FX</v>
      </c>
      <c r="H12" s="3" t="str">
        <f t="shared" si="1"/>
        <v>ACTION REQUIRED</v>
      </c>
      <c r="I12" s="3" t="str">
        <f t="shared" si="2"/>
        <v>Review Order / PO / Cost Sheet</v>
      </c>
    </row>
    <row r="13" spans="1:9" x14ac:dyDescent="0.3">
      <c r="A13" s="3" t="str">
        <f>Order_Sheet!A13</f>
        <v>SO-2026-0012</v>
      </c>
      <c r="B13" s="3">
        <f>IFERROR(VLOOKUP(A13,Order_Sheet!A:L,6,FALSE),"")</f>
        <v>7152</v>
      </c>
      <c r="C13" s="3">
        <f>IFERROR(SUMIF(PO_Tracker!C:C,A13,PO_Tracker!I:I),"")</f>
        <v>37697</v>
      </c>
      <c r="D13" s="3" t="str">
        <f>IFERROR(VLOOKUP(A13,Cost_Sheet!B:J,2,FALSE),"")</f>
        <v/>
      </c>
      <c r="E13" s="3" t="str">
        <f t="shared" si="0"/>
        <v>QTY MISMATCH</v>
      </c>
      <c r="F13" s="3" t="str">
        <f>IFERROR(IF(VLOOKUP(A13,Order_Sheet!A:L,4,FALSE)=INDEX(PO_Tracker!D:D,MATCH(A13,PO_Tracker!C:C,0)),"OK","STYLE MISMATCH"),"CHECK")</f>
        <v>OK</v>
      </c>
      <c r="G13" s="3" t="str">
        <f>IFERROR(IF(VLOOKUP(A13,Order_Sheet!A:L,8,FALSE)="USD","REVIEW FX","OK"),"CHECK")</f>
        <v>REVIEW FX</v>
      </c>
      <c r="H13" s="3" t="str">
        <f t="shared" si="1"/>
        <v>ACTION REQUIRED</v>
      </c>
      <c r="I13" s="3" t="str">
        <f t="shared" si="2"/>
        <v>Review Order / PO / Cost Sheet</v>
      </c>
    </row>
    <row r="14" spans="1:9" x14ac:dyDescent="0.3">
      <c r="A14" s="3" t="str">
        <f>Order_Sheet!A14</f>
        <v>SO-2026-0013</v>
      </c>
      <c r="B14" s="3">
        <f>IFERROR(VLOOKUP(A14,Order_Sheet!A:L,6,FALSE),"")</f>
        <v>10256</v>
      </c>
      <c r="C14" s="3">
        <f>IFERROR(SUMIF(PO_Tracker!C:C,A14,PO_Tracker!I:I),"")</f>
        <v>74125</v>
      </c>
      <c r="D14" s="3" t="str">
        <f>IFERROR(VLOOKUP(A14,Cost_Sheet!B:J,2,FALSE),"")</f>
        <v/>
      </c>
      <c r="E14" s="3" t="str">
        <f t="shared" si="0"/>
        <v>QTY MISMATCH</v>
      </c>
      <c r="F14" s="3" t="str">
        <f>IFERROR(IF(VLOOKUP(A14,Order_Sheet!A:L,4,FALSE)=INDEX(PO_Tracker!D:D,MATCH(A14,PO_Tracker!C:C,0)),"OK","STYLE MISMATCH"),"CHECK")</f>
        <v>OK</v>
      </c>
      <c r="G14" s="3" t="str">
        <f>IFERROR(IF(VLOOKUP(A14,Order_Sheet!A:L,8,FALSE)="USD","REVIEW FX","OK"),"CHECK")</f>
        <v>REVIEW FX</v>
      </c>
      <c r="H14" s="3" t="str">
        <f t="shared" si="1"/>
        <v>ACTION REQUIRED</v>
      </c>
      <c r="I14" s="3" t="str">
        <f t="shared" si="2"/>
        <v>Review Order / PO / Cost Sheet</v>
      </c>
    </row>
    <row r="15" spans="1:9" x14ac:dyDescent="0.3">
      <c r="A15" s="3" t="str">
        <f>Order_Sheet!A15</f>
        <v>SO-2026-0014</v>
      </c>
      <c r="B15" s="3">
        <f>IFERROR(VLOOKUP(A15,Order_Sheet!A:L,6,FALSE),"")</f>
        <v>5526</v>
      </c>
      <c r="C15" s="3">
        <f>IFERROR(SUMIF(PO_Tracker!C:C,A15,PO_Tracker!I:I),"")</f>
        <v>2092</v>
      </c>
      <c r="D15" s="3" t="str">
        <f>IFERROR(VLOOKUP(A15,Cost_Sheet!B:J,2,FALSE),"")</f>
        <v/>
      </c>
      <c r="E15" s="3" t="str">
        <f t="shared" si="0"/>
        <v>QTY MISMATCH</v>
      </c>
      <c r="F15" s="3" t="str">
        <f>IFERROR(IF(VLOOKUP(A15,Order_Sheet!A:L,4,FALSE)=INDEX(PO_Tracker!D:D,MATCH(A15,PO_Tracker!C:C,0)),"OK","STYLE MISMATCH"),"CHECK")</f>
        <v>OK</v>
      </c>
      <c r="G15" s="3" t="str">
        <f>IFERROR(IF(VLOOKUP(A15,Order_Sheet!A:L,8,FALSE)="USD","REVIEW FX","OK"),"CHECK")</f>
        <v>REVIEW FX</v>
      </c>
      <c r="H15" s="3" t="str">
        <f t="shared" si="1"/>
        <v>ACTION REQUIRED</v>
      </c>
      <c r="I15" s="3" t="str">
        <f t="shared" si="2"/>
        <v>Review Order / PO / Cost Sheet</v>
      </c>
    </row>
    <row r="16" spans="1:9" x14ac:dyDescent="0.3">
      <c r="A16" s="3" t="str">
        <f>Order_Sheet!A16</f>
        <v>SO-2026-0015</v>
      </c>
      <c r="B16" s="3">
        <f>IFERROR(VLOOKUP(A16,Order_Sheet!A:L,6,FALSE),"")</f>
        <v>3355</v>
      </c>
      <c r="C16" s="3">
        <f>IFERROR(SUMIF(PO_Tracker!C:C,A16,PO_Tracker!I:I),"")</f>
        <v>99531</v>
      </c>
      <c r="D16" s="3" t="str">
        <f>IFERROR(VLOOKUP(A16,Cost_Sheet!B:J,2,FALSE),"")</f>
        <v/>
      </c>
      <c r="E16" s="3" t="str">
        <f t="shared" si="0"/>
        <v>QTY MISMATCH</v>
      </c>
      <c r="F16" s="3" t="str">
        <f>IFERROR(IF(VLOOKUP(A16,Order_Sheet!A:L,4,FALSE)=INDEX(PO_Tracker!D:D,MATCH(A16,PO_Tracker!C:C,0)),"OK","STYLE MISMATCH"),"CHECK")</f>
        <v>OK</v>
      </c>
      <c r="G16" s="3" t="str">
        <f>IFERROR(IF(VLOOKUP(A16,Order_Sheet!A:L,8,FALSE)="USD","REVIEW FX","OK"),"CHECK")</f>
        <v>REVIEW FX</v>
      </c>
      <c r="H16" s="3" t="str">
        <f t="shared" si="1"/>
        <v>ACTION REQUIRED</v>
      </c>
      <c r="I16" s="3" t="str">
        <f t="shared" si="2"/>
        <v>Review Order / PO / Cost Sheet</v>
      </c>
    </row>
    <row r="17" spans="1:9" x14ac:dyDescent="0.3">
      <c r="A17" s="3" t="str">
        <f>Order_Sheet!A17</f>
        <v>SO-2026-0016</v>
      </c>
      <c r="B17" s="3">
        <f>IFERROR(VLOOKUP(A17,Order_Sheet!A:L,6,FALSE),"")</f>
        <v>10419</v>
      </c>
      <c r="C17" s="3">
        <f>IFERROR(SUMIF(PO_Tracker!C:C,A17,PO_Tracker!I:I),"")</f>
        <v>72259</v>
      </c>
      <c r="D17" s="3" t="str">
        <f>IFERROR(VLOOKUP(A17,Cost_Sheet!B:J,2,FALSE),"")</f>
        <v/>
      </c>
      <c r="E17" s="3" t="str">
        <f t="shared" si="0"/>
        <v>QTY MISMATCH</v>
      </c>
      <c r="F17" s="3" t="str">
        <f>IFERROR(IF(VLOOKUP(A17,Order_Sheet!A:L,4,FALSE)=INDEX(PO_Tracker!D:D,MATCH(A17,PO_Tracker!C:C,0)),"OK","STYLE MISMATCH"),"CHECK")</f>
        <v>OK</v>
      </c>
      <c r="G17" s="3" t="str">
        <f>IFERROR(IF(VLOOKUP(A17,Order_Sheet!A:L,8,FALSE)="USD","REVIEW FX","OK"),"CHECK")</f>
        <v>REVIEW FX</v>
      </c>
      <c r="H17" s="3" t="str">
        <f t="shared" si="1"/>
        <v>ACTION REQUIRED</v>
      </c>
      <c r="I17" s="3" t="str">
        <f t="shared" si="2"/>
        <v>Review Order / PO / Cost Sheet</v>
      </c>
    </row>
    <row r="18" spans="1:9" x14ac:dyDescent="0.3">
      <c r="A18" s="3" t="str">
        <f>Order_Sheet!A18</f>
        <v>SO-2026-0017</v>
      </c>
      <c r="B18" s="3">
        <f>IFERROR(VLOOKUP(A18,Order_Sheet!A:L,6,FALSE),"")</f>
        <v>2668</v>
      </c>
      <c r="C18" s="3">
        <f>IFERROR(SUMIF(PO_Tracker!C:C,A18,PO_Tracker!I:I),"")</f>
        <v>4904</v>
      </c>
      <c r="D18" s="3" t="str">
        <f>IFERROR(VLOOKUP(A18,Cost_Sheet!B:J,2,FALSE),"")</f>
        <v/>
      </c>
      <c r="E18" s="3" t="str">
        <f t="shared" si="0"/>
        <v>QTY MISMATCH</v>
      </c>
      <c r="F18" s="3" t="str">
        <f>IFERROR(IF(VLOOKUP(A18,Order_Sheet!A:L,4,FALSE)=INDEX(PO_Tracker!D:D,MATCH(A18,PO_Tracker!C:C,0)),"OK","STYLE MISMATCH"),"CHECK")</f>
        <v>OK</v>
      </c>
      <c r="G18" s="3" t="str">
        <f>IFERROR(IF(VLOOKUP(A18,Order_Sheet!A:L,8,FALSE)="USD","REVIEW FX","OK"),"CHECK")</f>
        <v>REVIEW FX</v>
      </c>
      <c r="H18" s="3" t="str">
        <f t="shared" si="1"/>
        <v>ACTION REQUIRED</v>
      </c>
      <c r="I18" s="3" t="str">
        <f t="shared" si="2"/>
        <v>Review Order / PO / Cost Sheet</v>
      </c>
    </row>
    <row r="19" spans="1:9" x14ac:dyDescent="0.3">
      <c r="A19" s="3" t="str">
        <f>Order_Sheet!A19</f>
        <v>SO-2026-0018</v>
      </c>
      <c r="B19" s="3">
        <f>IFERROR(VLOOKUP(A19,Order_Sheet!A:L,6,FALSE),"")</f>
        <v>9312</v>
      </c>
      <c r="C19" s="3">
        <f>IFERROR(SUMIF(PO_Tracker!C:C,A19,PO_Tracker!I:I),"")</f>
        <v>6282</v>
      </c>
      <c r="D19" s="3" t="str">
        <f>IFERROR(VLOOKUP(A19,Cost_Sheet!B:J,2,FALSE),"")</f>
        <v/>
      </c>
      <c r="E19" s="3" t="str">
        <f t="shared" si="0"/>
        <v>QTY MISMATCH</v>
      </c>
      <c r="F19" s="3" t="str">
        <f>IFERROR(IF(VLOOKUP(A19,Order_Sheet!A:L,4,FALSE)=INDEX(PO_Tracker!D:D,MATCH(A19,PO_Tracker!C:C,0)),"OK","STYLE MISMATCH"),"CHECK")</f>
        <v>OK</v>
      </c>
      <c r="G19" s="3" t="str">
        <f>IFERROR(IF(VLOOKUP(A19,Order_Sheet!A:L,8,FALSE)="USD","REVIEW FX","OK"),"CHECK")</f>
        <v>REVIEW FX</v>
      </c>
      <c r="H19" s="3" t="str">
        <f t="shared" si="1"/>
        <v>ACTION REQUIRED</v>
      </c>
      <c r="I19" s="3" t="str">
        <f t="shared" si="2"/>
        <v>Review Order / PO / Cost Sheet</v>
      </c>
    </row>
    <row r="20" spans="1:9" x14ac:dyDescent="0.3">
      <c r="A20" s="3" t="str">
        <f>Order_Sheet!A20</f>
        <v>SO-2026-0019</v>
      </c>
      <c r="B20" s="3">
        <f>IFERROR(VLOOKUP(A20,Order_Sheet!A:L,6,FALSE),"")</f>
        <v>9785</v>
      </c>
      <c r="C20" s="3">
        <f>IFERROR(SUMIF(PO_Tracker!C:C,A20,PO_Tracker!I:I),"")</f>
        <v>9776</v>
      </c>
      <c r="D20" s="3" t="str">
        <f>IFERROR(VLOOKUP(A20,Cost_Sheet!B:J,2,FALSE),"")</f>
        <v/>
      </c>
      <c r="E20" s="3" t="str">
        <f t="shared" si="0"/>
        <v>OK</v>
      </c>
      <c r="F20" s="3" t="str">
        <f>IFERROR(IF(VLOOKUP(A20,Order_Sheet!A:L,4,FALSE)=INDEX(PO_Tracker!D:D,MATCH(A20,PO_Tracker!C:C,0)),"OK","STYLE MISMATCH"),"CHECK")</f>
        <v>OK</v>
      </c>
      <c r="G20" s="3" t="str">
        <f>IFERROR(IF(VLOOKUP(A20,Order_Sheet!A:L,8,FALSE)="USD","REVIEW FX","OK"),"CHECK")</f>
        <v>REVIEW FX</v>
      </c>
      <c r="H20" s="3" t="str">
        <f t="shared" si="1"/>
        <v>OK</v>
      </c>
      <c r="I20" s="3" t="str">
        <f t="shared" si="2"/>
        <v>No action</v>
      </c>
    </row>
    <row r="21" spans="1:9" x14ac:dyDescent="0.3">
      <c r="A21" s="3" t="str">
        <f>Order_Sheet!A21</f>
        <v>SO-2026-0020</v>
      </c>
      <c r="B21" s="3">
        <f>IFERROR(VLOOKUP(A21,Order_Sheet!A:L,6,FALSE),"")</f>
        <v>4846</v>
      </c>
      <c r="C21" s="3">
        <f>IFERROR(SUMIF(PO_Tracker!C:C,A21,PO_Tracker!I:I),"")</f>
        <v>0</v>
      </c>
      <c r="D21" s="3" t="str">
        <f>IFERROR(VLOOKUP(A21,Cost_Sheet!B:J,2,FALSE),"")</f>
        <v/>
      </c>
      <c r="E21" s="3" t="str">
        <f t="shared" si="0"/>
        <v>QTY MISMATCH</v>
      </c>
      <c r="F21" s="3" t="str">
        <f>IFERROR(IF(VLOOKUP(A21,Order_Sheet!A:L,4,FALSE)=INDEX(PO_Tracker!D:D,MATCH(A21,PO_Tracker!C:C,0)),"OK","STYLE MISMATCH"),"CHECK")</f>
        <v>CHECK</v>
      </c>
      <c r="G21" s="3" t="str">
        <f>IFERROR(IF(VLOOKUP(A21,Order_Sheet!A:L,8,FALSE)="USD","REVIEW FX","OK"),"CHECK")</f>
        <v>REVIEW FX</v>
      </c>
      <c r="H21" s="3" t="str">
        <f t="shared" si="1"/>
        <v>ACTION REQUIRED</v>
      </c>
      <c r="I21" s="3" t="str">
        <f t="shared" si="2"/>
        <v>Review Order / PO / Cost Sheet</v>
      </c>
    </row>
    <row r="22" spans="1:9" x14ac:dyDescent="0.3">
      <c r="A22" s="3" t="str">
        <f>Order_Sheet!A22</f>
        <v>SO-2026-0021</v>
      </c>
      <c r="B22" s="3">
        <f>IFERROR(VLOOKUP(A22,Order_Sheet!A:L,6,FALSE),"")</f>
        <v>7858</v>
      </c>
      <c r="C22" s="3">
        <f>IFERROR(SUMIF(PO_Tracker!C:C,A22,PO_Tracker!I:I),"")</f>
        <v>254508</v>
      </c>
      <c r="D22" s="3" t="str">
        <f>IFERROR(VLOOKUP(A22,Cost_Sheet!B:J,2,FALSE),"")</f>
        <v/>
      </c>
      <c r="E22" s="3" t="str">
        <f t="shared" si="0"/>
        <v>QTY MISMATCH</v>
      </c>
      <c r="F22" s="3" t="str">
        <f>IFERROR(IF(VLOOKUP(A22,Order_Sheet!A:L,4,FALSE)=INDEX(PO_Tracker!D:D,MATCH(A22,PO_Tracker!C:C,0)),"OK","STYLE MISMATCH"),"CHECK")</f>
        <v>OK</v>
      </c>
      <c r="G22" s="3" t="str">
        <f>IFERROR(IF(VLOOKUP(A22,Order_Sheet!A:L,8,FALSE)="USD","REVIEW FX","OK"),"CHECK")</f>
        <v>REVIEW FX</v>
      </c>
      <c r="H22" s="3" t="str">
        <f t="shared" si="1"/>
        <v>ACTION REQUIRED</v>
      </c>
      <c r="I22" s="3" t="str">
        <f t="shared" si="2"/>
        <v>Review Order / PO / Cost Sheet</v>
      </c>
    </row>
    <row r="23" spans="1:9" x14ac:dyDescent="0.3">
      <c r="A23" s="3" t="str">
        <f>Order_Sheet!A23</f>
        <v>SO-2026-0022</v>
      </c>
      <c r="B23" s="3">
        <f>IFERROR(VLOOKUP(A23,Order_Sheet!A:L,6,FALSE),"")</f>
        <v>5048</v>
      </c>
      <c r="C23" s="3">
        <f>IFERROR(SUMIF(PO_Tracker!C:C,A23,PO_Tracker!I:I),"")</f>
        <v>5044</v>
      </c>
      <c r="D23" s="3" t="str">
        <f>IFERROR(VLOOKUP(A23,Cost_Sheet!B:J,2,FALSE),"")</f>
        <v/>
      </c>
      <c r="E23" s="3" t="str">
        <f t="shared" si="0"/>
        <v>OK</v>
      </c>
      <c r="F23" s="3" t="str">
        <f>IFERROR(IF(VLOOKUP(A23,Order_Sheet!A:L,4,FALSE)=INDEX(PO_Tracker!D:D,MATCH(A23,PO_Tracker!C:C,0)),"OK","STYLE MISMATCH"),"CHECK")</f>
        <v>OK</v>
      </c>
      <c r="G23" s="3" t="str">
        <f>IFERROR(IF(VLOOKUP(A23,Order_Sheet!A:L,8,FALSE)="USD","REVIEW FX","OK"),"CHECK")</f>
        <v>REVIEW FX</v>
      </c>
      <c r="H23" s="3" t="str">
        <f t="shared" si="1"/>
        <v>OK</v>
      </c>
      <c r="I23" s="3" t="str">
        <f t="shared" si="2"/>
        <v>No action</v>
      </c>
    </row>
    <row r="24" spans="1:9" x14ac:dyDescent="0.3">
      <c r="A24" s="3" t="str">
        <f>Order_Sheet!A24</f>
        <v>SO-2026-0023</v>
      </c>
      <c r="B24" s="3">
        <f>IFERROR(VLOOKUP(A24,Order_Sheet!A:L,6,FALSE),"")</f>
        <v>5182</v>
      </c>
      <c r="C24" s="3">
        <f>IFERROR(SUMIF(PO_Tracker!C:C,A24,PO_Tracker!I:I),"")</f>
        <v>57333</v>
      </c>
      <c r="D24" s="3" t="str">
        <f>IFERROR(VLOOKUP(A24,Cost_Sheet!B:J,2,FALSE),"")</f>
        <v/>
      </c>
      <c r="E24" s="3" t="str">
        <f t="shared" si="0"/>
        <v>QTY MISMATCH</v>
      </c>
      <c r="F24" s="3" t="str">
        <f>IFERROR(IF(VLOOKUP(A24,Order_Sheet!A:L,4,FALSE)=INDEX(PO_Tracker!D:D,MATCH(A24,PO_Tracker!C:C,0)),"OK","STYLE MISMATCH"),"CHECK")</f>
        <v>OK</v>
      </c>
      <c r="G24" s="3" t="str">
        <f>IFERROR(IF(VLOOKUP(A24,Order_Sheet!A:L,8,FALSE)="USD","REVIEW FX","OK"),"CHECK")</f>
        <v>REVIEW FX</v>
      </c>
      <c r="H24" s="3" t="str">
        <f t="shared" si="1"/>
        <v>ACTION REQUIRED</v>
      </c>
      <c r="I24" s="3" t="str">
        <f t="shared" si="2"/>
        <v>Review Order / PO / Cost Sheet</v>
      </c>
    </row>
    <row r="25" spans="1:9" x14ac:dyDescent="0.3">
      <c r="A25" s="3" t="str">
        <f>Order_Sheet!A25</f>
        <v>SO-2026-0024</v>
      </c>
      <c r="B25" s="3">
        <f>IFERROR(VLOOKUP(A25,Order_Sheet!A:L,6,FALSE),"")</f>
        <v>8093</v>
      </c>
      <c r="C25" s="3">
        <f>IFERROR(SUMIF(PO_Tracker!C:C,A25,PO_Tracker!I:I),"")</f>
        <v>207245</v>
      </c>
      <c r="D25" s="3" t="str">
        <f>IFERROR(VLOOKUP(A25,Cost_Sheet!B:J,2,FALSE),"")</f>
        <v/>
      </c>
      <c r="E25" s="3" t="str">
        <f t="shared" si="0"/>
        <v>QTY MISMATCH</v>
      </c>
      <c r="F25" s="3" t="str">
        <f>IFERROR(IF(VLOOKUP(A25,Order_Sheet!A:L,4,FALSE)=INDEX(PO_Tracker!D:D,MATCH(A25,PO_Tracker!C:C,0)),"OK","STYLE MISMATCH"),"CHECK")</f>
        <v>OK</v>
      </c>
      <c r="G25" s="3" t="str">
        <f>IFERROR(IF(VLOOKUP(A25,Order_Sheet!A:L,8,FALSE)="USD","REVIEW FX","OK"),"CHECK")</f>
        <v>REVIEW FX</v>
      </c>
      <c r="H25" s="3" t="str">
        <f t="shared" si="1"/>
        <v>ACTION REQUIRED</v>
      </c>
      <c r="I25" s="3" t="str">
        <f t="shared" si="2"/>
        <v>Review Order / PO / Cost Sheet</v>
      </c>
    </row>
    <row r="26" spans="1:9" x14ac:dyDescent="0.3">
      <c r="A26" s="3" t="str">
        <f>Order_Sheet!A26</f>
        <v>SO-2026-0025</v>
      </c>
      <c r="B26" s="3">
        <f>IFERROR(VLOOKUP(A26,Order_Sheet!A:L,6,FALSE),"")</f>
        <v>6759</v>
      </c>
      <c r="C26" s="3">
        <f>IFERROR(SUMIF(PO_Tracker!C:C,A26,PO_Tracker!I:I),"")</f>
        <v>101147</v>
      </c>
      <c r="D26" s="3" t="str">
        <f>IFERROR(VLOOKUP(A26,Cost_Sheet!B:J,2,FALSE),"")</f>
        <v/>
      </c>
      <c r="E26" s="3" t="str">
        <f t="shared" si="0"/>
        <v>QTY MISMATCH</v>
      </c>
      <c r="F26" s="3" t="str">
        <f>IFERROR(IF(VLOOKUP(A26,Order_Sheet!A:L,4,FALSE)=INDEX(PO_Tracker!D:D,MATCH(A26,PO_Tracker!C:C,0)),"OK","STYLE MISMATCH"),"CHECK")</f>
        <v>OK</v>
      </c>
      <c r="G26" s="3" t="str">
        <f>IFERROR(IF(VLOOKUP(A26,Order_Sheet!A:L,8,FALSE)="USD","REVIEW FX","OK"),"CHECK")</f>
        <v>REVIEW FX</v>
      </c>
      <c r="H26" s="3" t="str">
        <f t="shared" si="1"/>
        <v>ACTION REQUIRED</v>
      </c>
      <c r="I26" s="3" t="str">
        <f t="shared" si="2"/>
        <v>Review Order / PO / Cost Sheet</v>
      </c>
    </row>
    <row r="27" spans="1:9" x14ac:dyDescent="0.3">
      <c r="A27" s="3" t="str">
        <f>Order_Sheet!A27</f>
        <v>SO-2026-0026</v>
      </c>
      <c r="B27" s="3">
        <f>IFERROR(VLOOKUP(A27,Order_Sheet!A:L,6,FALSE),"")</f>
        <v>1596</v>
      </c>
      <c r="C27" s="3">
        <f>IFERROR(SUMIF(PO_Tracker!C:C,A27,PO_Tracker!I:I),"")</f>
        <v>645</v>
      </c>
      <c r="D27" s="3" t="str">
        <f>IFERROR(VLOOKUP(A27,Cost_Sheet!B:J,2,FALSE),"")</f>
        <v/>
      </c>
      <c r="E27" s="3" t="str">
        <f t="shared" si="0"/>
        <v>QTY MISMATCH</v>
      </c>
      <c r="F27" s="3" t="str">
        <f>IFERROR(IF(VLOOKUP(A27,Order_Sheet!A:L,4,FALSE)=INDEX(PO_Tracker!D:D,MATCH(A27,PO_Tracker!C:C,0)),"OK","STYLE MISMATCH"),"CHECK")</f>
        <v>OK</v>
      </c>
      <c r="G27" s="3" t="str">
        <f>IFERROR(IF(VLOOKUP(A27,Order_Sheet!A:L,8,FALSE)="USD","REVIEW FX","OK"),"CHECK")</f>
        <v>REVIEW FX</v>
      </c>
      <c r="H27" s="3" t="str">
        <f t="shared" si="1"/>
        <v>ACTION REQUIRED</v>
      </c>
      <c r="I27" s="3" t="str">
        <f t="shared" si="2"/>
        <v>Review Order / PO / Cost Sheet</v>
      </c>
    </row>
    <row r="28" spans="1:9" x14ac:dyDescent="0.3">
      <c r="A28" s="3" t="str">
        <f>Order_Sheet!A28</f>
        <v>SO-2026-0027</v>
      </c>
      <c r="B28" s="3">
        <f>IFERROR(VLOOKUP(A28,Order_Sheet!A:L,6,FALSE),"")</f>
        <v>8326</v>
      </c>
      <c r="C28" s="3">
        <f>IFERROR(SUMIF(PO_Tracker!C:C,A28,PO_Tracker!I:I),"")</f>
        <v>50013</v>
      </c>
      <c r="D28" s="3" t="str">
        <f>IFERROR(VLOOKUP(A28,Cost_Sheet!B:J,2,FALSE),"")</f>
        <v/>
      </c>
      <c r="E28" s="3" t="str">
        <f t="shared" si="0"/>
        <v>QTY MISMATCH</v>
      </c>
      <c r="F28" s="3" t="str">
        <f>IFERROR(IF(VLOOKUP(A28,Order_Sheet!A:L,4,FALSE)=INDEX(PO_Tracker!D:D,MATCH(A28,PO_Tracker!C:C,0)),"OK","STYLE MISMATCH"),"CHECK")</f>
        <v>OK</v>
      </c>
      <c r="G28" s="3" t="str">
        <f>IFERROR(IF(VLOOKUP(A28,Order_Sheet!A:L,8,FALSE)="USD","REVIEW FX","OK"),"CHECK")</f>
        <v>REVIEW FX</v>
      </c>
      <c r="H28" s="3" t="str">
        <f t="shared" si="1"/>
        <v>ACTION REQUIRED</v>
      </c>
      <c r="I28" s="3" t="str">
        <f t="shared" si="2"/>
        <v>Review Order / PO / Cost Sheet</v>
      </c>
    </row>
    <row r="29" spans="1:9" x14ac:dyDescent="0.3">
      <c r="A29" s="3" t="str">
        <f>Order_Sheet!A29</f>
        <v>SO-2026-0028</v>
      </c>
      <c r="B29" s="3">
        <f>IFERROR(VLOOKUP(A29,Order_Sheet!A:L,6,FALSE),"")</f>
        <v>7743</v>
      </c>
      <c r="C29" s="3">
        <f>IFERROR(SUMIF(PO_Tracker!C:C,A29,PO_Tracker!I:I),"")</f>
        <v>94927</v>
      </c>
      <c r="D29" s="3" t="str">
        <f>IFERROR(VLOOKUP(A29,Cost_Sheet!B:J,2,FALSE),"")</f>
        <v/>
      </c>
      <c r="E29" s="3" t="str">
        <f t="shared" si="0"/>
        <v>QTY MISMATCH</v>
      </c>
      <c r="F29" s="3" t="str">
        <f>IFERROR(IF(VLOOKUP(A29,Order_Sheet!A:L,4,FALSE)=INDEX(PO_Tracker!D:D,MATCH(A29,PO_Tracker!C:C,0)),"OK","STYLE MISMATCH"),"CHECK")</f>
        <v>OK</v>
      </c>
      <c r="G29" s="3" t="str">
        <f>IFERROR(IF(VLOOKUP(A29,Order_Sheet!A:L,8,FALSE)="USD","REVIEW FX","OK"),"CHECK")</f>
        <v>REVIEW FX</v>
      </c>
      <c r="H29" s="3" t="str">
        <f t="shared" si="1"/>
        <v>ACTION REQUIRED</v>
      </c>
      <c r="I29" s="3" t="str">
        <f t="shared" si="2"/>
        <v>Review Order / PO / Cost Sheet</v>
      </c>
    </row>
    <row r="30" spans="1:9" x14ac:dyDescent="0.3">
      <c r="A30" s="3" t="str">
        <f>Order_Sheet!A30</f>
        <v>SO-2026-0029</v>
      </c>
      <c r="B30" s="3">
        <f>IFERROR(VLOOKUP(A30,Order_Sheet!A:L,6,FALSE),"")</f>
        <v>9672</v>
      </c>
      <c r="C30" s="3">
        <f>IFERROR(SUMIF(PO_Tracker!C:C,A30,PO_Tracker!I:I),"")</f>
        <v>52224</v>
      </c>
      <c r="D30" s="3" t="str">
        <f>IFERROR(VLOOKUP(A30,Cost_Sheet!B:J,2,FALSE),"")</f>
        <v/>
      </c>
      <c r="E30" s="3" t="str">
        <f t="shared" si="0"/>
        <v>QTY MISMATCH</v>
      </c>
      <c r="F30" s="3" t="str">
        <f>IFERROR(IF(VLOOKUP(A30,Order_Sheet!A:L,4,FALSE)=INDEX(PO_Tracker!D:D,MATCH(A30,PO_Tracker!C:C,0)),"OK","STYLE MISMATCH"),"CHECK")</f>
        <v>OK</v>
      </c>
      <c r="G30" s="3" t="str">
        <f>IFERROR(IF(VLOOKUP(A30,Order_Sheet!A:L,8,FALSE)="USD","REVIEW FX","OK"),"CHECK")</f>
        <v>REVIEW FX</v>
      </c>
      <c r="H30" s="3" t="str">
        <f t="shared" si="1"/>
        <v>ACTION REQUIRED</v>
      </c>
      <c r="I30" s="3" t="str">
        <f t="shared" si="2"/>
        <v>Review Order / PO / Cost Sheet</v>
      </c>
    </row>
    <row r="31" spans="1:9" x14ac:dyDescent="0.3">
      <c r="A31" s="3" t="str">
        <f>Order_Sheet!A31</f>
        <v>SO-2026-0030</v>
      </c>
      <c r="B31" s="3">
        <f>IFERROR(VLOOKUP(A31,Order_Sheet!A:L,6,FALSE),"")</f>
        <v>9850</v>
      </c>
      <c r="C31" s="3">
        <f>IFERROR(SUMIF(PO_Tracker!C:C,A31,PO_Tracker!I:I),"")</f>
        <v>0</v>
      </c>
      <c r="D31" s="3" t="str">
        <f>IFERROR(VLOOKUP(A31,Cost_Sheet!B:J,2,FALSE),"")</f>
        <v/>
      </c>
      <c r="E31" s="3" t="str">
        <f t="shared" si="0"/>
        <v>QTY MISMATCH</v>
      </c>
      <c r="F31" s="3" t="str">
        <f>IFERROR(IF(VLOOKUP(A31,Order_Sheet!A:L,4,FALSE)=INDEX(PO_Tracker!D:D,MATCH(A31,PO_Tracker!C:C,0)),"OK","STYLE MISMATCH"),"CHECK")</f>
        <v>CHECK</v>
      </c>
      <c r="G31" s="3" t="str">
        <f>IFERROR(IF(VLOOKUP(A31,Order_Sheet!A:L,8,FALSE)="USD","REVIEW FX","OK"),"CHECK")</f>
        <v>REVIEW FX</v>
      </c>
      <c r="H31" s="3" t="str">
        <f t="shared" si="1"/>
        <v>ACTION REQUIRED</v>
      </c>
      <c r="I31" s="3" t="str">
        <f t="shared" si="2"/>
        <v>Review Order / PO / Cost Sheet</v>
      </c>
    </row>
    <row r="32" spans="1:9" x14ac:dyDescent="0.3">
      <c r="A32" s="3" t="str">
        <f>Order_Sheet!A32</f>
        <v>SO-2026-0031</v>
      </c>
      <c r="B32" s="3">
        <f>IFERROR(VLOOKUP(A32,Order_Sheet!A:L,6,FALSE),"")</f>
        <v>10153</v>
      </c>
      <c r="C32" s="3">
        <f>IFERROR(SUMIF(PO_Tracker!C:C,A32,PO_Tracker!I:I),"")</f>
        <v>9614</v>
      </c>
      <c r="D32" s="3" t="str">
        <f>IFERROR(VLOOKUP(A32,Cost_Sheet!B:J,2,FALSE),"")</f>
        <v/>
      </c>
      <c r="E32" s="3" t="str">
        <f t="shared" si="0"/>
        <v>QTY MISMATCH</v>
      </c>
      <c r="F32" s="3" t="str">
        <f>IFERROR(IF(VLOOKUP(A32,Order_Sheet!A:L,4,FALSE)=INDEX(PO_Tracker!D:D,MATCH(A32,PO_Tracker!C:C,0)),"OK","STYLE MISMATCH"),"CHECK")</f>
        <v>OK</v>
      </c>
      <c r="G32" s="3" t="str">
        <f>IFERROR(IF(VLOOKUP(A32,Order_Sheet!A:L,8,FALSE)="USD","REVIEW FX","OK"),"CHECK")</f>
        <v>REVIEW FX</v>
      </c>
      <c r="H32" s="3" t="str">
        <f t="shared" si="1"/>
        <v>ACTION REQUIRED</v>
      </c>
      <c r="I32" s="3" t="str">
        <f t="shared" si="2"/>
        <v>Review Order / PO / Cost Sheet</v>
      </c>
    </row>
    <row r="33" spans="1:9" x14ac:dyDescent="0.3">
      <c r="A33" s="3" t="str">
        <f>Order_Sheet!A33</f>
        <v>SO-2026-0032</v>
      </c>
      <c r="B33" s="3">
        <f>IFERROR(VLOOKUP(A33,Order_Sheet!A:L,6,FALSE),"")</f>
        <v>11479</v>
      </c>
      <c r="C33" s="3">
        <f>IFERROR(SUMIF(PO_Tracker!C:C,A33,PO_Tracker!I:I),"")</f>
        <v>128772</v>
      </c>
      <c r="D33" s="3" t="str">
        <f>IFERROR(VLOOKUP(A33,Cost_Sheet!B:J,2,FALSE),"")</f>
        <v/>
      </c>
      <c r="E33" s="3" t="str">
        <f t="shared" si="0"/>
        <v>QTY MISMATCH</v>
      </c>
      <c r="F33" s="3" t="str">
        <f>IFERROR(IF(VLOOKUP(A33,Order_Sheet!A:L,4,FALSE)=INDEX(PO_Tracker!D:D,MATCH(A33,PO_Tracker!C:C,0)),"OK","STYLE MISMATCH"),"CHECK")</f>
        <v>OK</v>
      </c>
      <c r="G33" s="3" t="str">
        <f>IFERROR(IF(VLOOKUP(A33,Order_Sheet!A:L,8,FALSE)="USD","REVIEW FX","OK"),"CHECK")</f>
        <v>REVIEW FX</v>
      </c>
      <c r="H33" s="3" t="str">
        <f t="shared" si="1"/>
        <v>ACTION REQUIRED</v>
      </c>
      <c r="I33" s="3" t="str">
        <f t="shared" si="2"/>
        <v>Review Order / PO / Cost Sheet</v>
      </c>
    </row>
    <row r="34" spans="1:9" x14ac:dyDescent="0.3">
      <c r="A34" s="3" t="str">
        <f>Order_Sheet!A34</f>
        <v>SO-2026-0033</v>
      </c>
      <c r="B34" s="3">
        <f>IFERROR(VLOOKUP(A34,Order_Sheet!A:L,6,FALSE),"")</f>
        <v>7357</v>
      </c>
      <c r="C34" s="3">
        <f>IFERROR(SUMIF(PO_Tracker!C:C,A34,PO_Tracker!I:I),"")</f>
        <v>17082</v>
      </c>
      <c r="D34" s="3" t="str">
        <f>IFERROR(VLOOKUP(A34,Cost_Sheet!B:J,2,FALSE),"")</f>
        <v/>
      </c>
      <c r="E34" s="3" t="str">
        <f t="shared" ref="E34:E65" si="3">IF(OR(B34="",C34=""),"CHECK",IF(ABS(B34-C34)&lt;=B34*5%,"OK","QTY MISMATCH"))</f>
        <v>QTY MISMATCH</v>
      </c>
      <c r="F34" s="3" t="str">
        <f>IFERROR(IF(VLOOKUP(A34,Order_Sheet!A:L,4,FALSE)=INDEX(PO_Tracker!D:D,MATCH(A34,PO_Tracker!C:C,0)),"OK","STYLE MISMATCH"),"CHECK")</f>
        <v>OK</v>
      </c>
      <c r="G34" s="3" t="str">
        <f>IFERROR(IF(VLOOKUP(A34,Order_Sheet!A:L,8,FALSE)="USD","REVIEW FX","OK"),"CHECK")</f>
        <v>REVIEW FX</v>
      </c>
      <c r="H34" s="3" t="str">
        <f t="shared" ref="H34:H65" si="4">IF(COUNTIF(E34:G34,"*MISMATCH*")+COUNTIF(E34:G34,"CHECK")&gt;0,"ACTION REQUIRED","OK")</f>
        <v>ACTION REQUIRED</v>
      </c>
      <c r="I34" s="3" t="str">
        <f t="shared" ref="I34:I65" si="5">IF(H34="OK","No action","Review Order / PO / Cost Sheet")</f>
        <v>Review Order / PO / Cost Sheet</v>
      </c>
    </row>
    <row r="35" spans="1:9" x14ac:dyDescent="0.3">
      <c r="A35" s="3" t="str">
        <f>Order_Sheet!A35</f>
        <v>SO-2026-0034</v>
      </c>
      <c r="B35" s="3">
        <f>IFERROR(VLOOKUP(A35,Order_Sheet!A:L,6,FALSE),"")</f>
        <v>5174</v>
      </c>
      <c r="C35" s="3">
        <f>IFERROR(SUMIF(PO_Tracker!C:C,A35,PO_Tracker!I:I),"")</f>
        <v>6347</v>
      </c>
      <c r="D35" s="3" t="str">
        <f>IFERROR(VLOOKUP(A35,Cost_Sheet!B:J,2,FALSE),"")</f>
        <v/>
      </c>
      <c r="E35" s="3" t="str">
        <f t="shared" si="3"/>
        <v>QTY MISMATCH</v>
      </c>
      <c r="F35" s="3" t="str">
        <f>IFERROR(IF(VLOOKUP(A35,Order_Sheet!A:L,4,FALSE)=INDEX(PO_Tracker!D:D,MATCH(A35,PO_Tracker!C:C,0)),"OK","STYLE MISMATCH"),"CHECK")</f>
        <v>OK</v>
      </c>
      <c r="G35" s="3" t="str">
        <f>IFERROR(IF(VLOOKUP(A35,Order_Sheet!A:L,8,FALSE)="USD","REVIEW FX","OK"),"CHECK")</f>
        <v>REVIEW FX</v>
      </c>
      <c r="H35" s="3" t="str">
        <f t="shared" si="4"/>
        <v>ACTION REQUIRED</v>
      </c>
      <c r="I35" s="3" t="str">
        <f t="shared" si="5"/>
        <v>Review Order / PO / Cost Sheet</v>
      </c>
    </row>
    <row r="36" spans="1:9" x14ac:dyDescent="0.3">
      <c r="A36" s="3" t="str">
        <f>Order_Sheet!A36</f>
        <v>SO-2026-0035</v>
      </c>
      <c r="B36" s="3">
        <f>IFERROR(VLOOKUP(A36,Order_Sheet!A:L,6,FALSE),"")</f>
        <v>7852</v>
      </c>
      <c r="C36" s="3">
        <f>IFERROR(SUMIF(PO_Tracker!C:C,A36,PO_Tracker!I:I),"")</f>
        <v>50369</v>
      </c>
      <c r="D36" s="3" t="str">
        <f>IFERROR(VLOOKUP(A36,Cost_Sheet!B:J,2,FALSE),"")</f>
        <v/>
      </c>
      <c r="E36" s="3" t="str">
        <f t="shared" si="3"/>
        <v>QTY MISMATCH</v>
      </c>
      <c r="F36" s="3" t="str">
        <f>IFERROR(IF(VLOOKUP(A36,Order_Sheet!A:L,4,FALSE)=INDEX(PO_Tracker!D:D,MATCH(A36,PO_Tracker!C:C,0)),"OK","STYLE MISMATCH"),"CHECK")</f>
        <v>OK</v>
      </c>
      <c r="G36" s="3" t="str">
        <f>IFERROR(IF(VLOOKUP(A36,Order_Sheet!A:L,8,FALSE)="USD","REVIEW FX","OK"),"CHECK")</f>
        <v>REVIEW FX</v>
      </c>
      <c r="H36" s="3" t="str">
        <f t="shared" si="4"/>
        <v>ACTION REQUIRED</v>
      </c>
      <c r="I36" s="3" t="str">
        <f t="shared" si="5"/>
        <v>Review Order / PO / Cost Sheet</v>
      </c>
    </row>
    <row r="37" spans="1:9" x14ac:dyDescent="0.3">
      <c r="A37" s="3" t="str">
        <f>Order_Sheet!A37</f>
        <v>SO-2026-0036</v>
      </c>
      <c r="B37" s="3">
        <f>IFERROR(VLOOKUP(A37,Order_Sheet!A:L,6,FALSE),"")</f>
        <v>11193</v>
      </c>
      <c r="C37" s="3">
        <f>IFERROR(SUMIF(PO_Tracker!C:C,A37,PO_Tracker!I:I),"")</f>
        <v>152498</v>
      </c>
      <c r="D37" s="3" t="str">
        <f>IFERROR(VLOOKUP(A37,Cost_Sheet!B:J,2,FALSE),"")</f>
        <v/>
      </c>
      <c r="E37" s="3" t="str">
        <f t="shared" si="3"/>
        <v>QTY MISMATCH</v>
      </c>
      <c r="F37" s="3" t="str">
        <f>IFERROR(IF(VLOOKUP(A37,Order_Sheet!A:L,4,FALSE)=INDEX(PO_Tracker!D:D,MATCH(A37,PO_Tracker!C:C,0)),"OK","STYLE MISMATCH"),"CHECK")</f>
        <v>OK</v>
      </c>
      <c r="G37" s="3" t="str">
        <f>IFERROR(IF(VLOOKUP(A37,Order_Sheet!A:L,8,FALSE)="USD","REVIEW FX","OK"),"CHECK")</f>
        <v>REVIEW FX</v>
      </c>
      <c r="H37" s="3" t="str">
        <f t="shared" si="4"/>
        <v>ACTION REQUIRED</v>
      </c>
      <c r="I37" s="3" t="str">
        <f t="shared" si="5"/>
        <v>Review Order / PO / Cost Sheet</v>
      </c>
    </row>
    <row r="38" spans="1:9" x14ac:dyDescent="0.3">
      <c r="A38" s="3" t="str">
        <f>Order_Sheet!A38</f>
        <v>SO-2026-0037</v>
      </c>
      <c r="B38" s="3">
        <f>IFERROR(VLOOKUP(A38,Order_Sheet!A:L,6,FALSE),"")</f>
        <v>8139</v>
      </c>
      <c r="C38" s="3">
        <f>IFERROR(SUMIF(PO_Tracker!C:C,A38,PO_Tracker!I:I),"")</f>
        <v>51368</v>
      </c>
      <c r="D38" s="3" t="str">
        <f>IFERROR(VLOOKUP(A38,Cost_Sheet!B:J,2,FALSE),"")</f>
        <v/>
      </c>
      <c r="E38" s="3" t="str">
        <f t="shared" si="3"/>
        <v>QTY MISMATCH</v>
      </c>
      <c r="F38" s="3" t="str">
        <f>IFERROR(IF(VLOOKUP(A38,Order_Sheet!A:L,4,FALSE)=INDEX(PO_Tracker!D:D,MATCH(A38,PO_Tracker!C:C,0)),"OK","STYLE MISMATCH"),"CHECK")</f>
        <v>OK</v>
      </c>
      <c r="G38" s="3" t="str">
        <f>IFERROR(IF(VLOOKUP(A38,Order_Sheet!A:L,8,FALSE)="USD","REVIEW FX","OK"),"CHECK")</f>
        <v>REVIEW FX</v>
      </c>
      <c r="H38" s="3" t="str">
        <f t="shared" si="4"/>
        <v>ACTION REQUIRED</v>
      </c>
      <c r="I38" s="3" t="str">
        <f t="shared" si="5"/>
        <v>Review Order / PO / Cost Sheet</v>
      </c>
    </row>
    <row r="39" spans="1:9" x14ac:dyDescent="0.3">
      <c r="A39" s="3" t="str">
        <f>Order_Sheet!A39</f>
        <v>SO-2026-0038</v>
      </c>
      <c r="B39" s="3">
        <f>IFERROR(VLOOKUP(A39,Order_Sheet!A:L,6,FALSE),"")</f>
        <v>7076</v>
      </c>
      <c r="C39" s="3">
        <f>IFERROR(SUMIF(PO_Tracker!C:C,A39,PO_Tracker!I:I),"")</f>
        <v>111768</v>
      </c>
      <c r="D39" s="3" t="str">
        <f>IFERROR(VLOOKUP(A39,Cost_Sheet!B:J,2,FALSE),"")</f>
        <v/>
      </c>
      <c r="E39" s="3" t="str">
        <f t="shared" si="3"/>
        <v>QTY MISMATCH</v>
      </c>
      <c r="F39" s="3" t="str">
        <f>IFERROR(IF(VLOOKUP(A39,Order_Sheet!A:L,4,FALSE)=INDEX(PO_Tracker!D:D,MATCH(A39,PO_Tracker!C:C,0)),"OK","STYLE MISMATCH"),"CHECK")</f>
        <v>OK</v>
      </c>
      <c r="G39" s="3" t="str">
        <f>IFERROR(IF(VLOOKUP(A39,Order_Sheet!A:L,8,FALSE)="USD","REVIEW FX","OK"),"CHECK")</f>
        <v>REVIEW FX</v>
      </c>
      <c r="H39" s="3" t="str">
        <f t="shared" si="4"/>
        <v>ACTION REQUIRED</v>
      </c>
      <c r="I39" s="3" t="str">
        <f t="shared" si="5"/>
        <v>Review Order / PO / Cost Sheet</v>
      </c>
    </row>
    <row r="40" spans="1:9" x14ac:dyDescent="0.3">
      <c r="A40" s="3" t="str">
        <f>Order_Sheet!A40</f>
        <v>SO-2026-0039</v>
      </c>
      <c r="B40" s="3">
        <f>IFERROR(VLOOKUP(A40,Order_Sheet!A:L,6,FALSE),"")</f>
        <v>3093</v>
      </c>
      <c r="C40" s="3">
        <f>IFERROR(SUMIF(PO_Tracker!C:C,A40,PO_Tracker!I:I),"")</f>
        <v>2617</v>
      </c>
      <c r="D40" s="3" t="str">
        <f>IFERROR(VLOOKUP(A40,Cost_Sheet!B:J,2,FALSE),"")</f>
        <v/>
      </c>
      <c r="E40" s="3" t="str">
        <f t="shared" si="3"/>
        <v>QTY MISMATCH</v>
      </c>
      <c r="F40" s="3" t="str">
        <f>IFERROR(IF(VLOOKUP(A40,Order_Sheet!A:L,4,FALSE)=INDEX(PO_Tracker!D:D,MATCH(A40,PO_Tracker!C:C,0)),"OK","STYLE MISMATCH"),"CHECK")</f>
        <v>OK</v>
      </c>
      <c r="G40" s="3" t="str">
        <f>IFERROR(IF(VLOOKUP(A40,Order_Sheet!A:L,8,FALSE)="USD","REVIEW FX","OK"),"CHECK")</f>
        <v>REVIEW FX</v>
      </c>
      <c r="H40" s="3" t="str">
        <f t="shared" si="4"/>
        <v>ACTION REQUIRED</v>
      </c>
      <c r="I40" s="3" t="str">
        <f t="shared" si="5"/>
        <v>Review Order / PO / Cost Sheet</v>
      </c>
    </row>
    <row r="41" spans="1:9" x14ac:dyDescent="0.3">
      <c r="A41" s="3" t="str">
        <f>Order_Sheet!A41</f>
        <v>SO-2026-0040</v>
      </c>
      <c r="B41" s="3">
        <f>IFERROR(VLOOKUP(A41,Order_Sheet!A:L,6,FALSE),"")</f>
        <v>2353</v>
      </c>
      <c r="C41" s="3">
        <f>IFERROR(SUMIF(PO_Tracker!C:C,A41,PO_Tracker!I:I),"")</f>
        <v>25181</v>
      </c>
      <c r="D41" s="3" t="str">
        <f>IFERROR(VLOOKUP(A41,Cost_Sheet!B:J,2,FALSE),"")</f>
        <v/>
      </c>
      <c r="E41" s="3" t="str">
        <f t="shared" si="3"/>
        <v>QTY MISMATCH</v>
      </c>
      <c r="F41" s="3" t="str">
        <f>IFERROR(IF(VLOOKUP(A41,Order_Sheet!A:L,4,FALSE)=INDEX(PO_Tracker!D:D,MATCH(A41,PO_Tracker!C:C,0)),"OK","STYLE MISMATCH"),"CHECK")</f>
        <v>OK</v>
      </c>
      <c r="G41" s="3" t="str">
        <f>IFERROR(IF(VLOOKUP(A41,Order_Sheet!A:L,8,FALSE)="USD","REVIEW FX","OK"),"CHECK")</f>
        <v>REVIEW FX</v>
      </c>
      <c r="H41" s="3" t="str">
        <f t="shared" si="4"/>
        <v>ACTION REQUIRED</v>
      </c>
      <c r="I41" s="3" t="str">
        <f t="shared" si="5"/>
        <v>Review Order / PO / Cost Sheet</v>
      </c>
    </row>
    <row r="42" spans="1:9" x14ac:dyDescent="0.3">
      <c r="A42" s="3" t="str">
        <f>Order_Sheet!A42</f>
        <v>SO-2026-0041</v>
      </c>
      <c r="B42" s="3">
        <f>IFERROR(VLOOKUP(A42,Order_Sheet!A:L,6,FALSE),"")</f>
        <v>9483</v>
      </c>
      <c r="C42" s="3">
        <f>IFERROR(SUMIF(PO_Tracker!C:C,A42,PO_Tracker!I:I),"")</f>
        <v>124381</v>
      </c>
      <c r="D42" s="3" t="str">
        <f>IFERROR(VLOOKUP(A42,Cost_Sheet!B:J,2,FALSE),"")</f>
        <v/>
      </c>
      <c r="E42" s="3" t="str">
        <f t="shared" si="3"/>
        <v>QTY MISMATCH</v>
      </c>
      <c r="F42" s="3" t="str">
        <f>IFERROR(IF(VLOOKUP(A42,Order_Sheet!A:L,4,FALSE)=INDEX(PO_Tracker!D:D,MATCH(A42,PO_Tracker!C:C,0)),"OK","STYLE MISMATCH"),"CHECK")</f>
        <v>OK</v>
      </c>
      <c r="G42" s="3" t="str">
        <f>IFERROR(IF(VLOOKUP(A42,Order_Sheet!A:L,8,FALSE)="USD","REVIEW FX","OK"),"CHECK")</f>
        <v>REVIEW FX</v>
      </c>
      <c r="H42" s="3" t="str">
        <f t="shared" si="4"/>
        <v>ACTION REQUIRED</v>
      </c>
      <c r="I42" s="3" t="str">
        <f t="shared" si="5"/>
        <v>Review Order / PO / Cost Sheet</v>
      </c>
    </row>
    <row r="43" spans="1:9" x14ac:dyDescent="0.3">
      <c r="A43" s="3" t="str">
        <f>Order_Sheet!A43</f>
        <v>SO-2026-0042</v>
      </c>
      <c r="B43" s="3">
        <f>IFERROR(VLOOKUP(A43,Order_Sheet!A:L,6,FALSE),"")</f>
        <v>9553</v>
      </c>
      <c r="C43" s="3">
        <f>IFERROR(SUMIF(PO_Tracker!C:C,A43,PO_Tracker!I:I),"")</f>
        <v>3616</v>
      </c>
      <c r="D43" s="3" t="str">
        <f>IFERROR(VLOOKUP(A43,Cost_Sheet!B:J,2,FALSE),"")</f>
        <v/>
      </c>
      <c r="E43" s="3" t="str">
        <f t="shared" si="3"/>
        <v>QTY MISMATCH</v>
      </c>
      <c r="F43" s="3" t="str">
        <f>IFERROR(IF(VLOOKUP(A43,Order_Sheet!A:L,4,FALSE)=INDEX(PO_Tracker!D:D,MATCH(A43,PO_Tracker!C:C,0)),"OK","STYLE MISMATCH"),"CHECK")</f>
        <v>OK</v>
      </c>
      <c r="G43" s="3" t="str">
        <f>IFERROR(IF(VLOOKUP(A43,Order_Sheet!A:L,8,FALSE)="USD","REVIEW FX","OK"),"CHECK")</f>
        <v>REVIEW FX</v>
      </c>
      <c r="H43" s="3" t="str">
        <f t="shared" si="4"/>
        <v>ACTION REQUIRED</v>
      </c>
      <c r="I43" s="3" t="str">
        <f t="shared" si="5"/>
        <v>Review Order / PO / Cost Sheet</v>
      </c>
    </row>
    <row r="44" spans="1:9" x14ac:dyDescent="0.3">
      <c r="A44" s="3" t="str">
        <f>Order_Sheet!A44</f>
        <v>SO-2026-0043</v>
      </c>
      <c r="B44" s="3">
        <f>IFERROR(VLOOKUP(A44,Order_Sheet!A:L,6,FALSE),"")</f>
        <v>8032</v>
      </c>
      <c r="C44" s="3">
        <f>IFERROR(SUMIF(PO_Tracker!C:C,A44,PO_Tracker!I:I),"")</f>
        <v>104616</v>
      </c>
      <c r="D44" s="3" t="str">
        <f>IFERROR(VLOOKUP(A44,Cost_Sheet!B:J,2,FALSE),"")</f>
        <v/>
      </c>
      <c r="E44" s="3" t="str">
        <f t="shared" si="3"/>
        <v>QTY MISMATCH</v>
      </c>
      <c r="F44" s="3" t="str">
        <f>IFERROR(IF(VLOOKUP(A44,Order_Sheet!A:L,4,FALSE)=INDEX(PO_Tracker!D:D,MATCH(A44,PO_Tracker!C:C,0)),"OK","STYLE MISMATCH"),"CHECK")</f>
        <v>OK</v>
      </c>
      <c r="G44" s="3" t="str">
        <f>IFERROR(IF(VLOOKUP(A44,Order_Sheet!A:L,8,FALSE)="USD","REVIEW FX","OK"),"CHECK")</f>
        <v>REVIEW FX</v>
      </c>
      <c r="H44" s="3" t="str">
        <f t="shared" si="4"/>
        <v>ACTION REQUIRED</v>
      </c>
      <c r="I44" s="3" t="str">
        <f t="shared" si="5"/>
        <v>Review Order / PO / Cost Sheet</v>
      </c>
    </row>
    <row r="45" spans="1:9" x14ac:dyDescent="0.3">
      <c r="A45" s="3" t="str">
        <f>Order_Sheet!A45</f>
        <v>SO-2026-0044</v>
      </c>
      <c r="B45" s="3">
        <f>IFERROR(VLOOKUP(A45,Order_Sheet!A:L,6,FALSE),"")</f>
        <v>11036</v>
      </c>
      <c r="C45" s="3">
        <f>IFERROR(SUMIF(PO_Tracker!C:C,A45,PO_Tracker!I:I),"")</f>
        <v>37756</v>
      </c>
      <c r="D45" s="3" t="str">
        <f>IFERROR(VLOOKUP(A45,Cost_Sheet!B:J,2,FALSE),"")</f>
        <v/>
      </c>
      <c r="E45" s="3" t="str">
        <f t="shared" si="3"/>
        <v>QTY MISMATCH</v>
      </c>
      <c r="F45" s="3" t="str">
        <f>IFERROR(IF(VLOOKUP(A45,Order_Sheet!A:L,4,FALSE)=INDEX(PO_Tracker!D:D,MATCH(A45,PO_Tracker!C:C,0)),"OK","STYLE MISMATCH"),"CHECK")</f>
        <v>OK</v>
      </c>
      <c r="G45" s="3" t="str">
        <f>IFERROR(IF(VLOOKUP(A45,Order_Sheet!A:L,8,FALSE)="USD","REVIEW FX","OK"),"CHECK")</f>
        <v>REVIEW FX</v>
      </c>
      <c r="H45" s="3" t="str">
        <f t="shared" si="4"/>
        <v>ACTION REQUIRED</v>
      </c>
      <c r="I45" s="3" t="str">
        <f t="shared" si="5"/>
        <v>Review Order / PO / Cost Sheet</v>
      </c>
    </row>
    <row r="46" spans="1:9" x14ac:dyDescent="0.3">
      <c r="A46" s="3" t="str">
        <f>Order_Sheet!A46</f>
        <v>SO-2026-0045</v>
      </c>
      <c r="B46" s="3">
        <f>IFERROR(VLOOKUP(A46,Order_Sheet!A:L,6,FALSE),"")</f>
        <v>1567</v>
      </c>
      <c r="C46" s="3">
        <f>IFERROR(SUMIF(PO_Tracker!C:C,A46,PO_Tracker!I:I),"")</f>
        <v>0</v>
      </c>
      <c r="D46" s="3" t="str">
        <f>IFERROR(VLOOKUP(A46,Cost_Sheet!B:J,2,FALSE),"")</f>
        <v/>
      </c>
      <c r="E46" s="3" t="str">
        <f t="shared" si="3"/>
        <v>QTY MISMATCH</v>
      </c>
      <c r="F46" s="3" t="str">
        <f>IFERROR(IF(VLOOKUP(A46,Order_Sheet!A:L,4,FALSE)=INDEX(PO_Tracker!D:D,MATCH(A46,PO_Tracker!C:C,0)),"OK","STYLE MISMATCH"),"CHECK")</f>
        <v>CHECK</v>
      </c>
      <c r="G46" s="3" t="str">
        <f>IFERROR(IF(VLOOKUP(A46,Order_Sheet!A:L,8,FALSE)="USD","REVIEW FX","OK"),"CHECK")</f>
        <v>REVIEW FX</v>
      </c>
      <c r="H46" s="3" t="str">
        <f t="shared" si="4"/>
        <v>ACTION REQUIRED</v>
      </c>
      <c r="I46" s="3" t="str">
        <f t="shared" si="5"/>
        <v>Review Order / PO / Cost Sheet</v>
      </c>
    </row>
    <row r="47" spans="1:9" x14ac:dyDescent="0.3">
      <c r="A47" s="3" t="str">
        <f>Order_Sheet!A47</f>
        <v>SO-2026-0046</v>
      </c>
      <c r="B47" s="3">
        <f>IFERROR(VLOOKUP(A47,Order_Sheet!A:L,6,FALSE),"")</f>
        <v>10342</v>
      </c>
      <c r="C47" s="3">
        <f>IFERROR(SUMIF(PO_Tracker!C:C,A47,PO_Tracker!I:I),"")</f>
        <v>76582</v>
      </c>
      <c r="D47" s="3" t="str">
        <f>IFERROR(VLOOKUP(A47,Cost_Sheet!B:J,2,FALSE),"")</f>
        <v/>
      </c>
      <c r="E47" s="3" t="str">
        <f t="shared" si="3"/>
        <v>QTY MISMATCH</v>
      </c>
      <c r="F47" s="3" t="str">
        <f>IFERROR(IF(VLOOKUP(A47,Order_Sheet!A:L,4,FALSE)=INDEX(PO_Tracker!D:D,MATCH(A47,PO_Tracker!C:C,0)),"OK","STYLE MISMATCH"),"CHECK")</f>
        <v>OK</v>
      </c>
      <c r="G47" s="3" t="str">
        <f>IFERROR(IF(VLOOKUP(A47,Order_Sheet!A:L,8,FALSE)="USD","REVIEW FX","OK"),"CHECK")</f>
        <v>REVIEW FX</v>
      </c>
      <c r="H47" s="3" t="str">
        <f t="shared" si="4"/>
        <v>ACTION REQUIRED</v>
      </c>
      <c r="I47" s="3" t="str">
        <f t="shared" si="5"/>
        <v>Review Order / PO / Cost Sheet</v>
      </c>
    </row>
    <row r="48" spans="1:9" x14ac:dyDescent="0.3">
      <c r="A48" s="3" t="str">
        <f>Order_Sheet!A48</f>
        <v>SO-2026-0047</v>
      </c>
      <c r="B48" s="3">
        <f>IFERROR(VLOOKUP(A48,Order_Sheet!A:L,6,FALSE),"")</f>
        <v>2257</v>
      </c>
      <c r="C48" s="3">
        <f>IFERROR(SUMIF(PO_Tracker!C:C,A48,PO_Tracker!I:I),"")</f>
        <v>21175</v>
      </c>
      <c r="D48" s="3" t="str">
        <f>IFERROR(VLOOKUP(A48,Cost_Sheet!B:J,2,FALSE),"")</f>
        <v/>
      </c>
      <c r="E48" s="3" t="str">
        <f t="shared" si="3"/>
        <v>QTY MISMATCH</v>
      </c>
      <c r="F48" s="3" t="str">
        <f>IFERROR(IF(VLOOKUP(A48,Order_Sheet!A:L,4,FALSE)=INDEX(PO_Tracker!D:D,MATCH(A48,PO_Tracker!C:C,0)),"OK","STYLE MISMATCH"),"CHECK")</f>
        <v>OK</v>
      </c>
      <c r="G48" s="3" t="str">
        <f>IFERROR(IF(VLOOKUP(A48,Order_Sheet!A:L,8,FALSE)="USD","REVIEW FX","OK"),"CHECK")</f>
        <v>REVIEW FX</v>
      </c>
      <c r="H48" s="3" t="str">
        <f t="shared" si="4"/>
        <v>ACTION REQUIRED</v>
      </c>
      <c r="I48" s="3" t="str">
        <f t="shared" si="5"/>
        <v>Review Order / PO / Cost Sheet</v>
      </c>
    </row>
    <row r="49" spans="1:9" x14ac:dyDescent="0.3">
      <c r="A49" s="3" t="str">
        <f>Order_Sheet!A49</f>
        <v>SO-2026-0048</v>
      </c>
      <c r="B49" s="3">
        <f>IFERROR(VLOOKUP(A49,Order_Sheet!A:L,6,FALSE),"")</f>
        <v>6149</v>
      </c>
      <c r="C49" s="3">
        <f>IFERROR(SUMIF(PO_Tracker!C:C,A49,PO_Tracker!I:I),"")</f>
        <v>97282</v>
      </c>
      <c r="D49" s="3" t="str">
        <f>IFERROR(VLOOKUP(A49,Cost_Sheet!B:J,2,FALSE),"")</f>
        <v/>
      </c>
      <c r="E49" s="3" t="str">
        <f t="shared" si="3"/>
        <v>QTY MISMATCH</v>
      </c>
      <c r="F49" s="3" t="str">
        <f>IFERROR(IF(VLOOKUP(A49,Order_Sheet!A:L,4,FALSE)=INDEX(PO_Tracker!D:D,MATCH(A49,PO_Tracker!C:C,0)),"OK","STYLE MISMATCH"),"CHECK")</f>
        <v>OK</v>
      </c>
      <c r="G49" s="3" t="str">
        <f>IFERROR(IF(VLOOKUP(A49,Order_Sheet!A:L,8,FALSE)="USD","REVIEW FX","OK"),"CHECK")</f>
        <v>REVIEW FX</v>
      </c>
      <c r="H49" s="3" t="str">
        <f t="shared" si="4"/>
        <v>ACTION REQUIRED</v>
      </c>
      <c r="I49" s="3" t="str">
        <f t="shared" si="5"/>
        <v>Review Order / PO / Cost Sheet</v>
      </c>
    </row>
    <row r="50" spans="1:9" x14ac:dyDescent="0.3">
      <c r="A50" s="3" t="str">
        <f>Order_Sheet!A50</f>
        <v>SO-2026-0049</v>
      </c>
      <c r="B50" s="3">
        <f>IFERROR(VLOOKUP(A50,Order_Sheet!A:L,6,FALSE),"")</f>
        <v>11316</v>
      </c>
      <c r="C50" s="3">
        <f>IFERROR(SUMIF(PO_Tracker!C:C,A50,PO_Tracker!I:I),"")</f>
        <v>128695</v>
      </c>
      <c r="D50" s="3" t="str">
        <f>IFERROR(VLOOKUP(A50,Cost_Sheet!B:J,2,FALSE),"")</f>
        <v/>
      </c>
      <c r="E50" s="3" t="str">
        <f t="shared" si="3"/>
        <v>QTY MISMATCH</v>
      </c>
      <c r="F50" s="3" t="str">
        <f>IFERROR(IF(VLOOKUP(A50,Order_Sheet!A:L,4,FALSE)=INDEX(PO_Tracker!D:D,MATCH(A50,PO_Tracker!C:C,0)),"OK","STYLE MISMATCH"),"CHECK")</f>
        <v>OK</v>
      </c>
      <c r="G50" s="3" t="str">
        <f>IFERROR(IF(VLOOKUP(A50,Order_Sheet!A:L,8,FALSE)="USD","REVIEW FX","OK"),"CHECK")</f>
        <v>REVIEW FX</v>
      </c>
      <c r="H50" s="3" t="str">
        <f t="shared" si="4"/>
        <v>ACTION REQUIRED</v>
      </c>
      <c r="I50" s="3" t="str">
        <f t="shared" si="5"/>
        <v>Review Order / PO / Cost Sheet</v>
      </c>
    </row>
    <row r="51" spans="1:9" x14ac:dyDescent="0.3">
      <c r="A51" s="3" t="str">
        <f>Order_Sheet!A51</f>
        <v>SO-2026-0050</v>
      </c>
      <c r="B51" s="3">
        <f>IFERROR(VLOOKUP(A51,Order_Sheet!A:L,6,FALSE),"")</f>
        <v>2721</v>
      </c>
      <c r="C51" s="3">
        <f>IFERROR(SUMIF(PO_Tracker!C:C,A51,PO_Tracker!I:I),"")</f>
        <v>0</v>
      </c>
      <c r="D51" s="3" t="str">
        <f>IFERROR(VLOOKUP(A51,Cost_Sheet!B:J,2,FALSE),"")</f>
        <v/>
      </c>
      <c r="E51" s="3" t="str">
        <f t="shared" si="3"/>
        <v>QTY MISMATCH</v>
      </c>
      <c r="F51" s="3" t="str">
        <f>IFERROR(IF(VLOOKUP(A51,Order_Sheet!A:L,4,FALSE)=INDEX(PO_Tracker!D:D,MATCH(A51,PO_Tracker!C:C,0)),"OK","STYLE MISMATCH"),"CHECK")</f>
        <v>CHECK</v>
      </c>
      <c r="G51" s="3" t="str">
        <f>IFERROR(IF(VLOOKUP(A51,Order_Sheet!A:L,8,FALSE)="USD","REVIEW FX","OK"),"CHECK")</f>
        <v>REVIEW FX</v>
      </c>
      <c r="H51" s="3" t="str">
        <f t="shared" si="4"/>
        <v>ACTION REQUIRED</v>
      </c>
      <c r="I51" s="3" t="str">
        <f t="shared" si="5"/>
        <v>Review Order / PO / Cost Sheet</v>
      </c>
    </row>
    <row r="52" spans="1:9" x14ac:dyDescent="0.3">
      <c r="A52" s="3" t="str">
        <f>Order_Sheet!A52</f>
        <v>SO-2026-0051</v>
      </c>
      <c r="B52" s="3">
        <f>IFERROR(VLOOKUP(A52,Order_Sheet!A:L,6,FALSE),"")</f>
        <v>8888</v>
      </c>
      <c r="C52" s="3">
        <f>IFERROR(SUMIF(PO_Tracker!C:C,A52,PO_Tracker!I:I),"")</f>
        <v>100160</v>
      </c>
      <c r="D52" s="3" t="str">
        <f>IFERROR(VLOOKUP(A52,Cost_Sheet!B:J,2,FALSE),"")</f>
        <v/>
      </c>
      <c r="E52" s="3" t="str">
        <f t="shared" si="3"/>
        <v>QTY MISMATCH</v>
      </c>
      <c r="F52" s="3" t="str">
        <f>IFERROR(IF(VLOOKUP(A52,Order_Sheet!A:L,4,FALSE)=INDEX(PO_Tracker!D:D,MATCH(A52,PO_Tracker!C:C,0)),"OK","STYLE MISMATCH"),"CHECK")</f>
        <v>OK</v>
      </c>
      <c r="G52" s="3" t="str">
        <f>IFERROR(IF(VLOOKUP(A52,Order_Sheet!A:L,8,FALSE)="USD","REVIEW FX","OK"),"CHECK")</f>
        <v>REVIEW FX</v>
      </c>
      <c r="H52" s="3" t="str">
        <f t="shared" si="4"/>
        <v>ACTION REQUIRED</v>
      </c>
      <c r="I52" s="3" t="str">
        <f t="shared" si="5"/>
        <v>Review Order / PO / Cost Sheet</v>
      </c>
    </row>
    <row r="53" spans="1:9" x14ac:dyDescent="0.3">
      <c r="A53" s="3" t="str">
        <f>Order_Sheet!A53</f>
        <v>SO-2026-0052</v>
      </c>
      <c r="B53" s="3">
        <f>IFERROR(VLOOKUP(A53,Order_Sheet!A:L,6,FALSE),"")</f>
        <v>3009</v>
      </c>
      <c r="C53" s="3">
        <f>IFERROR(SUMIF(PO_Tracker!C:C,A53,PO_Tracker!I:I),"")</f>
        <v>37701</v>
      </c>
      <c r="D53" s="3" t="str">
        <f>IFERROR(VLOOKUP(A53,Cost_Sheet!B:J,2,FALSE),"")</f>
        <v/>
      </c>
      <c r="E53" s="3" t="str">
        <f t="shared" si="3"/>
        <v>QTY MISMATCH</v>
      </c>
      <c r="F53" s="3" t="str">
        <f>IFERROR(IF(VLOOKUP(A53,Order_Sheet!A:L,4,FALSE)=INDEX(PO_Tracker!D:D,MATCH(A53,PO_Tracker!C:C,0)),"OK","STYLE MISMATCH"),"CHECK")</f>
        <v>OK</v>
      </c>
      <c r="G53" s="3" t="str">
        <f>IFERROR(IF(VLOOKUP(A53,Order_Sheet!A:L,8,FALSE)="USD","REVIEW FX","OK"),"CHECK")</f>
        <v>REVIEW FX</v>
      </c>
      <c r="H53" s="3" t="str">
        <f t="shared" si="4"/>
        <v>ACTION REQUIRED</v>
      </c>
      <c r="I53" s="3" t="str">
        <f t="shared" si="5"/>
        <v>Review Order / PO / Cost Sheet</v>
      </c>
    </row>
    <row r="54" spans="1:9" x14ac:dyDescent="0.3">
      <c r="A54" s="3" t="str">
        <f>Order_Sheet!A54</f>
        <v>SO-2026-0053</v>
      </c>
      <c r="B54" s="3">
        <f>IFERROR(VLOOKUP(A54,Order_Sheet!A:L,6,FALSE),"")</f>
        <v>4422</v>
      </c>
      <c r="C54" s="3">
        <f>IFERROR(SUMIF(PO_Tracker!C:C,A54,PO_Tracker!I:I),"")</f>
        <v>43002</v>
      </c>
      <c r="D54" s="3" t="str">
        <f>IFERROR(VLOOKUP(A54,Cost_Sheet!B:J,2,FALSE),"")</f>
        <v/>
      </c>
      <c r="E54" s="3" t="str">
        <f t="shared" si="3"/>
        <v>QTY MISMATCH</v>
      </c>
      <c r="F54" s="3" t="str">
        <f>IFERROR(IF(VLOOKUP(A54,Order_Sheet!A:L,4,FALSE)=INDEX(PO_Tracker!D:D,MATCH(A54,PO_Tracker!C:C,0)),"OK","STYLE MISMATCH"),"CHECK")</f>
        <v>OK</v>
      </c>
      <c r="G54" s="3" t="str">
        <f>IFERROR(IF(VLOOKUP(A54,Order_Sheet!A:L,8,FALSE)="USD","REVIEW FX","OK"),"CHECK")</f>
        <v>REVIEW FX</v>
      </c>
      <c r="H54" s="3" t="str">
        <f t="shared" si="4"/>
        <v>ACTION REQUIRED</v>
      </c>
      <c r="I54" s="3" t="str">
        <f t="shared" si="5"/>
        <v>Review Order / PO / Cost Sheet</v>
      </c>
    </row>
    <row r="55" spans="1:9" x14ac:dyDescent="0.3">
      <c r="A55" s="3" t="str">
        <f>Order_Sheet!A55</f>
        <v>SO-2026-0054</v>
      </c>
      <c r="B55" s="3">
        <f>IFERROR(VLOOKUP(A55,Order_Sheet!A:L,6,FALSE),"")</f>
        <v>7422</v>
      </c>
      <c r="C55" s="3">
        <f>IFERROR(SUMIF(PO_Tracker!C:C,A55,PO_Tracker!I:I),"")</f>
        <v>80527</v>
      </c>
      <c r="D55" s="3" t="str">
        <f>IFERROR(VLOOKUP(A55,Cost_Sheet!B:J,2,FALSE),"")</f>
        <v/>
      </c>
      <c r="E55" s="3" t="str">
        <f t="shared" si="3"/>
        <v>QTY MISMATCH</v>
      </c>
      <c r="F55" s="3" t="str">
        <f>IFERROR(IF(VLOOKUP(A55,Order_Sheet!A:L,4,FALSE)=INDEX(PO_Tracker!D:D,MATCH(A55,PO_Tracker!C:C,0)),"OK","STYLE MISMATCH"),"CHECK")</f>
        <v>OK</v>
      </c>
      <c r="G55" s="3" t="str">
        <f>IFERROR(IF(VLOOKUP(A55,Order_Sheet!A:L,8,FALSE)="USD","REVIEW FX","OK"),"CHECK")</f>
        <v>REVIEW FX</v>
      </c>
      <c r="H55" s="3" t="str">
        <f t="shared" si="4"/>
        <v>ACTION REQUIRED</v>
      </c>
      <c r="I55" s="3" t="str">
        <f t="shared" si="5"/>
        <v>Review Order / PO / Cost Sheet</v>
      </c>
    </row>
    <row r="56" spans="1:9" x14ac:dyDescent="0.3">
      <c r="A56" s="3" t="str">
        <f>Order_Sheet!A56</f>
        <v>SO-2026-0055</v>
      </c>
      <c r="B56" s="3">
        <f>IFERROR(VLOOKUP(A56,Order_Sheet!A:L,6,FALSE),"")</f>
        <v>5352</v>
      </c>
      <c r="C56" s="3">
        <f>IFERROR(SUMIF(PO_Tracker!C:C,A56,PO_Tracker!I:I),"")</f>
        <v>28210</v>
      </c>
      <c r="D56" s="3" t="str">
        <f>IFERROR(VLOOKUP(A56,Cost_Sheet!B:J,2,FALSE),"")</f>
        <v/>
      </c>
      <c r="E56" s="3" t="str">
        <f t="shared" si="3"/>
        <v>QTY MISMATCH</v>
      </c>
      <c r="F56" s="3" t="str">
        <f>IFERROR(IF(VLOOKUP(A56,Order_Sheet!A:L,4,FALSE)=INDEX(PO_Tracker!D:D,MATCH(A56,PO_Tracker!C:C,0)),"OK","STYLE MISMATCH"),"CHECK")</f>
        <v>OK</v>
      </c>
      <c r="G56" s="3" t="str">
        <f>IFERROR(IF(VLOOKUP(A56,Order_Sheet!A:L,8,FALSE)="USD","REVIEW FX","OK"),"CHECK")</f>
        <v>REVIEW FX</v>
      </c>
      <c r="H56" s="3" t="str">
        <f t="shared" si="4"/>
        <v>ACTION REQUIRED</v>
      </c>
      <c r="I56" s="3" t="str">
        <f t="shared" si="5"/>
        <v>Review Order / PO / Cost Sheet</v>
      </c>
    </row>
    <row r="57" spans="1:9" x14ac:dyDescent="0.3">
      <c r="A57" s="3" t="str">
        <f>Order_Sheet!A57</f>
        <v>SO-2026-0056</v>
      </c>
      <c r="B57" s="3">
        <f>IFERROR(VLOOKUP(A57,Order_Sheet!A:L,6,FALSE),"")</f>
        <v>11180</v>
      </c>
      <c r="C57" s="3">
        <f>IFERROR(SUMIF(PO_Tracker!C:C,A57,PO_Tracker!I:I),"")</f>
        <v>313328</v>
      </c>
      <c r="D57" s="3" t="str">
        <f>IFERROR(VLOOKUP(A57,Cost_Sheet!B:J,2,FALSE),"")</f>
        <v/>
      </c>
      <c r="E57" s="3" t="str">
        <f t="shared" si="3"/>
        <v>QTY MISMATCH</v>
      </c>
      <c r="F57" s="3" t="str">
        <f>IFERROR(IF(VLOOKUP(A57,Order_Sheet!A:L,4,FALSE)=INDEX(PO_Tracker!D:D,MATCH(A57,PO_Tracker!C:C,0)),"OK","STYLE MISMATCH"),"CHECK")</f>
        <v>OK</v>
      </c>
      <c r="G57" s="3" t="str">
        <f>IFERROR(IF(VLOOKUP(A57,Order_Sheet!A:L,8,FALSE)="USD","REVIEW FX","OK"),"CHECK")</f>
        <v>REVIEW FX</v>
      </c>
      <c r="H57" s="3" t="str">
        <f t="shared" si="4"/>
        <v>ACTION REQUIRED</v>
      </c>
      <c r="I57" s="3" t="str">
        <f t="shared" si="5"/>
        <v>Review Order / PO / Cost Sheet</v>
      </c>
    </row>
    <row r="58" spans="1:9" x14ac:dyDescent="0.3">
      <c r="A58" s="3" t="str">
        <f>Order_Sheet!A58</f>
        <v>SO-2026-0057</v>
      </c>
      <c r="B58" s="3">
        <f>IFERROR(VLOOKUP(A58,Order_Sheet!A:L,6,FALSE),"")</f>
        <v>6317</v>
      </c>
      <c r="C58" s="3">
        <f>IFERROR(SUMIF(PO_Tracker!C:C,A58,PO_Tracker!I:I),"")</f>
        <v>111087</v>
      </c>
      <c r="D58" s="3" t="str">
        <f>IFERROR(VLOOKUP(A58,Cost_Sheet!B:J,2,FALSE),"")</f>
        <v/>
      </c>
      <c r="E58" s="3" t="str">
        <f t="shared" si="3"/>
        <v>QTY MISMATCH</v>
      </c>
      <c r="F58" s="3" t="str">
        <f>IFERROR(IF(VLOOKUP(A58,Order_Sheet!A:L,4,FALSE)=INDEX(PO_Tracker!D:D,MATCH(A58,PO_Tracker!C:C,0)),"OK","STYLE MISMATCH"),"CHECK")</f>
        <v>OK</v>
      </c>
      <c r="G58" s="3" t="str">
        <f>IFERROR(IF(VLOOKUP(A58,Order_Sheet!A:L,8,FALSE)="USD","REVIEW FX","OK"),"CHECK")</f>
        <v>REVIEW FX</v>
      </c>
      <c r="H58" s="3" t="str">
        <f t="shared" si="4"/>
        <v>ACTION REQUIRED</v>
      </c>
      <c r="I58" s="3" t="str">
        <f t="shared" si="5"/>
        <v>Review Order / PO / Cost Sheet</v>
      </c>
    </row>
    <row r="59" spans="1:9" x14ac:dyDescent="0.3">
      <c r="A59" s="3" t="str">
        <f>Order_Sheet!A59</f>
        <v>SO-2026-0058</v>
      </c>
      <c r="B59" s="3">
        <f>IFERROR(VLOOKUP(A59,Order_Sheet!A:L,6,FALSE),"")</f>
        <v>5275</v>
      </c>
      <c r="C59" s="3">
        <f>IFERROR(SUMIF(PO_Tracker!C:C,A59,PO_Tracker!I:I),"")</f>
        <v>120399</v>
      </c>
      <c r="D59" s="3" t="str">
        <f>IFERROR(VLOOKUP(A59,Cost_Sheet!B:J,2,FALSE),"")</f>
        <v/>
      </c>
      <c r="E59" s="3" t="str">
        <f t="shared" si="3"/>
        <v>QTY MISMATCH</v>
      </c>
      <c r="F59" s="3" t="str">
        <f>IFERROR(IF(VLOOKUP(A59,Order_Sheet!A:L,4,FALSE)=INDEX(PO_Tracker!D:D,MATCH(A59,PO_Tracker!C:C,0)),"OK","STYLE MISMATCH"),"CHECK")</f>
        <v>OK</v>
      </c>
      <c r="G59" s="3" t="str">
        <f>IFERROR(IF(VLOOKUP(A59,Order_Sheet!A:L,8,FALSE)="USD","REVIEW FX","OK"),"CHECK")</f>
        <v>REVIEW FX</v>
      </c>
      <c r="H59" s="3" t="str">
        <f t="shared" si="4"/>
        <v>ACTION REQUIRED</v>
      </c>
      <c r="I59" s="3" t="str">
        <f t="shared" si="5"/>
        <v>Review Order / PO / Cost Sheet</v>
      </c>
    </row>
    <row r="60" spans="1:9" x14ac:dyDescent="0.3">
      <c r="A60" s="3" t="str">
        <f>Order_Sheet!A60</f>
        <v>SO-2026-0059</v>
      </c>
      <c r="B60" s="3">
        <f>IFERROR(VLOOKUP(A60,Order_Sheet!A:L,6,FALSE),"")</f>
        <v>11673</v>
      </c>
      <c r="C60" s="3">
        <f>IFERROR(SUMIF(PO_Tracker!C:C,A60,PO_Tracker!I:I),"")</f>
        <v>97115</v>
      </c>
      <c r="D60" s="3" t="str">
        <f>IFERROR(VLOOKUP(A60,Cost_Sheet!B:J,2,FALSE),"")</f>
        <v/>
      </c>
      <c r="E60" s="3" t="str">
        <f t="shared" si="3"/>
        <v>QTY MISMATCH</v>
      </c>
      <c r="F60" s="3" t="str">
        <f>IFERROR(IF(VLOOKUP(A60,Order_Sheet!A:L,4,FALSE)=INDEX(PO_Tracker!D:D,MATCH(A60,PO_Tracker!C:C,0)),"OK","STYLE MISMATCH"),"CHECK")</f>
        <v>OK</v>
      </c>
      <c r="G60" s="3" t="str">
        <f>IFERROR(IF(VLOOKUP(A60,Order_Sheet!A:L,8,FALSE)="USD","REVIEW FX","OK"),"CHECK")</f>
        <v>REVIEW FX</v>
      </c>
      <c r="H60" s="3" t="str">
        <f t="shared" si="4"/>
        <v>ACTION REQUIRED</v>
      </c>
      <c r="I60" s="3" t="str">
        <f t="shared" si="5"/>
        <v>Review Order / PO / Cost Sheet</v>
      </c>
    </row>
    <row r="61" spans="1:9" x14ac:dyDescent="0.3">
      <c r="A61" s="3" t="str">
        <f>Order_Sheet!A61</f>
        <v>SO-2026-0060</v>
      </c>
      <c r="B61" s="3">
        <f>IFERROR(VLOOKUP(A61,Order_Sheet!A:L,6,FALSE),"")</f>
        <v>3906</v>
      </c>
      <c r="C61" s="3">
        <f>IFERROR(SUMIF(PO_Tracker!C:C,A61,PO_Tracker!I:I),"")</f>
        <v>105813</v>
      </c>
      <c r="D61" s="3" t="str">
        <f>IFERROR(VLOOKUP(A61,Cost_Sheet!B:J,2,FALSE),"")</f>
        <v/>
      </c>
      <c r="E61" s="3" t="str">
        <f t="shared" si="3"/>
        <v>QTY MISMATCH</v>
      </c>
      <c r="F61" s="3" t="str">
        <f>IFERROR(IF(VLOOKUP(A61,Order_Sheet!A:L,4,FALSE)=INDEX(PO_Tracker!D:D,MATCH(A61,PO_Tracker!C:C,0)),"OK","STYLE MISMATCH"),"CHECK")</f>
        <v>OK</v>
      </c>
      <c r="G61" s="3" t="str">
        <f>IFERROR(IF(VLOOKUP(A61,Order_Sheet!A:L,8,FALSE)="USD","REVIEW FX","OK"),"CHECK")</f>
        <v>REVIEW FX</v>
      </c>
      <c r="H61" s="3" t="str">
        <f t="shared" si="4"/>
        <v>ACTION REQUIRED</v>
      </c>
      <c r="I61" s="3" t="str">
        <f t="shared" si="5"/>
        <v>Review Order / PO / Cost Sheet</v>
      </c>
    </row>
    <row r="62" spans="1:9" x14ac:dyDescent="0.3">
      <c r="A62" s="3" t="str">
        <f>Order_Sheet!A62</f>
        <v>SO-2026-0061</v>
      </c>
      <c r="B62" s="3">
        <f>IFERROR(VLOOKUP(A62,Order_Sheet!A:L,6,FALSE),"")</f>
        <v>10620</v>
      </c>
      <c r="C62" s="3">
        <f>IFERROR(SUMIF(PO_Tracker!C:C,A62,PO_Tracker!I:I),"")</f>
        <v>144813</v>
      </c>
      <c r="D62" s="3" t="str">
        <f>IFERROR(VLOOKUP(A62,Cost_Sheet!B:J,2,FALSE),"")</f>
        <v/>
      </c>
      <c r="E62" s="3" t="str">
        <f t="shared" si="3"/>
        <v>QTY MISMATCH</v>
      </c>
      <c r="F62" s="3" t="str">
        <f>IFERROR(IF(VLOOKUP(A62,Order_Sheet!A:L,4,FALSE)=INDEX(PO_Tracker!D:D,MATCH(A62,PO_Tracker!C:C,0)),"OK","STYLE MISMATCH"),"CHECK")</f>
        <v>OK</v>
      </c>
      <c r="G62" s="3" t="str">
        <f>IFERROR(IF(VLOOKUP(A62,Order_Sheet!A:L,8,FALSE)="USD","REVIEW FX","OK"),"CHECK")</f>
        <v>REVIEW FX</v>
      </c>
      <c r="H62" s="3" t="str">
        <f t="shared" si="4"/>
        <v>ACTION REQUIRED</v>
      </c>
      <c r="I62" s="3" t="str">
        <f t="shared" si="5"/>
        <v>Review Order / PO / Cost Sheet</v>
      </c>
    </row>
    <row r="63" spans="1:9" x14ac:dyDescent="0.3">
      <c r="A63" s="3" t="str">
        <f>Order_Sheet!A63</f>
        <v>SO-2026-0062</v>
      </c>
      <c r="B63" s="3">
        <f>IFERROR(VLOOKUP(A63,Order_Sheet!A:L,6,FALSE),"")</f>
        <v>5499</v>
      </c>
      <c r="C63" s="3">
        <f>IFERROR(SUMIF(PO_Tracker!C:C,A63,PO_Tracker!I:I),"")</f>
        <v>1607</v>
      </c>
      <c r="D63" s="3" t="str">
        <f>IFERROR(VLOOKUP(A63,Cost_Sheet!B:J,2,FALSE),"")</f>
        <v/>
      </c>
      <c r="E63" s="3" t="str">
        <f t="shared" si="3"/>
        <v>QTY MISMATCH</v>
      </c>
      <c r="F63" s="3" t="str">
        <f>IFERROR(IF(VLOOKUP(A63,Order_Sheet!A:L,4,FALSE)=INDEX(PO_Tracker!D:D,MATCH(A63,PO_Tracker!C:C,0)),"OK","STYLE MISMATCH"),"CHECK")</f>
        <v>OK</v>
      </c>
      <c r="G63" s="3" t="str">
        <f>IFERROR(IF(VLOOKUP(A63,Order_Sheet!A:L,8,FALSE)="USD","REVIEW FX","OK"),"CHECK")</f>
        <v>REVIEW FX</v>
      </c>
      <c r="H63" s="3" t="str">
        <f t="shared" si="4"/>
        <v>ACTION REQUIRED</v>
      </c>
      <c r="I63" s="3" t="str">
        <f t="shared" si="5"/>
        <v>Review Order / PO / Cost Sheet</v>
      </c>
    </row>
    <row r="64" spans="1:9" x14ac:dyDescent="0.3">
      <c r="A64" s="3" t="str">
        <f>Order_Sheet!A64</f>
        <v>SO-2026-0063</v>
      </c>
      <c r="B64" s="3">
        <f>IFERROR(VLOOKUP(A64,Order_Sheet!A:L,6,FALSE),"")</f>
        <v>1185</v>
      </c>
      <c r="C64" s="3">
        <f>IFERROR(SUMIF(PO_Tracker!C:C,A64,PO_Tracker!I:I),"")</f>
        <v>18870</v>
      </c>
      <c r="D64" s="3" t="str">
        <f>IFERROR(VLOOKUP(A64,Cost_Sheet!B:J,2,FALSE),"")</f>
        <v/>
      </c>
      <c r="E64" s="3" t="str">
        <f t="shared" si="3"/>
        <v>QTY MISMATCH</v>
      </c>
      <c r="F64" s="3" t="str">
        <f>IFERROR(IF(VLOOKUP(A64,Order_Sheet!A:L,4,FALSE)=INDEX(PO_Tracker!D:D,MATCH(A64,PO_Tracker!C:C,0)),"OK","STYLE MISMATCH"),"CHECK")</f>
        <v>OK</v>
      </c>
      <c r="G64" s="3" t="str">
        <f>IFERROR(IF(VLOOKUP(A64,Order_Sheet!A:L,8,FALSE)="USD","REVIEW FX","OK"),"CHECK")</f>
        <v>REVIEW FX</v>
      </c>
      <c r="H64" s="3" t="str">
        <f t="shared" si="4"/>
        <v>ACTION REQUIRED</v>
      </c>
      <c r="I64" s="3" t="str">
        <f t="shared" si="5"/>
        <v>Review Order / PO / Cost Sheet</v>
      </c>
    </row>
    <row r="65" spans="1:9" x14ac:dyDescent="0.3">
      <c r="A65" s="3" t="str">
        <f>Order_Sheet!A65</f>
        <v>SO-2026-0064</v>
      </c>
      <c r="B65" s="3">
        <f>IFERROR(VLOOKUP(A65,Order_Sheet!A:L,6,FALSE),"")</f>
        <v>5876</v>
      </c>
      <c r="C65" s="3">
        <f>IFERROR(SUMIF(PO_Tracker!C:C,A65,PO_Tracker!I:I),"")</f>
        <v>80217</v>
      </c>
      <c r="D65" s="3" t="str">
        <f>IFERROR(VLOOKUP(A65,Cost_Sheet!B:J,2,FALSE),"")</f>
        <v/>
      </c>
      <c r="E65" s="3" t="str">
        <f t="shared" si="3"/>
        <v>QTY MISMATCH</v>
      </c>
      <c r="F65" s="3" t="str">
        <f>IFERROR(IF(VLOOKUP(A65,Order_Sheet!A:L,4,FALSE)=INDEX(PO_Tracker!D:D,MATCH(A65,PO_Tracker!C:C,0)),"OK","STYLE MISMATCH"),"CHECK")</f>
        <v>OK</v>
      </c>
      <c r="G65" s="3" t="str">
        <f>IFERROR(IF(VLOOKUP(A65,Order_Sheet!A:L,8,FALSE)="USD","REVIEW FX","OK"),"CHECK")</f>
        <v>REVIEW FX</v>
      </c>
      <c r="H65" s="3" t="str">
        <f t="shared" si="4"/>
        <v>ACTION REQUIRED</v>
      </c>
      <c r="I65" s="3" t="str">
        <f t="shared" si="5"/>
        <v>Review Order / PO / Cost Sheet</v>
      </c>
    </row>
    <row r="66" spans="1:9" x14ac:dyDescent="0.3">
      <c r="A66" s="3" t="str">
        <f>Order_Sheet!A66</f>
        <v>SO-2026-0065</v>
      </c>
      <c r="B66" s="3">
        <f>IFERROR(VLOOKUP(A66,Order_Sheet!A:L,6,FALSE),"")</f>
        <v>7746</v>
      </c>
      <c r="C66" s="3">
        <f>IFERROR(SUMIF(PO_Tracker!C:C,A66,PO_Tracker!I:I),"")</f>
        <v>234307</v>
      </c>
      <c r="D66" s="3" t="str">
        <f>IFERROR(VLOOKUP(A66,Cost_Sheet!B:J,2,FALSE),"")</f>
        <v/>
      </c>
      <c r="E66" s="3" t="str">
        <f t="shared" ref="E66:E81" si="6">IF(OR(B66="",C66=""),"CHECK",IF(ABS(B66-C66)&lt;=B66*5%,"OK","QTY MISMATCH"))</f>
        <v>QTY MISMATCH</v>
      </c>
      <c r="F66" s="3" t="str">
        <f>IFERROR(IF(VLOOKUP(A66,Order_Sheet!A:L,4,FALSE)=INDEX(PO_Tracker!D:D,MATCH(A66,PO_Tracker!C:C,0)),"OK","STYLE MISMATCH"),"CHECK")</f>
        <v>OK</v>
      </c>
      <c r="G66" s="3" t="str">
        <f>IFERROR(IF(VLOOKUP(A66,Order_Sheet!A:L,8,FALSE)="USD","REVIEW FX","OK"),"CHECK")</f>
        <v>REVIEW FX</v>
      </c>
      <c r="H66" s="3" t="str">
        <f t="shared" ref="H66:H97" si="7">IF(COUNTIF(E66:G66,"*MISMATCH*")+COUNTIF(E66:G66,"CHECK")&gt;0,"ACTION REQUIRED","OK")</f>
        <v>ACTION REQUIRED</v>
      </c>
      <c r="I66" s="3" t="str">
        <f t="shared" ref="I66:I97" si="8">IF(H66="OK","No action","Review Order / PO / Cost Sheet")</f>
        <v>Review Order / PO / Cost Sheet</v>
      </c>
    </row>
    <row r="67" spans="1:9" x14ac:dyDescent="0.3">
      <c r="A67" s="3" t="str">
        <f>Order_Sheet!A67</f>
        <v>SO-2026-0066</v>
      </c>
      <c r="B67" s="3">
        <f>IFERROR(VLOOKUP(A67,Order_Sheet!A:L,6,FALSE),"")</f>
        <v>8211</v>
      </c>
      <c r="C67" s="3">
        <f>IFERROR(SUMIF(PO_Tracker!C:C,A67,PO_Tracker!I:I),"")</f>
        <v>13099</v>
      </c>
      <c r="D67" s="3" t="str">
        <f>IFERROR(VLOOKUP(A67,Cost_Sheet!B:J,2,FALSE),"")</f>
        <v/>
      </c>
      <c r="E67" s="3" t="str">
        <f t="shared" si="6"/>
        <v>QTY MISMATCH</v>
      </c>
      <c r="F67" s="3" t="str">
        <f>IFERROR(IF(VLOOKUP(A67,Order_Sheet!A:L,4,FALSE)=INDEX(PO_Tracker!D:D,MATCH(A67,PO_Tracker!C:C,0)),"OK","STYLE MISMATCH"),"CHECK")</f>
        <v>OK</v>
      </c>
      <c r="G67" s="3" t="str">
        <f>IFERROR(IF(VLOOKUP(A67,Order_Sheet!A:L,8,FALSE)="USD","REVIEW FX","OK"),"CHECK")</f>
        <v>REVIEW FX</v>
      </c>
      <c r="H67" s="3" t="str">
        <f t="shared" si="7"/>
        <v>ACTION REQUIRED</v>
      </c>
      <c r="I67" s="3" t="str">
        <f t="shared" si="8"/>
        <v>Review Order / PO / Cost Sheet</v>
      </c>
    </row>
    <row r="68" spans="1:9" x14ac:dyDescent="0.3">
      <c r="A68" s="3" t="str">
        <f>Order_Sheet!A68</f>
        <v>SO-2026-0067</v>
      </c>
      <c r="B68" s="3">
        <f>IFERROR(VLOOKUP(A68,Order_Sheet!A:L,6,FALSE),"")</f>
        <v>6018</v>
      </c>
      <c r="C68" s="3">
        <f>IFERROR(SUMIF(PO_Tracker!C:C,A68,PO_Tracker!I:I),"")</f>
        <v>67022</v>
      </c>
      <c r="D68" s="3" t="str">
        <f>IFERROR(VLOOKUP(A68,Cost_Sheet!B:J,2,FALSE),"")</f>
        <v/>
      </c>
      <c r="E68" s="3" t="str">
        <f t="shared" si="6"/>
        <v>QTY MISMATCH</v>
      </c>
      <c r="F68" s="3" t="str">
        <f>IFERROR(IF(VLOOKUP(A68,Order_Sheet!A:L,4,FALSE)=INDEX(PO_Tracker!D:D,MATCH(A68,PO_Tracker!C:C,0)),"OK","STYLE MISMATCH"),"CHECK")</f>
        <v>OK</v>
      </c>
      <c r="G68" s="3" t="str">
        <f>IFERROR(IF(VLOOKUP(A68,Order_Sheet!A:L,8,FALSE)="USD","REVIEW FX","OK"),"CHECK")</f>
        <v>REVIEW FX</v>
      </c>
      <c r="H68" s="3" t="str">
        <f t="shared" si="7"/>
        <v>ACTION REQUIRED</v>
      </c>
      <c r="I68" s="3" t="str">
        <f t="shared" si="8"/>
        <v>Review Order / PO / Cost Sheet</v>
      </c>
    </row>
    <row r="69" spans="1:9" x14ac:dyDescent="0.3">
      <c r="A69" s="3" t="str">
        <f>Order_Sheet!A69</f>
        <v>SO-2026-0068</v>
      </c>
      <c r="B69" s="3">
        <f>IFERROR(VLOOKUP(A69,Order_Sheet!A:L,6,FALSE),"")</f>
        <v>7206</v>
      </c>
      <c r="C69" s="3">
        <f>IFERROR(SUMIF(PO_Tracker!C:C,A69,PO_Tracker!I:I),"")</f>
        <v>0</v>
      </c>
      <c r="D69" s="3" t="str">
        <f>IFERROR(VLOOKUP(A69,Cost_Sheet!B:J,2,FALSE),"")</f>
        <v/>
      </c>
      <c r="E69" s="3" t="str">
        <f t="shared" si="6"/>
        <v>QTY MISMATCH</v>
      </c>
      <c r="F69" s="3" t="str">
        <f>IFERROR(IF(VLOOKUP(A69,Order_Sheet!A:L,4,FALSE)=INDEX(PO_Tracker!D:D,MATCH(A69,PO_Tracker!C:C,0)),"OK","STYLE MISMATCH"),"CHECK")</f>
        <v>CHECK</v>
      </c>
      <c r="G69" s="3" t="str">
        <f>IFERROR(IF(VLOOKUP(A69,Order_Sheet!A:L,8,FALSE)="USD","REVIEW FX","OK"),"CHECK")</f>
        <v>REVIEW FX</v>
      </c>
      <c r="H69" s="3" t="str">
        <f t="shared" si="7"/>
        <v>ACTION REQUIRED</v>
      </c>
      <c r="I69" s="3" t="str">
        <f t="shared" si="8"/>
        <v>Review Order / PO / Cost Sheet</v>
      </c>
    </row>
    <row r="70" spans="1:9" x14ac:dyDescent="0.3">
      <c r="A70" s="3" t="str">
        <f>Order_Sheet!A70</f>
        <v>SO-2026-0069</v>
      </c>
      <c r="B70" s="3">
        <f>IFERROR(VLOOKUP(A70,Order_Sheet!A:L,6,FALSE),"")</f>
        <v>8259</v>
      </c>
      <c r="C70" s="3">
        <f>IFERROR(SUMIF(PO_Tracker!C:C,A70,PO_Tracker!I:I),"")</f>
        <v>125281</v>
      </c>
      <c r="D70" s="3" t="str">
        <f>IFERROR(VLOOKUP(A70,Cost_Sheet!B:J,2,FALSE),"")</f>
        <v/>
      </c>
      <c r="E70" s="3" t="str">
        <f t="shared" si="6"/>
        <v>QTY MISMATCH</v>
      </c>
      <c r="F70" s="3" t="str">
        <f>IFERROR(IF(VLOOKUP(A70,Order_Sheet!A:L,4,FALSE)=INDEX(PO_Tracker!D:D,MATCH(A70,PO_Tracker!C:C,0)),"OK","STYLE MISMATCH"),"CHECK")</f>
        <v>OK</v>
      </c>
      <c r="G70" s="3" t="str">
        <f>IFERROR(IF(VLOOKUP(A70,Order_Sheet!A:L,8,FALSE)="USD","REVIEW FX","OK"),"CHECK")</f>
        <v>REVIEW FX</v>
      </c>
      <c r="H70" s="3" t="str">
        <f t="shared" si="7"/>
        <v>ACTION REQUIRED</v>
      </c>
      <c r="I70" s="3" t="str">
        <f t="shared" si="8"/>
        <v>Review Order / PO / Cost Sheet</v>
      </c>
    </row>
    <row r="71" spans="1:9" x14ac:dyDescent="0.3">
      <c r="A71" s="3" t="str">
        <f>Order_Sheet!A71</f>
        <v>SO-2026-0070</v>
      </c>
      <c r="B71" s="3">
        <f>IFERROR(VLOOKUP(A71,Order_Sheet!A:L,6,FALSE),"")</f>
        <v>3397</v>
      </c>
      <c r="C71" s="3">
        <f>IFERROR(SUMIF(PO_Tracker!C:C,A71,PO_Tracker!I:I),"")</f>
        <v>96031</v>
      </c>
      <c r="D71" s="3" t="str">
        <f>IFERROR(VLOOKUP(A71,Cost_Sheet!B:J,2,FALSE),"")</f>
        <v/>
      </c>
      <c r="E71" s="3" t="str">
        <f t="shared" si="6"/>
        <v>QTY MISMATCH</v>
      </c>
      <c r="F71" s="3" t="str">
        <f>IFERROR(IF(VLOOKUP(A71,Order_Sheet!A:L,4,FALSE)=INDEX(PO_Tracker!D:D,MATCH(A71,PO_Tracker!C:C,0)),"OK","STYLE MISMATCH"),"CHECK")</f>
        <v>OK</v>
      </c>
      <c r="G71" s="3" t="str">
        <f>IFERROR(IF(VLOOKUP(A71,Order_Sheet!A:L,8,FALSE)="USD","REVIEW FX","OK"),"CHECK")</f>
        <v>REVIEW FX</v>
      </c>
      <c r="H71" s="3" t="str">
        <f t="shared" si="7"/>
        <v>ACTION REQUIRED</v>
      </c>
      <c r="I71" s="3" t="str">
        <f t="shared" si="8"/>
        <v>Review Order / PO / Cost Sheet</v>
      </c>
    </row>
    <row r="72" spans="1:9" x14ac:dyDescent="0.3">
      <c r="A72" s="3" t="str">
        <f>Order_Sheet!A72</f>
        <v>SO-2026-0071</v>
      </c>
      <c r="B72" s="3">
        <f>IFERROR(VLOOKUP(A72,Order_Sheet!A:L,6,FALSE),"")</f>
        <v>5249</v>
      </c>
      <c r="C72" s="3">
        <f>IFERROR(SUMIF(PO_Tracker!C:C,A72,PO_Tracker!I:I),"")</f>
        <v>4036</v>
      </c>
      <c r="D72" s="3" t="str">
        <f>IFERROR(VLOOKUP(A72,Cost_Sheet!B:J,2,FALSE),"")</f>
        <v/>
      </c>
      <c r="E72" s="3" t="str">
        <f t="shared" si="6"/>
        <v>QTY MISMATCH</v>
      </c>
      <c r="F72" s="3" t="str">
        <f>IFERROR(IF(VLOOKUP(A72,Order_Sheet!A:L,4,FALSE)=INDEX(PO_Tracker!D:D,MATCH(A72,PO_Tracker!C:C,0)),"OK","STYLE MISMATCH"),"CHECK")</f>
        <v>OK</v>
      </c>
      <c r="G72" s="3" t="str">
        <f>IFERROR(IF(VLOOKUP(A72,Order_Sheet!A:L,8,FALSE)="USD","REVIEW FX","OK"),"CHECK")</f>
        <v>REVIEW FX</v>
      </c>
      <c r="H72" s="3" t="str">
        <f t="shared" si="7"/>
        <v>ACTION REQUIRED</v>
      </c>
      <c r="I72" s="3" t="str">
        <f t="shared" si="8"/>
        <v>Review Order / PO / Cost Sheet</v>
      </c>
    </row>
    <row r="73" spans="1:9" x14ac:dyDescent="0.3">
      <c r="A73" s="3" t="str">
        <f>Order_Sheet!A73</f>
        <v>SO-2026-0072</v>
      </c>
      <c r="B73" s="3">
        <f>IFERROR(VLOOKUP(A73,Order_Sheet!A:L,6,FALSE),"")</f>
        <v>11147</v>
      </c>
      <c r="C73" s="3">
        <f>IFERROR(SUMIF(PO_Tracker!C:C,A73,PO_Tracker!I:I),"")</f>
        <v>5267</v>
      </c>
      <c r="D73" s="3" t="str">
        <f>IFERROR(VLOOKUP(A73,Cost_Sheet!B:J,2,FALSE),"")</f>
        <v/>
      </c>
      <c r="E73" s="3" t="str">
        <f t="shared" si="6"/>
        <v>QTY MISMATCH</v>
      </c>
      <c r="F73" s="3" t="str">
        <f>IFERROR(IF(VLOOKUP(A73,Order_Sheet!A:L,4,FALSE)=INDEX(PO_Tracker!D:D,MATCH(A73,PO_Tracker!C:C,0)),"OK","STYLE MISMATCH"),"CHECK")</f>
        <v>OK</v>
      </c>
      <c r="G73" s="3" t="str">
        <f>IFERROR(IF(VLOOKUP(A73,Order_Sheet!A:L,8,FALSE)="USD","REVIEW FX","OK"),"CHECK")</f>
        <v>REVIEW FX</v>
      </c>
      <c r="H73" s="3" t="str">
        <f t="shared" si="7"/>
        <v>ACTION REQUIRED</v>
      </c>
      <c r="I73" s="3" t="str">
        <f t="shared" si="8"/>
        <v>Review Order / PO / Cost Sheet</v>
      </c>
    </row>
    <row r="74" spans="1:9" x14ac:dyDescent="0.3">
      <c r="A74" s="3" t="str">
        <f>Order_Sheet!A74</f>
        <v>SO-2026-0073</v>
      </c>
      <c r="B74" s="3">
        <f>IFERROR(VLOOKUP(A74,Order_Sheet!A:L,6,FALSE),"")</f>
        <v>5550</v>
      </c>
      <c r="C74" s="3">
        <f>IFERROR(SUMIF(PO_Tracker!C:C,A74,PO_Tracker!I:I),"")</f>
        <v>46589</v>
      </c>
      <c r="D74" s="3" t="str">
        <f>IFERROR(VLOOKUP(A74,Cost_Sheet!B:J,2,FALSE),"")</f>
        <v/>
      </c>
      <c r="E74" s="3" t="str">
        <f t="shared" si="6"/>
        <v>QTY MISMATCH</v>
      </c>
      <c r="F74" s="3" t="str">
        <f>IFERROR(IF(VLOOKUP(A74,Order_Sheet!A:L,4,FALSE)=INDEX(PO_Tracker!D:D,MATCH(A74,PO_Tracker!C:C,0)),"OK","STYLE MISMATCH"),"CHECK")</f>
        <v>OK</v>
      </c>
      <c r="G74" s="3" t="str">
        <f>IFERROR(IF(VLOOKUP(A74,Order_Sheet!A:L,8,FALSE)="USD","REVIEW FX","OK"),"CHECK")</f>
        <v>REVIEW FX</v>
      </c>
      <c r="H74" s="3" t="str">
        <f t="shared" si="7"/>
        <v>ACTION REQUIRED</v>
      </c>
      <c r="I74" s="3" t="str">
        <f t="shared" si="8"/>
        <v>Review Order / PO / Cost Sheet</v>
      </c>
    </row>
    <row r="75" spans="1:9" x14ac:dyDescent="0.3">
      <c r="A75" s="3" t="str">
        <f>Order_Sheet!A75</f>
        <v>SO-2026-0074</v>
      </c>
      <c r="B75" s="3">
        <f>IFERROR(VLOOKUP(A75,Order_Sheet!A:L,6,FALSE),"")</f>
        <v>3211</v>
      </c>
      <c r="C75" s="3">
        <f>IFERROR(SUMIF(PO_Tracker!C:C,A75,PO_Tracker!I:I),"")</f>
        <v>34675</v>
      </c>
      <c r="D75" s="3" t="str">
        <f>IFERROR(VLOOKUP(A75,Cost_Sheet!B:J,2,FALSE),"")</f>
        <v/>
      </c>
      <c r="E75" s="3" t="str">
        <f t="shared" si="6"/>
        <v>QTY MISMATCH</v>
      </c>
      <c r="F75" s="3" t="str">
        <f>IFERROR(IF(VLOOKUP(A75,Order_Sheet!A:L,4,FALSE)=INDEX(PO_Tracker!D:D,MATCH(A75,PO_Tracker!C:C,0)),"OK","STYLE MISMATCH"),"CHECK")</f>
        <v>OK</v>
      </c>
      <c r="G75" s="3" t="str">
        <f>IFERROR(IF(VLOOKUP(A75,Order_Sheet!A:L,8,FALSE)="USD","REVIEW FX","OK"),"CHECK")</f>
        <v>REVIEW FX</v>
      </c>
      <c r="H75" s="3" t="str">
        <f t="shared" si="7"/>
        <v>ACTION REQUIRED</v>
      </c>
      <c r="I75" s="3" t="str">
        <f t="shared" si="8"/>
        <v>Review Order / PO / Cost Sheet</v>
      </c>
    </row>
    <row r="76" spans="1:9" x14ac:dyDescent="0.3">
      <c r="A76" s="3" t="str">
        <f>Order_Sheet!A76</f>
        <v>SO-2026-0075</v>
      </c>
      <c r="B76" s="3">
        <f>IFERROR(VLOOKUP(A76,Order_Sheet!A:L,6,FALSE),"")</f>
        <v>6581</v>
      </c>
      <c r="C76" s="3">
        <f>IFERROR(SUMIF(PO_Tracker!C:C,A76,PO_Tracker!I:I),"")</f>
        <v>0</v>
      </c>
      <c r="D76" s="3" t="str">
        <f>IFERROR(VLOOKUP(A76,Cost_Sheet!B:J,2,FALSE),"")</f>
        <v/>
      </c>
      <c r="E76" s="3" t="str">
        <f t="shared" si="6"/>
        <v>QTY MISMATCH</v>
      </c>
      <c r="F76" s="3" t="str">
        <f>IFERROR(IF(VLOOKUP(A76,Order_Sheet!A:L,4,FALSE)=INDEX(PO_Tracker!D:D,MATCH(A76,PO_Tracker!C:C,0)),"OK","STYLE MISMATCH"),"CHECK")</f>
        <v>CHECK</v>
      </c>
      <c r="G76" s="3" t="str">
        <f>IFERROR(IF(VLOOKUP(A76,Order_Sheet!A:L,8,FALSE)="USD","REVIEW FX","OK"),"CHECK")</f>
        <v>REVIEW FX</v>
      </c>
      <c r="H76" s="3" t="str">
        <f t="shared" si="7"/>
        <v>ACTION REQUIRED</v>
      </c>
      <c r="I76" s="3" t="str">
        <f t="shared" si="8"/>
        <v>Review Order / PO / Cost Sheet</v>
      </c>
    </row>
    <row r="77" spans="1:9" x14ac:dyDescent="0.3">
      <c r="A77" s="3" t="str">
        <f>Order_Sheet!A77</f>
        <v>SO-2026-0076</v>
      </c>
      <c r="B77" s="3">
        <f>IFERROR(VLOOKUP(A77,Order_Sheet!A:L,6,FALSE),"")</f>
        <v>6764</v>
      </c>
      <c r="C77" s="3">
        <f>IFERROR(SUMIF(PO_Tracker!C:C,A77,PO_Tracker!I:I),"")</f>
        <v>151403</v>
      </c>
      <c r="D77" s="3" t="str">
        <f>IFERROR(VLOOKUP(A77,Cost_Sheet!B:J,2,FALSE),"")</f>
        <v/>
      </c>
      <c r="E77" s="3" t="str">
        <f t="shared" si="6"/>
        <v>QTY MISMATCH</v>
      </c>
      <c r="F77" s="3" t="str">
        <f>IFERROR(IF(VLOOKUP(A77,Order_Sheet!A:L,4,FALSE)=INDEX(PO_Tracker!D:D,MATCH(A77,PO_Tracker!C:C,0)),"OK","STYLE MISMATCH"),"CHECK")</f>
        <v>OK</v>
      </c>
      <c r="G77" s="3" t="str">
        <f>IFERROR(IF(VLOOKUP(A77,Order_Sheet!A:L,8,FALSE)="USD","REVIEW FX","OK"),"CHECK")</f>
        <v>REVIEW FX</v>
      </c>
      <c r="H77" s="3" t="str">
        <f t="shared" si="7"/>
        <v>ACTION REQUIRED</v>
      </c>
      <c r="I77" s="3" t="str">
        <f t="shared" si="8"/>
        <v>Review Order / PO / Cost Sheet</v>
      </c>
    </row>
    <row r="78" spans="1:9" x14ac:dyDescent="0.3">
      <c r="A78" s="3" t="str">
        <f>Order_Sheet!A78</f>
        <v>SO-2026-0077</v>
      </c>
      <c r="B78" s="3">
        <f>IFERROR(VLOOKUP(A78,Order_Sheet!A:L,6,FALSE),"")</f>
        <v>5915</v>
      </c>
      <c r="C78" s="3">
        <f>IFERROR(SUMIF(PO_Tracker!C:C,A78,PO_Tracker!I:I),"")</f>
        <v>0</v>
      </c>
      <c r="D78" s="3" t="str">
        <f>IFERROR(VLOOKUP(A78,Cost_Sheet!B:J,2,FALSE),"")</f>
        <v/>
      </c>
      <c r="E78" s="3" t="str">
        <f t="shared" si="6"/>
        <v>QTY MISMATCH</v>
      </c>
      <c r="F78" s="3" t="str">
        <f>IFERROR(IF(VLOOKUP(A78,Order_Sheet!A:L,4,FALSE)=INDEX(PO_Tracker!D:D,MATCH(A78,PO_Tracker!C:C,0)),"OK","STYLE MISMATCH"),"CHECK")</f>
        <v>CHECK</v>
      </c>
      <c r="G78" s="3" t="str">
        <f>IFERROR(IF(VLOOKUP(A78,Order_Sheet!A:L,8,FALSE)="USD","REVIEW FX","OK"),"CHECK")</f>
        <v>REVIEW FX</v>
      </c>
      <c r="H78" s="3" t="str">
        <f t="shared" si="7"/>
        <v>ACTION REQUIRED</v>
      </c>
      <c r="I78" s="3" t="str">
        <f t="shared" si="8"/>
        <v>Review Order / PO / Cost Sheet</v>
      </c>
    </row>
    <row r="79" spans="1:9" x14ac:dyDescent="0.3">
      <c r="A79" s="3" t="str">
        <f>Order_Sheet!A79</f>
        <v>SO-2026-0078</v>
      </c>
      <c r="B79" s="3">
        <f>IFERROR(VLOOKUP(A79,Order_Sheet!A:L,6,FALSE),"")</f>
        <v>6509</v>
      </c>
      <c r="C79" s="3">
        <f>IFERROR(SUMIF(PO_Tracker!C:C,A79,PO_Tracker!I:I),"")</f>
        <v>0</v>
      </c>
      <c r="D79" s="3" t="str">
        <f>IFERROR(VLOOKUP(A79,Cost_Sheet!B:J,2,FALSE),"")</f>
        <v/>
      </c>
      <c r="E79" s="3" t="str">
        <f t="shared" si="6"/>
        <v>QTY MISMATCH</v>
      </c>
      <c r="F79" s="3" t="str">
        <f>IFERROR(IF(VLOOKUP(A79,Order_Sheet!A:L,4,FALSE)=INDEX(PO_Tracker!D:D,MATCH(A79,PO_Tracker!C:C,0)),"OK","STYLE MISMATCH"),"CHECK")</f>
        <v>CHECK</v>
      </c>
      <c r="G79" s="3" t="str">
        <f>IFERROR(IF(VLOOKUP(A79,Order_Sheet!A:L,8,FALSE)="USD","REVIEW FX","OK"),"CHECK")</f>
        <v>REVIEW FX</v>
      </c>
      <c r="H79" s="3" t="str">
        <f t="shared" si="7"/>
        <v>ACTION REQUIRED</v>
      </c>
      <c r="I79" s="3" t="str">
        <f t="shared" si="8"/>
        <v>Review Order / PO / Cost Sheet</v>
      </c>
    </row>
    <row r="80" spans="1:9" x14ac:dyDescent="0.3">
      <c r="A80" s="3" t="str">
        <f>Order_Sheet!A80</f>
        <v>SO-2026-0079</v>
      </c>
      <c r="B80" s="3">
        <f>IFERROR(VLOOKUP(A80,Order_Sheet!A:L,6,FALSE),"")</f>
        <v>7516</v>
      </c>
      <c r="C80" s="3">
        <f>IFERROR(SUMIF(PO_Tracker!C:C,A80,PO_Tracker!I:I),"")</f>
        <v>104341</v>
      </c>
      <c r="D80" s="3" t="str">
        <f>IFERROR(VLOOKUP(A80,Cost_Sheet!B:J,2,FALSE),"")</f>
        <v/>
      </c>
      <c r="E80" s="3" t="str">
        <f t="shared" si="6"/>
        <v>QTY MISMATCH</v>
      </c>
      <c r="F80" s="3" t="str">
        <f>IFERROR(IF(VLOOKUP(A80,Order_Sheet!A:L,4,FALSE)=INDEX(PO_Tracker!D:D,MATCH(A80,PO_Tracker!C:C,0)),"OK","STYLE MISMATCH"),"CHECK")</f>
        <v>OK</v>
      </c>
      <c r="G80" s="3" t="str">
        <f>IFERROR(IF(VLOOKUP(A80,Order_Sheet!A:L,8,FALSE)="USD","REVIEW FX","OK"),"CHECK")</f>
        <v>REVIEW FX</v>
      </c>
      <c r="H80" s="3" t="str">
        <f t="shared" si="7"/>
        <v>ACTION REQUIRED</v>
      </c>
      <c r="I80" s="3" t="str">
        <f t="shared" si="8"/>
        <v>Review Order / PO / Cost Sheet</v>
      </c>
    </row>
    <row r="81" spans="1:9" x14ac:dyDescent="0.3">
      <c r="A81" s="3" t="str">
        <f>Order_Sheet!A81</f>
        <v>SO-2026-0080</v>
      </c>
      <c r="B81" s="3">
        <f>IFERROR(VLOOKUP(A81,Order_Sheet!A:L,6,FALSE),"")</f>
        <v>1732</v>
      </c>
      <c r="C81" s="3">
        <f>IFERROR(SUMIF(PO_Tracker!C:C,A81,PO_Tracker!I:I),"")</f>
        <v>0</v>
      </c>
      <c r="D81" s="3" t="str">
        <f>IFERROR(VLOOKUP(A81,Cost_Sheet!B:J,2,FALSE),"")</f>
        <v/>
      </c>
      <c r="E81" s="3" t="str">
        <f t="shared" si="6"/>
        <v>QTY MISMATCH</v>
      </c>
      <c r="F81" s="3" t="str">
        <f>IFERROR(IF(VLOOKUP(A81,Order_Sheet!A:L,4,FALSE)=INDEX(PO_Tracker!D:D,MATCH(A81,PO_Tracker!C:C,0)),"OK","STYLE MISMATCH"),"CHECK")</f>
        <v>CHECK</v>
      </c>
      <c r="G81" s="3" t="str">
        <f>IFERROR(IF(VLOOKUP(A81,Order_Sheet!A:L,8,FALSE)="USD","REVIEW FX","OK"),"CHECK")</f>
        <v>REVIEW FX</v>
      </c>
      <c r="H81" s="3" t="str">
        <f t="shared" si="7"/>
        <v>ACTION REQUIRED</v>
      </c>
      <c r="I81" s="3" t="str">
        <f t="shared" si="8"/>
        <v>Review Order / PO / Cost Sheet</v>
      </c>
    </row>
  </sheetData>
  <autoFilter ref="A1:I81" xr:uid="{00000000-0009-0000-0000-00000F000000}"/>
  <conditionalFormatting sqref="H2:H81">
    <cfRule type="cellIs" dxfId="1" priority="1" operator="equal">
      <formula>"OK"</formula>
    </cfRule>
    <cfRule type="cellIs" dxfId="0" priority="2" operator="equal">
      <formula>"ACTION REQUIRED"</formula>
    </cfRule>
  </conditionalFormatting>
  <pageMargins left="0.75" right="0.75" top="1" bottom="1" header="0.5" footer="0.5"/>
  <pageSetup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B9BD5"/>
    <pageSetUpPr fitToPage="1"/>
  </sheetPr>
  <dimension ref="A1:G19"/>
  <sheetViews>
    <sheetView showGridLines="0" workbookViewId="0">
      <selection activeCell="K11" sqref="K11"/>
    </sheetView>
  </sheetViews>
  <sheetFormatPr defaultRowHeight="14.4" x14ac:dyDescent="0.3"/>
  <cols>
    <col min="1" max="1" width="24" customWidth="1"/>
    <col min="2" max="2" width="20" customWidth="1"/>
    <col min="3" max="3" width="22" customWidth="1"/>
    <col min="4" max="5" width="18" customWidth="1"/>
    <col min="6" max="6" width="18.33203125" customWidth="1"/>
    <col min="7" max="7" width="22" customWidth="1"/>
  </cols>
  <sheetData>
    <row r="1" spans="1:7" ht="21" x14ac:dyDescent="0.4">
      <c r="A1" s="16" t="s">
        <v>600</v>
      </c>
      <c r="B1" s="17"/>
      <c r="C1" s="17"/>
      <c r="D1" s="17"/>
      <c r="E1" s="17"/>
      <c r="F1" s="17"/>
      <c r="G1" s="17"/>
    </row>
    <row r="3" spans="1:7" x14ac:dyDescent="0.3">
      <c r="A3" s="1" t="s">
        <v>601</v>
      </c>
      <c r="C3" s="1" t="s">
        <v>602</v>
      </c>
      <c r="E3" s="1" t="s">
        <v>603</v>
      </c>
      <c r="G3" s="1" t="s">
        <v>604</v>
      </c>
    </row>
    <row r="4" spans="1:7" ht="18" x14ac:dyDescent="0.35">
      <c r="A4" s="11">
        <f>COUNTA(Order_Sheet!A2:A81)</f>
        <v>80</v>
      </c>
      <c r="C4" s="12">
        <f>SUM(Order_Sheet!F2:F81)</f>
        <v>534843</v>
      </c>
      <c r="E4" s="12">
        <f>SUM(PO_Tracker!I2:I181)</f>
        <v>4983258</v>
      </c>
      <c r="G4" s="13">
        <f>IFERROR(COUNTIF(Accuracy_Check!C2:C81,"&gt;0")/COUNTA(Accuracy_Check!A2:A81),0)</f>
        <v>0.875</v>
      </c>
    </row>
    <row r="6" spans="1:7" x14ac:dyDescent="0.3">
      <c r="A6" s="1" t="s">
        <v>605</v>
      </c>
      <c r="C6" s="1" t="s">
        <v>606</v>
      </c>
      <c r="E6" s="1" t="s">
        <v>607</v>
      </c>
      <c r="G6" s="1" t="s">
        <v>608</v>
      </c>
    </row>
    <row r="7" spans="1:7" ht="18" x14ac:dyDescent="0.35">
      <c r="A7" s="13">
        <f>AVERAGE(Calculations!G2:G721)</f>
        <v>0.73887499999999984</v>
      </c>
      <c r="C7" s="13">
        <f>AVERAGE(Calculations!F2:F721)</f>
        <v>0.80730555555555683</v>
      </c>
      <c r="E7" s="13">
        <f>AVERAGE(Calculations!H2:H721)</f>
        <v>-6.8430555555555495E-2</v>
      </c>
      <c r="G7" s="12">
        <f>SUM(Calculations!I2:I721)</f>
        <v>175221</v>
      </c>
    </row>
    <row r="9" spans="1:7" x14ac:dyDescent="0.3">
      <c r="A9" s="1" t="s">
        <v>609</v>
      </c>
      <c r="C9" s="1" t="s">
        <v>610</v>
      </c>
      <c r="E9" s="1" t="s">
        <v>611</v>
      </c>
      <c r="G9" s="1" t="s">
        <v>612</v>
      </c>
    </row>
    <row r="10" spans="1:7" ht="18" x14ac:dyDescent="0.35">
      <c r="A10" s="12">
        <f>SUM(Calculations!J2:J721)</f>
        <v>55504</v>
      </c>
      <c r="C10" s="12">
        <f>SUM(Calculations!K2:K721)</f>
        <v>43200</v>
      </c>
      <c r="E10" s="12">
        <f>SUM(Calculations!L2:L721)</f>
        <v>2508</v>
      </c>
      <c r="G10" s="14">
        <f>AVERAGE(Calculations!M2:M721)</f>
        <v>0.98472222222222228</v>
      </c>
    </row>
    <row r="12" spans="1:7" x14ac:dyDescent="0.3">
      <c r="A12" s="1" t="s">
        <v>613</v>
      </c>
      <c r="C12" s="1" t="s">
        <v>614</v>
      </c>
      <c r="E12" s="1" t="s">
        <v>615</v>
      </c>
      <c r="G12" s="1" t="s">
        <v>616</v>
      </c>
    </row>
    <row r="13" spans="1:7" ht="18" x14ac:dyDescent="0.35">
      <c r="A13" s="11">
        <f>COUNTIF(Accuracy_Check!H2:H81,"ACTION REQUIRED")</f>
        <v>78</v>
      </c>
      <c r="C13" s="11">
        <f>COUNTIF(Accuracy_Check!C2:C81,"")</f>
        <v>0</v>
      </c>
      <c r="E13" s="15">
        <f>AVERAGE(Cost_Sheet!J2:J81)</f>
        <v>5.793572114777362</v>
      </c>
      <c r="G13" s="11">
        <f>COUNTA(Raw_Production!A2:A721)</f>
        <v>720</v>
      </c>
    </row>
    <row r="16" spans="1:7" ht="28.8" x14ac:dyDescent="0.3">
      <c r="A16" s="7" t="s">
        <v>385</v>
      </c>
      <c r="B16" s="7" t="s">
        <v>605</v>
      </c>
      <c r="C16" s="7" t="s">
        <v>606</v>
      </c>
      <c r="D16" s="7" t="s">
        <v>617</v>
      </c>
      <c r="E16" s="7" t="s">
        <v>608</v>
      </c>
    </row>
    <row r="17" spans="1:5" x14ac:dyDescent="0.3">
      <c r="A17" s="3" t="s">
        <v>398</v>
      </c>
      <c r="B17" s="6">
        <f>AVERAGEIF(Calculations!B:B,A17,Calculations!G:G)</f>
        <v>0.73270833333333296</v>
      </c>
      <c r="C17" s="6">
        <f>AVERAGEIF(Calculations!B:B,A17,Calculations!F:F)</f>
        <v>0.80504166666666632</v>
      </c>
      <c r="D17" s="6">
        <f>B17-C17</f>
        <v>-7.2333333333333361E-2</v>
      </c>
      <c r="E17" s="3">
        <f>SUMIF(Calculations!B:B,A17,Calculations!I:I)</f>
        <v>59214</v>
      </c>
    </row>
    <row r="18" spans="1:5" x14ac:dyDescent="0.3">
      <c r="A18" s="3" t="s">
        <v>404</v>
      </c>
      <c r="B18" s="6">
        <f>AVERAGEIF(Calculations!B:B,A18,Calculations!G:G)</f>
        <v>0.73583333333333356</v>
      </c>
      <c r="C18" s="6">
        <f>AVERAGEIF(Calculations!B:B,A18,Calculations!F:F)</f>
        <v>0.80337500000000017</v>
      </c>
      <c r="D18" s="6">
        <f>B18-C18</f>
        <v>-6.7541666666666611E-2</v>
      </c>
      <c r="E18" s="3">
        <f>SUMIF(Calculations!B:B,A18,Calculations!I:I)</f>
        <v>58147</v>
      </c>
    </row>
    <row r="19" spans="1:5" x14ac:dyDescent="0.3">
      <c r="A19" s="3" t="s">
        <v>401</v>
      </c>
      <c r="B19" s="6">
        <f>AVERAGEIF(Calculations!B:B,A19,Calculations!G:G)</f>
        <v>0.7480833333333331</v>
      </c>
      <c r="C19" s="6">
        <f>AVERAGEIF(Calculations!B:B,A19,Calculations!F:F)</f>
        <v>0.81350000000000022</v>
      </c>
      <c r="D19" s="6">
        <f>B19-C19</f>
        <v>-6.5416666666667123E-2</v>
      </c>
      <c r="E19" s="3">
        <f>SUMIF(Calculations!B:B,A19,Calculations!I:I)</f>
        <v>57860</v>
      </c>
    </row>
  </sheetData>
  <mergeCells count="1">
    <mergeCell ref="A1:G1"/>
  </mergeCells>
  <pageMargins left="0.75" right="0.75" top="1" bottom="1" header="0.5" footer="0.5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Raw_Order</vt:lpstr>
      <vt:lpstr>Raw_Item</vt:lpstr>
      <vt:lpstr>Raw_BOM</vt:lpstr>
      <vt:lpstr>Raw_Price</vt:lpstr>
      <vt:lpstr>Raw_PO</vt:lpstr>
      <vt:lpstr>Raw_Cost</vt:lpstr>
      <vt:lpstr>Raw_Production</vt:lpstr>
      <vt:lpstr>Item_Master</vt:lpstr>
      <vt:lpstr>Calculations</vt:lpstr>
      <vt:lpstr>Order_Sheet</vt:lpstr>
      <vt:lpstr>BOM</vt:lpstr>
      <vt:lpstr>BOM_Estimation</vt:lpstr>
      <vt:lpstr>PO_Tracker</vt:lpstr>
      <vt:lpstr>Cost_Sheet</vt:lpstr>
      <vt:lpstr>Accuracy_Check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Hieu Nguyen</cp:lastModifiedBy>
  <dcterms:created xsi:type="dcterms:W3CDTF">2026-09-17T15:03:43Z</dcterms:created>
  <dcterms:modified xsi:type="dcterms:W3CDTF">2026-09-17T15:06:38Z</dcterms:modified>
</cp:coreProperties>
</file>